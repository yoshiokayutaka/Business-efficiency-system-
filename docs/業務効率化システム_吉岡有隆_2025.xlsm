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updateLinks="always" codeName="ThisWorkbook" defaultThemeVersion="202300"/>
  <xr:revisionPtr revIDLastSave="0" documentId="13_ncr:1_{DCF22178-390E-41EF-B267-75823B4E8443}" xr6:coauthVersionLast="47" xr6:coauthVersionMax="47" xr10:uidLastSave="{00000000-0000-0000-0000-000000000000}"/>
  <bookViews>
    <workbookView xWindow="-108" yWindow="-108" windowWidth="23256" windowHeight="12456" tabRatio="500" xr2:uid="{00000000-000D-0000-FFFF-FFFF00000000}"/>
  </bookViews>
  <sheets>
    <sheet name="マニュアル" sheetId="10" r:id="rId1"/>
    <sheet name="業務メモ" sheetId="2" r:id="rId2"/>
    <sheet name="業務メモ_Webデザイン" sheetId="23" r:id="rId3"/>
    <sheet name="売上工数管理" sheetId="7" r:id="rId4"/>
    <sheet name="体調管理" sheetId="38" r:id="rId5"/>
    <sheet name="案件コード" sheetId="3" r:id="rId6"/>
    <sheet name="基本データ" sheetId="4" r:id="rId7"/>
    <sheet name="ダッシュボード" sheetId="9" r:id="rId8"/>
    <sheet name="2025_10" sheetId="39" r:id="rId9"/>
  </sheets>
  <definedNames>
    <definedName name="_xlnm._FilterDatabase" localSheetId="8" hidden="1">'2025_10'!$G$114:$J$114</definedName>
    <definedName name="_xlnm._FilterDatabase" localSheetId="7" hidden="1">ダッシュボード!$C$40:$C$46</definedName>
    <definedName name="_xlnm._FilterDatabase" localSheetId="6" hidden="1">基本データ!$G$114:$J$114</definedName>
    <definedName name="_xlpm.addrsAny" hidden="1" xlm="1">#NAME?</definedName>
    <definedName name="_xlpm.addrsBlank" hidden="1" xlm="1">#NAME?</definedName>
    <definedName name="_xlpm.arr" hidden="1" xlm="1">#NAME?</definedName>
    <definedName name="_xlpm.base" hidden="1" xlm="1">#NAME?</definedName>
    <definedName name="_xlpm.cnt" hidden="1" xlm="1">#NAME?</definedName>
    <definedName name="_xlpm.code" hidden="1" xlm="1">#NAME?</definedName>
    <definedName name="_xlpm.d" hidden="1" xlm="1">#NAME?</definedName>
    <definedName name="_xlpm.d0" hidden="1" xlm="1">#NAME?</definedName>
    <definedName name="_xlpm.data" hidden="1" xlm="1">#NAME?</definedName>
    <definedName name="_xlpm.dts" hidden="1" xlm="1">#NAME?</definedName>
    <definedName name="_xlpm.du" hidden="1" xlm="1">#NAME?</definedName>
    <definedName name="_xlpm.due" hidden="1" xlm="1">#NAME?</definedName>
    <definedName name="_xlpm.e" hidden="1" xlm="1">#NAME?</definedName>
    <definedName name="_xlpm.filt" hidden="1" xlm="1">#NAME?</definedName>
    <definedName name="_xlpm.firstAny" hidden="1" xlm="1">#NAME?</definedName>
    <definedName name="_xlpm.firstBlank" hidden="1" xlm="1">#NAME?</definedName>
    <definedName name="_xlpm.flatAny" hidden="1" xlm="1">#NAME?</definedName>
    <definedName name="_xlpm.flatBlank" hidden="1" xlm="1">#NAME?</definedName>
    <definedName name="_xlpm.hdr" hidden="1" xlm="1">#NAME?</definedName>
    <definedName name="_xlpm.hit" hidden="1" xlm="1">#NAME?</definedName>
    <definedName name="_xlpm.idx" hidden="1" xlm="1">#NAME?</definedName>
    <definedName name="_xlpm.im" hidden="1" xlm="1">#NAME?</definedName>
    <definedName name="_xlpm.imp" hidden="1" xlm="1">#NAME?</definedName>
    <definedName name="_xlpm.imps" hidden="1" xlm="1">#NAME?</definedName>
    <definedName name="_xlpm.isDue" hidden="1" xlm="1">#NAME?</definedName>
    <definedName name="_xlpm.k" hidden="1" xlm="1">#NAME?</definedName>
    <definedName name="_xlpm.keys" hidden="1" xlm="1">#NAME?</definedName>
    <definedName name="_xlpm.m" hidden="1" xlm="1">#NAME?</definedName>
    <definedName name="_xlpm.mask" hidden="1" xlm="1">#NAME?</definedName>
    <definedName name="_xlpm.maskBlank" hidden="1" xlm="1">#NAME?</definedName>
    <definedName name="_xlpm.mDate" hidden="1" xlm="1">#NAME?</definedName>
    <definedName name="_xlpm.mText" hidden="1" xlm="1">#NAME?</definedName>
    <definedName name="_xlpm.mx" hidden="1" xlm="1">#NAME?</definedName>
    <definedName name="_xlpm.my" hidden="1" xlm="1">#NAME?</definedName>
    <definedName name="_xlpm.n" hidden="1" xlm="1">#NAME?</definedName>
    <definedName name="_xlpm.names" hidden="1" xlm="1">#NAME?</definedName>
    <definedName name="_xlpm.namesT" hidden="1" xlm="1">#NAME?</definedName>
    <definedName name="_xlpm.norm" hidden="1" xlm="1">#NAME?</definedName>
    <definedName name="_xlpm.ord" hidden="1" xlm="1">#NAME?</definedName>
    <definedName name="_xlpm.prio" hidden="1" xlm="1">#NAME?</definedName>
    <definedName name="_xlpm.r" hidden="1" xlm="1">#NAME?</definedName>
    <definedName name="_xlpm.raw" hidden="1" xlm="1">#NAME?</definedName>
    <definedName name="_xlpm.recent" hidden="1" xlm="1">#NAME?</definedName>
    <definedName name="_xlpm.rng" hidden="1" xlm="1">#NAME?</definedName>
    <definedName name="_xlpm.rngR" hidden="1" xlm="1">#NAME?</definedName>
    <definedName name="_xlpm.rowvals" hidden="1" xlm="1">#NAME?</definedName>
    <definedName name="_xlpm.s" hidden="1" xlm="1">#NAME?</definedName>
    <definedName name="_xlpm.sE" hidden="1" xlm="1">#NAME?</definedName>
    <definedName name="_xlpm.sF" hidden="1" xlm="1">#NAME?</definedName>
    <definedName name="_xlpm.sG" hidden="1" xlm="1">#NAME?</definedName>
    <definedName name="_xlpm.sH" hidden="1" xlm="1">#NAME?</definedName>
    <definedName name="_xlpm.sI" hidden="1" xlm="1">#NAME?</definedName>
    <definedName name="_xlpm.sJ" hidden="1" xlm="1">#NAME?</definedName>
    <definedName name="_xlpm.sK" hidden="1" xlm="1">#NAME?</definedName>
    <definedName name="_xlpm.sL" hidden="1" xlm="1">#NAME?</definedName>
    <definedName name="_xlpm.sM" hidden="1" xlm="1">#NAME?</definedName>
    <definedName name="_xlpm.sn" hidden="1" xlm="1">#NAME?</definedName>
    <definedName name="_xlpm.sname" hidden="1" xlm="1">#NAME?</definedName>
    <definedName name="_xlpm.sO" hidden="1" xlm="1">#NAME?</definedName>
    <definedName name="_xlpm.sorted" hidden="1" xlm="1">#NAME?</definedName>
    <definedName name="_xlpm.st" hidden="1" xlm="1">#NAME?</definedName>
    <definedName name="_xlpm.stats" hidden="1" xlm="1">#NAME?</definedName>
    <definedName name="_xlpm.sums" hidden="1" xlm="1">#NAME?</definedName>
    <definedName name="_xlpm.sumv" hidden="1" xlm="1">#NAME?</definedName>
    <definedName name="_xlpm.tgt" hidden="1" xlm="1">#NAME?</definedName>
    <definedName name="_xlpm.tgtfmt" hidden="1" xlm="1">#NAME?</definedName>
    <definedName name="_xlpm.this" hidden="1" xlm="1">#NAME?</definedName>
    <definedName name="_xlpm.tn" hidden="1" xlm="1">#NAME?</definedName>
    <definedName name="_xlpm.top" hidden="1" xlm="1">#NAME?</definedName>
    <definedName name="_xlpm.topnames" hidden="1" xlm="1">#NAME?</definedName>
    <definedName name="_xlpm.v" hidden="1" xlm="1">#NAME?</definedName>
    <definedName name="_xlpm.vals" hidden="1" xlm="1">#NAME?</definedName>
    <definedName name="_xlpm.valsT" hidden="1" xlm="1">#NAME?</definedName>
    <definedName name="_xlpm.y"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F109" i="39" l="1" a="1"/>
  <c r="AF109" i="39" s="1"/>
  <c r="AE109" i="39" a="1"/>
  <c r="AE109" i="39" s="1"/>
  <c r="AD109" i="39" a="1"/>
  <c r="AD109" i="39" s="1"/>
  <c r="AC109" i="39" a="1"/>
  <c r="AC109" i="39" s="1"/>
  <c r="AB109" i="39" a="1"/>
  <c r="AB109" i="39" s="1"/>
  <c r="AA109" i="39" a="1"/>
  <c r="AA109" i="39" s="1"/>
  <c r="Z109" i="39" a="1"/>
  <c r="Z109" i="39" s="1"/>
  <c r="Y109" i="39" a="1"/>
  <c r="Y109" i="39" s="1"/>
  <c r="X109" i="39" a="1"/>
  <c r="X109" i="39" s="1"/>
  <c r="W109" i="39" a="1"/>
  <c r="W109" i="39" s="1"/>
  <c r="V109" i="39" a="1"/>
  <c r="V109" i="39" s="1"/>
  <c r="U109" i="39" a="1"/>
  <c r="U109" i="39" s="1"/>
  <c r="T109" i="39" a="1"/>
  <c r="T109" i="39" s="1"/>
  <c r="S109" i="39" a="1"/>
  <c r="S109" i="39" s="1"/>
  <c r="R109" i="39" a="1"/>
  <c r="R109" i="39" s="1"/>
  <c r="Q109" i="39" a="1"/>
  <c r="Q109" i="39" s="1"/>
  <c r="P109" i="39" a="1"/>
  <c r="P109" i="39" s="1"/>
  <c r="O109" i="39" a="1"/>
  <c r="O109" i="39" s="1"/>
  <c r="N109" i="39" a="1"/>
  <c r="N109" i="39" s="1"/>
  <c r="M109" i="39" a="1"/>
  <c r="M109" i="39" s="1"/>
  <c r="L109" i="39" a="1"/>
  <c r="L109" i="39" s="1"/>
  <c r="K109" i="39" a="1"/>
  <c r="K109" i="39" s="1"/>
  <c r="J109" i="39" a="1"/>
  <c r="J109" i="39" s="1"/>
  <c r="I109" i="39" a="1"/>
  <c r="I109" i="39" s="1"/>
  <c r="H109" i="39" a="1"/>
  <c r="H109" i="39" s="1"/>
  <c r="G109" i="39" a="1"/>
  <c r="G109" i="39" s="1"/>
  <c r="F109" i="39" a="1"/>
  <c r="F109" i="39" s="1"/>
  <c r="E109" i="39" a="1"/>
  <c r="E109" i="39" s="1"/>
  <c r="D109" i="39" a="1"/>
  <c r="D109" i="39" s="1"/>
  <c r="C109" i="39" a="1"/>
  <c r="C109" i="39" s="1"/>
  <c r="B109" i="39" a="1"/>
  <c r="B109" i="39" s="1"/>
  <c r="G108" i="39" a="1"/>
  <c r="G108" i="39" s="1"/>
  <c r="AF107" i="39"/>
  <c r="AE107" i="39"/>
  <c r="AD107" i="39"/>
  <c r="AC107" i="39"/>
  <c r="AB107" i="39"/>
  <c r="AA107" i="39"/>
  <c r="Z107" i="39"/>
  <c r="Y107" i="39"/>
  <c r="X107" i="39"/>
  <c r="W107" i="39"/>
  <c r="V107" i="39"/>
  <c r="U107" i="39"/>
  <c r="T107" i="39"/>
  <c r="S107" i="39"/>
  <c r="R107" i="39"/>
  <c r="Q107" i="39"/>
  <c r="P107" i="39"/>
  <c r="O107" i="39"/>
  <c r="N107" i="39"/>
  <c r="M107" i="39"/>
  <c r="L107" i="39"/>
  <c r="K107" i="39"/>
  <c r="J107" i="39"/>
  <c r="I107" i="39"/>
  <c r="H107" i="39"/>
  <c r="G107" i="39"/>
  <c r="F107" i="39"/>
  <c r="E107" i="39"/>
  <c r="D107" i="39"/>
  <c r="C107" i="39"/>
  <c r="B107" i="39"/>
  <c r="Z104" i="39"/>
  <c r="Q104" i="39"/>
  <c r="H104" i="39"/>
  <c r="W103" i="39"/>
  <c r="T103" i="39"/>
  <c r="N103" i="39"/>
  <c r="K103" i="39"/>
  <c r="E103" i="39"/>
  <c r="B103" i="39"/>
  <c r="W102" i="39"/>
  <c r="T102" i="39"/>
  <c r="N102" i="39"/>
  <c r="K102" i="39"/>
  <c r="E102" i="39"/>
  <c r="B102" i="39"/>
  <c r="W101" i="39"/>
  <c r="T101" i="39"/>
  <c r="N101" i="39"/>
  <c r="K101" i="39"/>
  <c r="E101" i="39"/>
  <c r="B101" i="39"/>
  <c r="W100" i="39"/>
  <c r="T100" i="39"/>
  <c r="N100" i="39"/>
  <c r="K100" i="39"/>
  <c r="E100" i="39"/>
  <c r="B100" i="39"/>
  <c r="W99" i="39"/>
  <c r="T99" i="39"/>
  <c r="N99" i="39"/>
  <c r="K99" i="39"/>
  <c r="E99" i="39"/>
  <c r="B99" i="39"/>
  <c r="W98" i="39"/>
  <c r="T98" i="39"/>
  <c r="N98" i="39"/>
  <c r="K98" i="39"/>
  <c r="E98" i="39"/>
  <c r="B98" i="39"/>
  <c r="W97" i="39"/>
  <c r="T97" i="39"/>
  <c r="N97" i="39"/>
  <c r="K97" i="39"/>
  <c r="E97" i="39"/>
  <c r="B97" i="39"/>
  <c r="W96" i="39"/>
  <c r="T96" i="39"/>
  <c r="N96" i="39"/>
  <c r="K96" i="39"/>
  <c r="E96" i="39"/>
  <c r="B96" i="39"/>
  <c r="W95" i="39"/>
  <c r="T95" i="39"/>
  <c r="N95" i="39"/>
  <c r="K95" i="39"/>
  <c r="E95" i="39"/>
  <c r="B95" i="39"/>
  <c r="W94" i="39"/>
  <c r="T94" i="39"/>
  <c r="N94" i="39"/>
  <c r="K94" i="39"/>
  <c r="E94" i="39"/>
  <c r="B94" i="39"/>
  <c r="W93" i="39"/>
  <c r="T93" i="39"/>
  <c r="N93" i="39"/>
  <c r="K93" i="39"/>
  <c r="E93" i="39"/>
  <c r="B93" i="39"/>
  <c r="W92" i="39"/>
  <c r="T92" i="39"/>
  <c r="N92" i="39"/>
  <c r="K92" i="39"/>
  <c r="E92" i="39"/>
  <c r="B92" i="39"/>
  <c r="W91" i="39"/>
  <c r="T91" i="39"/>
  <c r="N91" i="39"/>
  <c r="K91" i="39"/>
  <c r="E91" i="39"/>
  <c r="B91" i="39"/>
  <c r="W90" i="39"/>
  <c r="T90" i="39"/>
  <c r="N90" i="39"/>
  <c r="K90" i="39"/>
  <c r="E90" i="39"/>
  <c r="B90" i="39"/>
  <c r="W89" i="39"/>
  <c r="T89" i="39"/>
  <c r="N89" i="39"/>
  <c r="K89" i="39"/>
  <c r="E89" i="39"/>
  <c r="B89" i="39"/>
  <c r="Z87" i="39"/>
  <c r="Q87" i="39"/>
  <c r="H87" i="39"/>
  <c r="W86" i="39"/>
  <c r="X86" i="39" s="1"/>
  <c r="AI3" i="39" s="1"/>
  <c r="O86" i="39"/>
  <c r="AH3" i="39" s="1"/>
  <c r="N86" i="39"/>
  <c r="E86" i="39"/>
  <c r="F86" i="39" s="1"/>
  <c r="AG3" i="39" s="1"/>
  <c r="BJ84" i="39"/>
  <c r="BA84" i="39"/>
  <c r="AR84" i="39"/>
  <c r="AI84" i="39"/>
  <c r="Z84" i="39"/>
  <c r="Q84" i="39"/>
  <c r="H84" i="39"/>
  <c r="BG83" i="39"/>
  <c r="BD83" i="39"/>
  <c r="AX83" i="39"/>
  <c r="AU83" i="39"/>
  <c r="AO83" i="39"/>
  <c r="AL83" i="39"/>
  <c r="AF83" i="39"/>
  <c r="AC83" i="39"/>
  <c r="W83" i="39"/>
  <c r="T83" i="39"/>
  <c r="N83" i="39"/>
  <c r="K83" i="39"/>
  <c r="E83" i="39"/>
  <c r="B83" i="39"/>
  <c r="BG82" i="39"/>
  <c r="BD82" i="39"/>
  <c r="AX82" i="39"/>
  <c r="AU82" i="39"/>
  <c r="AO82" i="39"/>
  <c r="AL82" i="39"/>
  <c r="AF82" i="39"/>
  <c r="AC82" i="39"/>
  <c r="W82" i="39"/>
  <c r="T82" i="39"/>
  <c r="N82" i="39"/>
  <c r="K82" i="39"/>
  <c r="E82" i="39"/>
  <c r="B82" i="39"/>
  <c r="BG81" i="39"/>
  <c r="BD81" i="39"/>
  <c r="AX81" i="39"/>
  <c r="AU81" i="39"/>
  <c r="AO81" i="39"/>
  <c r="AL81" i="39"/>
  <c r="AF81" i="39"/>
  <c r="AC81" i="39"/>
  <c r="W81" i="39"/>
  <c r="T81" i="39"/>
  <c r="N81" i="39"/>
  <c r="K81" i="39"/>
  <c r="E81" i="39"/>
  <c r="B81" i="39"/>
  <c r="BG80" i="39"/>
  <c r="BD80" i="39"/>
  <c r="AX80" i="39"/>
  <c r="AU80" i="39"/>
  <c r="AO80" i="39"/>
  <c r="AL80" i="39"/>
  <c r="AF80" i="39"/>
  <c r="AC80" i="39"/>
  <c r="W80" i="39"/>
  <c r="T80" i="39"/>
  <c r="N80" i="39"/>
  <c r="K80" i="39"/>
  <c r="E80" i="39"/>
  <c r="B80" i="39"/>
  <c r="BG79" i="39"/>
  <c r="BD79" i="39"/>
  <c r="AX79" i="39"/>
  <c r="AU79" i="39"/>
  <c r="AO79" i="39"/>
  <c r="AL79" i="39"/>
  <c r="AF79" i="39"/>
  <c r="AC79" i="39"/>
  <c r="W79" i="39"/>
  <c r="T79" i="39"/>
  <c r="N79" i="39"/>
  <c r="K79" i="39"/>
  <c r="E79" i="39"/>
  <c r="B79" i="39"/>
  <c r="BG78" i="39"/>
  <c r="BD78" i="39"/>
  <c r="AX78" i="39"/>
  <c r="AU78" i="39"/>
  <c r="AO78" i="39"/>
  <c r="AL78" i="39"/>
  <c r="AF78" i="39"/>
  <c r="AC78" i="39"/>
  <c r="W78" i="39"/>
  <c r="T78" i="39"/>
  <c r="N78" i="39"/>
  <c r="K78" i="39"/>
  <c r="E78" i="39"/>
  <c r="B78" i="39"/>
  <c r="BG77" i="39"/>
  <c r="BD77" i="39"/>
  <c r="AX77" i="39"/>
  <c r="AU77" i="39"/>
  <c r="AO77" i="39"/>
  <c r="AL77" i="39"/>
  <c r="AF77" i="39"/>
  <c r="AC77" i="39"/>
  <c r="W77" i="39"/>
  <c r="T77" i="39"/>
  <c r="N77" i="39"/>
  <c r="K77" i="39"/>
  <c r="E77" i="39"/>
  <c r="B77" i="39"/>
  <c r="BG76" i="39"/>
  <c r="BD76" i="39"/>
  <c r="AX76" i="39"/>
  <c r="AU76" i="39"/>
  <c r="AO76" i="39"/>
  <c r="AL76" i="39"/>
  <c r="AF76" i="39"/>
  <c r="AC76" i="39"/>
  <c r="W76" i="39"/>
  <c r="T76" i="39"/>
  <c r="N76" i="39"/>
  <c r="K76" i="39"/>
  <c r="E76" i="39"/>
  <c r="B76" i="39"/>
  <c r="BG75" i="39"/>
  <c r="BD75" i="39"/>
  <c r="AX75" i="39"/>
  <c r="AU75" i="39"/>
  <c r="AO75" i="39"/>
  <c r="AL75" i="39"/>
  <c r="AF75" i="39"/>
  <c r="AC75" i="39"/>
  <c r="W75" i="39"/>
  <c r="T75" i="39"/>
  <c r="N75" i="39"/>
  <c r="K75" i="39"/>
  <c r="E75" i="39"/>
  <c r="B75" i="39"/>
  <c r="BG74" i="39"/>
  <c r="BD74" i="39"/>
  <c r="AX74" i="39"/>
  <c r="AU74" i="39"/>
  <c r="AO74" i="39"/>
  <c r="AL74" i="39"/>
  <c r="AF74" i="39"/>
  <c r="AC74" i="39"/>
  <c r="W74" i="39"/>
  <c r="T74" i="39"/>
  <c r="N74" i="39"/>
  <c r="K74" i="39"/>
  <c r="E74" i="39"/>
  <c r="B74" i="39"/>
  <c r="BG73" i="39"/>
  <c r="BD73" i="39"/>
  <c r="AX73" i="39"/>
  <c r="AU73" i="39"/>
  <c r="AO73" i="39"/>
  <c r="AL73" i="39"/>
  <c r="AF73" i="39"/>
  <c r="AC73" i="39"/>
  <c r="W73" i="39"/>
  <c r="T73" i="39"/>
  <c r="N73" i="39"/>
  <c r="K73" i="39"/>
  <c r="E73" i="39"/>
  <c r="B73" i="39"/>
  <c r="BG72" i="39"/>
  <c r="BD72" i="39"/>
  <c r="AX72" i="39"/>
  <c r="AU72" i="39"/>
  <c r="AO72" i="39"/>
  <c r="AL72" i="39"/>
  <c r="AF72" i="39"/>
  <c r="AC72" i="39"/>
  <c r="W72" i="39"/>
  <c r="T72" i="39"/>
  <c r="N72" i="39"/>
  <c r="K72" i="39"/>
  <c r="E72" i="39"/>
  <c r="B72" i="39"/>
  <c r="BG71" i="39"/>
  <c r="BD71" i="39"/>
  <c r="AX71" i="39"/>
  <c r="AU71" i="39"/>
  <c r="AO71" i="39"/>
  <c r="AL71" i="39"/>
  <c r="AF71" i="39"/>
  <c r="AC71" i="39"/>
  <c r="W71" i="39"/>
  <c r="T71" i="39"/>
  <c r="N71" i="39"/>
  <c r="K71" i="39"/>
  <c r="E71" i="39"/>
  <c r="B71" i="39"/>
  <c r="BG70" i="39"/>
  <c r="BD70" i="39"/>
  <c r="AX70" i="39"/>
  <c r="AU70" i="39"/>
  <c r="AO70" i="39"/>
  <c r="AL70" i="39"/>
  <c r="AF70" i="39"/>
  <c r="AC70" i="39"/>
  <c r="W70" i="39"/>
  <c r="T70" i="39"/>
  <c r="N70" i="39"/>
  <c r="K70" i="39"/>
  <c r="E70" i="39"/>
  <c r="B70" i="39"/>
  <c r="BG69" i="39"/>
  <c r="BD69" i="39"/>
  <c r="AX69" i="39"/>
  <c r="AU69" i="39"/>
  <c r="AO69" i="39"/>
  <c r="AL69" i="39"/>
  <c r="AF69" i="39"/>
  <c r="AC69" i="39"/>
  <c r="W69" i="39"/>
  <c r="T69" i="39"/>
  <c r="N69" i="39"/>
  <c r="K69" i="39"/>
  <c r="E69" i="39"/>
  <c r="B69" i="39"/>
  <c r="BJ67" i="39"/>
  <c r="BA67" i="39"/>
  <c r="AR67" i="39"/>
  <c r="AI67" i="39"/>
  <c r="Z67" i="39"/>
  <c r="Q67" i="39"/>
  <c r="H67" i="39"/>
  <c r="BG66" i="39"/>
  <c r="BH66" i="39" s="1"/>
  <c r="AF3" i="39" s="1"/>
  <c r="AY66" i="39"/>
  <c r="AE3" i="39" s="1"/>
  <c r="AX66" i="39"/>
  <c r="AO66" i="39"/>
  <c r="AP66" i="39" s="1"/>
  <c r="AD3" i="39" s="1"/>
  <c r="AG66" i="39"/>
  <c r="AC3" i="39" s="1"/>
  <c r="AF66" i="39"/>
  <c r="W66" i="39"/>
  <c r="X66" i="39" s="1"/>
  <c r="AB3" i="39" s="1"/>
  <c r="N66" i="39"/>
  <c r="O66" i="39" s="1"/>
  <c r="AA3" i="39" s="1"/>
  <c r="E66" i="39"/>
  <c r="F66" i="39" s="1"/>
  <c r="Z3" i="39" s="1"/>
  <c r="BJ64" i="39"/>
  <c r="BA64" i="39"/>
  <c r="AR64" i="39"/>
  <c r="AI64" i="39"/>
  <c r="Z64" i="39"/>
  <c r="Q64" i="39"/>
  <c r="H64" i="39"/>
  <c r="BG63" i="39"/>
  <c r="BD63" i="39"/>
  <c r="AX63" i="39"/>
  <c r="AU63" i="39"/>
  <c r="AO63" i="39"/>
  <c r="AL63" i="39"/>
  <c r="AF63" i="39"/>
  <c r="AC63" i="39"/>
  <c r="W63" i="39"/>
  <c r="T63" i="39"/>
  <c r="N63" i="39"/>
  <c r="K63" i="39"/>
  <c r="E63" i="39"/>
  <c r="B63" i="39"/>
  <c r="BG62" i="39"/>
  <c r="BD62" i="39"/>
  <c r="AX62" i="39"/>
  <c r="AU62" i="39"/>
  <c r="AO62" i="39"/>
  <c r="AL62" i="39"/>
  <c r="AF62" i="39"/>
  <c r="AC62" i="39"/>
  <c r="W62" i="39"/>
  <c r="T62" i="39"/>
  <c r="N62" i="39"/>
  <c r="K62" i="39"/>
  <c r="E62" i="39"/>
  <c r="B62" i="39"/>
  <c r="BG61" i="39"/>
  <c r="BD61" i="39"/>
  <c r="AX61" i="39"/>
  <c r="AU61" i="39"/>
  <c r="AO61" i="39"/>
  <c r="AL61" i="39"/>
  <c r="AF61" i="39"/>
  <c r="AC61" i="39"/>
  <c r="W61" i="39"/>
  <c r="T61" i="39"/>
  <c r="N61" i="39"/>
  <c r="K61" i="39"/>
  <c r="E61" i="39"/>
  <c r="B61" i="39"/>
  <c r="BG60" i="39"/>
  <c r="BD60" i="39"/>
  <c r="AX60" i="39"/>
  <c r="AU60" i="39"/>
  <c r="AO60" i="39"/>
  <c r="AL60" i="39"/>
  <c r="AF60" i="39"/>
  <c r="AC60" i="39"/>
  <c r="W60" i="39"/>
  <c r="T60" i="39"/>
  <c r="N60" i="39"/>
  <c r="K60" i="39"/>
  <c r="E60" i="39"/>
  <c r="B60" i="39"/>
  <c r="BG59" i="39"/>
  <c r="BD59" i="39"/>
  <c r="AX59" i="39"/>
  <c r="AU59" i="39"/>
  <c r="AO59" i="39"/>
  <c r="AL59" i="39"/>
  <c r="AF59" i="39"/>
  <c r="AC59" i="39"/>
  <c r="W59" i="39"/>
  <c r="T59" i="39"/>
  <c r="N59" i="39"/>
  <c r="K59" i="39"/>
  <c r="E59" i="39"/>
  <c r="B59" i="39"/>
  <c r="BG58" i="39"/>
  <c r="BD58" i="39"/>
  <c r="AX58" i="39"/>
  <c r="AU58" i="39"/>
  <c r="AO58" i="39"/>
  <c r="AL58" i="39"/>
  <c r="AF58" i="39"/>
  <c r="AC58" i="39"/>
  <c r="W58" i="39"/>
  <c r="T58" i="39"/>
  <c r="N58" i="39"/>
  <c r="K58" i="39"/>
  <c r="E58" i="39"/>
  <c r="B58" i="39"/>
  <c r="BG57" i="39"/>
  <c r="BD57" i="39"/>
  <c r="AX57" i="39"/>
  <c r="AU57" i="39"/>
  <c r="AO57" i="39"/>
  <c r="AL57" i="39"/>
  <c r="AF57" i="39"/>
  <c r="AC57" i="39"/>
  <c r="W57" i="39"/>
  <c r="T57" i="39"/>
  <c r="N57" i="39"/>
  <c r="K57" i="39"/>
  <c r="E57" i="39"/>
  <c r="B57" i="39"/>
  <c r="BG56" i="39"/>
  <c r="BD56" i="39"/>
  <c r="AX56" i="39"/>
  <c r="AU56" i="39"/>
  <c r="AO56" i="39"/>
  <c r="AL56" i="39"/>
  <c r="AF56" i="39"/>
  <c r="AC56" i="39"/>
  <c r="W56" i="39"/>
  <c r="T56" i="39"/>
  <c r="N56" i="39"/>
  <c r="K56" i="39"/>
  <c r="E56" i="39"/>
  <c r="B56" i="39"/>
  <c r="BG55" i="39"/>
  <c r="BD55" i="39"/>
  <c r="AX55" i="39"/>
  <c r="AU55" i="39"/>
  <c r="AO55" i="39"/>
  <c r="AL55" i="39"/>
  <c r="AF55" i="39"/>
  <c r="AC55" i="39"/>
  <c r="W55" i="39"/>
  <c r="T55" i="39"/>
  <c r="N55" i="39"/>
  <c r="K55" i="39"/>
  <c r="E55" i="39"/>
  <c r="B55" i="39"/>
  <c r="BG54" i="39"/>
  <c r="BD54" i="39"/>
  <c r="AX54" i="39"/>
  <c r="AU54" i="39"/>
  <c r="AO54" i="39"/>
  <c r="AL54" i="39"/>
  <c r="AF54" i="39"/>
  <c r="AC54" i="39"/>
  <c r="W54" i="39"/>
  <c r="T54" i="39"/>
  <c r="N54" i="39"/>
  <c r="K54" i="39"/>
  <c r="E54" i="39"/>
  <c r="B54" i="39"/>
  <c r="BG53" i="39"/>
  <c r="BD53" i="39"/>
  <c r="AX53" i="39"/>
  <c r="AU53" i="39"/>
  <c r="AO53" i="39"/>
  <c r="AL53" i="39"/>
  <c r="AF53" i="39"/>
  <c r="AC53" i="39"/>
  <c r="W53" i="39"/>
  <c r="T53" i="39"/>
  <c r="N53" i="39"/>
  <c r="K53" i="39"/>
  <c r="E53" i="39"/>
  <c r="B53" i="39"/>
  <c r="BG52" i="39"/>
  <c r="BD52" i="39"/>
  <c r="AX52" i="39"/>
  <c r="AU52" i="39"/>
  <c r="AO52" i="39"/>
  <c r="AL52" i="39"/>
  <c r="AF52" i="39"/>
  <c r="AC52" i="39"/>
  <c r="W52" i="39"/>
  <c r="T52" i="39"/>
  <c r="N52" i="39"/>
  <c r="K52" i="39"/>
  <c r="E52" i="39"/>
  <c r="B52" i="39"/>
  <c r="BG51" i="39"/>
  <c r="BD51" i="39"/>
  <c r="AX51" i="39"/>
  <c r="AU51" i="39"/>
  <c r="AO51" i="39"/>
  <c r="AL51" i="39"/>
  <c r="AF51" i="39"/>
  <c r="AC51" i="39"/>
  <c r="W51" i="39"/>
  <c r="T51" i="39"/>
  <c r="N51" i="39"/>
  <c r="K51" i="39"/>
  <c r="E51" i="39"/>
  <c r="B51" i="39"/>
  <c r="BG50" i="39"/>
  <c r="BD50" i="39"/>
  <c r="AX50" i="39"/>
  <c r="AU50" i="39"/>
  <c r="AO50" i="39"/>
  <c r="AL50" i="39"/>
  <c r="AF50" i="39"/>
  <c r="AC50" i="39"/>
  <c r="W50" i="39"/>
  <c r="T50" i="39"/>
  <c r="N50" i="39"/>
  <c r="K50" i="39"/>
  <c r="E50" i="39"/>
  <c r="B50" i="39"/>
  <c r="BG49" i="39"/>
  <c r="BD49" i="39"/>
  <c r="AX49" i="39"/>
  <c r="AU49" i="39"/>
  <c r="AO49" i="39"/>
  <c r="AL49" i="39"/>
  <c r="AF49" i="39"/>
  <c r="AC49" i="39"/>
  <c r="W49" i="39"/>
  <c r="T49" i="39"/>
  <c r="N49" i="39"/>
  <c r="K49" i="39"/>
  <c r="E49" i="39"/>
  <c r="B49" i="39"/>
  <c r="BJ47" i="39"/>
  <c r="BA47" i="39"/>
  <c r="AR47" i="39"/>
  <c r="AI47" i="39"/>
  <c r="Z47" i="39"/>
  <c r="Q47" i="39"/>
  <c r="H47" i="39"/>
  <c r="BG46" i="39"/>
  <c r="BH46" i="39" s="1"/>
  <c r="Y3" i="39" s="1"/>
  <c r="AX46" i="39"/>
  <c r="AY46" i="39" s="1"/>
  <c r="X3" i="39" s="1"/>
  <c r="AO46" i="39"/>
  <c r="AP46" i="39" s="1"/>
  <c r="W3" i="39" s="1"/>
  <c r="AG46" i="39"/>
  <c r="V3" i="39" s="1"/>
  <c r="AF46" i="39"/>
  <c r="W46" i="39"/>
  <c r="X46" i="39" s="1"/>
  <c r="U3" i="39" s="1"/>
  <c r="N46" i="39"/>
  <c r="O46" i="39" s="1"/>
  <c r="T3" i="39" s="1"/>
  <c r="E46" i="39"/>
  <c r="F46" i="39" s="1"/>
  <c r="S3" i="39" s="1"/>
  <c r="BJ44" i="39"/>
  <c r="BA44" i="39"/>
  <c r="AR44" i="39"/>
  <c r="AI44" i="39"/>
  <c r="Z44" i="39"/>
  <c r="Q44" i="39"/>
  <c r="H44" i="39"/>
  <c r="BG43" i="39"/>
  <c r="BD43" i="39"/>
  <c r="AX43" i="39"/>
  <c r="AU43" i="39"/>
  <c r="AO43" i="39"/>
  <c r="AL43" i="39"/>
  <c r="AF43" i="39"/>
  <c r="AC43" i="39"/>
  <c r="W43" i="39"/>
  <c r="T43" i="39"/>
  <c r="N43" i="39"/>
  <c r="K43" i="39"/>
  <c r="E43" i="39"/>
  <c r="B43" i="39"/>
  <c r="BG42" i="39"/>
  <c r="BD42" i="39"/>
  <c r="AX42" i="39"/>
  <c r="AU42" i="39"/>
  <c r="AO42" i="39"/>
  <c r="AL42" i="39"/>
  <c r="AF42" i="39"/>
  <c r="AC42" i="39"/>
  <c r="W42" i="39"/>
  <c r="T42" i="39"/>
  <c r="N42" i="39"/>
  <c r="K42" i="39"/>
  <c r="E42" i="39"/>
  <c r="B42" i="39"/>
  <c r="BG41" i="39"/>
  <c r="BD41" i="39"/>
  <c r="AX41" i="39"/>
  <c r="AU41" i="39"/>
  <c r="AO41" i="39"/>
  <c r="AL41" i="39"/>
  <c r="AF41" i="39"/>
  <c r="AC41" i="39"/>
  <c r="W41" i="39"/>
  <c r="T41" i="39"/>
  <c r="N41" i="39"/>
  <c r="K41" i="39"/>
  <c r="E41" i="39"/>
  <c r="B41" i="39"/>
  <c r="BG40" i="39"/>
  <c r="BD40" i="39"/>
  <c r="AX40" i="39"/>
  <c r="AU40" i="39"/>
  <c r="AO40" i="39"/>
  <c r="AL40" i="39"/>
  <c r="AF40" i="39"/>
  <c r="AC40" i="39"/>
  <c r="W40" i="39"/>
  <c r="T40" i="39"/>
  <c r="N40" i="39"/>
  <c r="K40" i="39"/>
  <c r="E40" i="39"/>
  <c r="B40" i="39"/>
  <c r="BG39" i="39"/>
  <c r="BD39" i="39"/>
  <c r="AX39" i="39"/>
  <c r="AU39" i="39"/>
  <c r="AO39" i="39"/>
  <c r="AL39" i="39"/>
  <c r="AF39" i="39"/>
  <c r="AC39" i="39"/>
  <c r="W39" i="39"/>
  <c r="T39" i="39"/>
  <c r="N39" i="39"/>
  <c r="K39" i="39"/>
  <c r="E39" i="39"/>
  <c r="B39" i="39"/>
  <c r="BG38" i="39"/>
  <c r="BD38" i="39"/>
  <c r="AX38" i="39"/>
  <c r="AU38" i="39"/>
  <c r="AO38" i="39"/>
  <c r="AL38" i="39"/>
  <c r="AF38" i="39"/>
  <c r="AC38" i="39"/>
  <c r="W38" i="39"/>
  <c r="T38" i="39"/>
  <c r="N38" i="39"/>
  <c r="K38" i="39"/>
  <c r="E38" i="39"/>
  <c r="B38" i="39"/>
  <c r="BG37" i="39"/>
  <c r="BD37" i="39"/>
  <c r="AX37" i="39"/>
  <c r="AU37" i="39"/>
  <c r="AO37" i="39"/>
  <c r="AL37" i="39"/>
  <c r="AF37" i="39"/>
  <c r="AC37" i="39"/>
  <c r="W37" i="39"/>
  <c r="T37" i="39"/>
  <c r="N37" i="39"/>
  <c r="K37" i="39"/>
  <c r="E37" i="39"/>
  <c r="B37" i="39"/>
  <c r="BG36" i="39"/>
  <c r="BD36" i="39"/>
  <c r="AX36" i="39"/>
  <c r="AU36" i="39"/>
  <c r="AO36" i="39"/>
  <c r="AL36" i="39"/>
  <c r="AF36" i="39"/>
  <c r="AC36" i="39"/>
  <c r="W36" i="39"/>
  <c r="T36" i="39"/>
  <c r="N36" i="39"/>
  <c r="K36" i="39"/>
  <c r="E36" i="39"/>
  <c r="B36" i="39"/>
  <c r="BG35" i="39"/>
  <c r="BD35" i="39"/>
  <c r="AX35" i="39"/>
  <c r="AU35" i="39"/>
  <c r="AO35" i="39"/>
  <c r="AL35" i="39"/>
  <c r="AF35" i="39"/>
  <c r="AC35" i="39"/>
  <c r="W35" i="39"/>
  <c r="T35" i="39"/>
  <c r="N35" i="39"/>
  <c r="K35" i="39"/>
  <c r="E35" i="39"/>
  <c r="B35" i="39"/>
  <c r="BG34" i="39"/>
  <c r="BD34" i="39"/>
  <c r="AX34" i="39"/>
  <c r="AU34" i="39"/>
  <c r="AO34" i="39"/>
  <c r="AL34" i="39"/>
  <c r="AF34" i="39"/>
  <c r="AC34" i="39"/>
  <c r="W34" i="39"/>
  <c r="T34" i="39"/>
  <c r="N34" i="39"/>
  <c r="K34" i="39"/>
  <c r="E34" i="39"/>
  <c r="B34" i="39"/>
  <c r="BG33" i="39"/>
  <c r="BD33" i="39"/>
  <c r="AX33" i="39"/>
  <c r="AU33" i="39"/>
  <c r="AO33" i="39"/>
  <c r="AL33" i="39"/>
  <c r="AF33" i="39"/>
  <c r="AC33" i="39"/>
  <c r="W33" i="39"/>
  <c r="T33" i="39"/>
  <c r="N33" i="39"/>
  <c r="K33" i="39"/>
  <c r="E33" i="39"/>
  <c r="B33" i="39"/>
  <c r="BG32" i="39"/>
  <c r="BD32" i="39"/>
  <c r="AX32" i="39"/>
  <c r="AU32" i="39"/>
  <c r="AO32" i="39"/>
  <c r="AL32" i="39"/>
  <c r="AF32" i="39"/>
  <c r="AC32" i="39"/>
  <c r="W32" i="39"/>
  <c r="T32" i="39"/>
  <c r="N32" i="39"/>
  <c r="K32" i="39"/>
  <c r="E32" i="39"/>
  <c r="B32" i="39"/>
  <c r="BG31" i="39"/>
  <c r="BD31" i="39"/>
  <c r="AX31" i="39"/>
  <c r="AU31" i="39"/>
  <c r="AO31" i="39"/>
  <c r="AL31" i="39"/>
  <c r="AF31" i="39"/>
  <c r="AC31" i="39"/>
  <c r="W31" i="39"/>
  <c r="T31" i="39"/>
  <c r="N31" i="39"/>
  <c r="K31" i="39"/>
  <c r="E31" i="39"/>
  <c r="B31" i="39"/>
  <c r="BG30" i="39"/>
  <c r="BD30" i="39"/>
  <c r="AX30" i="39"/>
  <c r="AU30" i="39"/>
  <c r="AO30" i="39"/>
  <c r="AL30" i="39"/>
  <c r="AF30" i="39"/>
  <c r="AC30" i="39"/>
  <c r="W30" i="39"/>
  <c r="T30" i="39"/>
  <c r="N30" i="39"/>
  <c r="K30" i="39"/>
  <c r="E30" i="39"/>
  <c r="B30" i="39"/>
  <c r="BG29" i="39"/>
  <c r="BD29" i="39"/>
  <c r="AX29" i="39"/>
  <c r="AU29" i="39"/>
  <c r="AO29" i="39"/>
  <c r="AL29" i="39"/>
  <c r="AF29" i="39"/>
  <c r="AC29" i="39"/>
  <c r="W29" i="39"/>
  <c r="T29" i="39"/>
  <c r="N29" i="39"/>
  <c r="K29" i="39"/>
  <c r="E29" i="39"/>
  <c r="B29" i="39"/>
  <c r="BJ27" i="39"/>
  <c r="BA27" i="39"/>
  <c r="AR27" i="39"/>
  <c r="AI27" i="39"/>
  <c r="Z27" i="39"/>
  <c r="Q27" i="39"/>
  <c r="H27" i="39"/>
  <c r="BG26" i="39"/>
  <c r="BH26" i="39" s="1"/>
  <c r="R3" i="39" s="1"/>
  <c r="AX26" i="39"/>
  <c r="AY26" i="39" s="1"/>
  <c r="Q3" i="39" s="1"/>
  <c r="AO26" i="39"/>
  <c r="AP26" i="39" s="1"/>
  <c r="AF26" i="39"/>
  <c r="AG26" i="39" s="1"/>
  <c r="O3" i="39" s="1"/>
  <c r="W26" i="39"/>
  <c r="X26" i="39" s="1"/>
  <c r="N3" i="39" s="1"/>
  <c r="N26" i="39"/>
  <c r="O26" i="39" s="1"/>
  <c r="M3" i="39" s="1"/>
  <c r="E26" i="39"/>
  <c r="F26" i="39" s="1"/>
  <c r="L3" i="39" s="1"/>
  <c r="BJ24" i="39"/>
  <c r="BA24" i="39"/>
  <c r="AR24" i="39"/>
  <c r="AI24" i="39"/>
  <c r="Z24" i="39"/>
  <c r="Q24" i="39"/>
  <c r="H24" i="39"/>
  <c r="BG23" i="39"/>
  <c r="BD23" i="39"/>
  <c r="AX23" i="39"/>
  <c r="AU23" i="39"/>
  <c r="AO23" i="39"/>
  <c r="AL23" i="39"/>
  <c r="AF23" i="39"/>
  <c r="AC23" i="39"/>
  <c r="W23" i="39"/>
  <c r="T23" i="39"/>
  <c r="N23" i="39"/>
  <c r="K23" i="39"/>
  <c r="E23" i="39"/>
  <c r="B23" i="39"/>
  <c r="BG22" i="39"/>
  <c r="BD22" i="39"/>
  <c r="AX22" i="39"/>
  <c r="AU22" i="39"/>
  <c r="AO22" i="39"/>
  <c r="AL22" i="39"/>
  <c r="AF22" i="39"/>
  <c r="AC22" i="39"/>
  <c r="W22" i="39"/>
  <c r="T22" i="39"/>
  <c r="N22" i="39"/>
  <c r="K22" i="39"/>
  <c r="E22" i="39"/>
  <c r="B22" i="39"/>
  <c r="BG21" i="39"/>
  <c r="BD21" i="39"/>
  <c r="AX21" i="39"/>
  <c r="AU21" i="39"/>
  <c r="AO21" i="39"/>
  <c r="AL21" i="39"/>
  <c r="AF21" i="39"/>
  <c r="AC21" i="39"/>
  <c r="W21" i="39"/>
  <c r="T21" i="39"/>
  <c r="N21" i="39"/>
  <c r="K21" i="39"/>
  <c r="E21" i="39"/>
  <c r="B21" i="39"/>
  <c r="BG20" i="39"/>
  <c r="BD20" i="39"/>
  <c r="AX20" i="39"/>
  <c r="AU20" i="39"/>
  <c r="AO20" i="39"/>
  <c r="AL20" i="39"/>
  <c r="AF20" i="39"/>
  <c r="AC20" i="39"/>
  <c r="W20" i="39"/>
  <c r="T20" i="39"/>
  <c r="N20" i="39"/>
  <c r="K20" i="39"/>
  <c r="E20" i="39"/>
  <c r="B20" i="39"/>
  <c r="BG19" i="39"/>
  <c r="BD19" i="39"/>
  <c r="AX19" i="39"/>
  <c r="AU19" i="39"/>
  <c r="AO19" i="39"/>
  <c r="AL19" i="39"/>
  <c r="AF19" i="39"/>
  <c r="AC19" i="39"/>
  <c r="W19" i="39"/>
  <c r="T19" i="39"/>
  <c r="N19" i="39"/>
  <c r="K19" i="39"/>
  <c r="E19" i="39"/>
  <c r="B19" i="39"/>
  <c r="BG18" i="39"/>
  <c r="BD18" i="39"/>
  <c r="AX18" i="39"/>
  <c r="AU18" i="39"/>
  <c r="AO18" i="39"/>
  <c r="AL18" i="39"/>
  <c r="AF18" i="39"/>
  <c r="AC18" i="39"/>
  <c r="W18" i="39"/>
  <c r="T18" i="39"/>
  <c r="N18" i="39"/>
  <c r="K18" i="39"/>
  <c r="E18" i="39"/>
  <c r="B18" i="39"/>
  <c r="BG17" i="39"/>
  <c r="BD17" i="39"/>
  <c r="AX17" i="39"/>
  <c r="AU17" i="39"/>
  <c r="AO17" i="39"/>
  <c r="AL17" i="39"/>
  <c r="AF17" i="39"/>
  <c r="AC17" i="39"/>
  <c r="W17" i="39"/>
  <c r="T17" i="39"/>
  <c r="N17" i="39"/>
  <c r="K17" i="39"/>
  <c r="E17" i="39"/>
  <c r="B17" i="39"/>
  <c r="BG16" i="39"/>
  <c r="BD16" i="39"/>
  <c r="AX16" i="39"/>
  <c r="AU16" i="39"/>
  <c r="AO16" i="39"/>
  <c r="AL16" i="39"/>
  <c r="AF16" i="39"/>
  <c r="AC16" i="39"/>
  <c r="W16" i="39"/>
  <c r="T16" i="39"/>
  <c r="N16" i="39"/>
  <c r="K16" i="39"/>
  <c r="E16" i="39"/>
  <c r="B16" i="39"/>
  <c r="BG15" i="39"/>
  <c r="BD15" i="39"/>
  <c r="AX15" i="39"/>
  <c r="AU15" i="39"/>
  <c r="AO15" i="39"/>
  <c r="AL15" i="39"/>
  <c r="AF15" i="39"/>
  <c r="AC15" i="39"/>
  <c r="W15" i="39"/>
  <c r="T15" i="39"/>
  <c r="N15" i="39"/>
  <c r="K15" i="39"/>
  <c r="E15" i="39"/>
  <c r="B15" i="39"/>
  <c r="BG14" i="39"/>
  <c r="BD14" i="39"/>
  <c r="AX14" i="39"/>
  <c r="AU14" i="39"/>
  <c r="AO14" i="39"/>
  <c r="AL14" i="39"/>
  <c r="AF14" i="39"/>
  <c r="AC14" i="39"/>
  <c r="W14" i="39"/>
  <c r="T14" i="39"/>
  <c r="N14" i="39"/>
  <c r="K14" i="39"/>
  <c r="E14" i="39"/>
  <c r="B14" i="39"/>
  <c r="BG13" i="39"/>
  <c r="BD13" i="39"/>
  <c r="AX13" i="39"/>
  <c r="AU13" i="39"/>
  <c r="AO13" i="39"/>
  <c r="AL13" i="39"/>
  <c r="AF13" i="39"/>
  <c r="AC13" i="39"/>
  <c r="W13" i="39"/>
  <c r="T13" i="39"/>
  <c r="N13" i="39"/>
  <c r="K13" i="39"/>
  <c r="E13" i="39"/>
  <c r="B13" i="39"/>
  <c r="BG12" i="39"/>
  <c r="BD12" i="39"/>
  <c r="AX12" i="39"/>
  <c r="AU12" i="39"/>
  <c r="AO12" i="39"/>
  <c r="AL12" i="39"/>
  <c r="AF12" i="39"/>
  <c r="AC12" i="39"/>
  <c r="W12" i="39"/>
  <c r="T12" i="39"/>
  <c r="N12" i="39"/>
  <c r="K12" i="39"/>
  <c r="E12" i="39"/>
  <c r="B12" i="39"/>
  <c r="BG11" i="39"/>
  <c r="BD11" i="39"/>
  <c r="AX11" i="39"/>
  <c r="AU11" i="39"/>
  <c r="AO11" i="39"/>
  <c r="AL11" i="39"/>
  <c r="AF11" i="39"/>
  <c r="AC11" i="39"/>
  <c r="W11" i="39"/>
  <c r="T11" i="39"/>
  <c r="N11" i="39"/>
  <c r="K11" i="39"/>
  <c r="E11" i="39"/>
  <c r="B11" i="39"/>
  <c r="BG10" i="39"/>
  <c r="BD10" i="39"/>
  <c r="AX10" i="39"/>
  <c r="AU10" i="39"/>
  <c r="AO10" i="39"/>
  <c r="AL10" i="39"/>
  <c r="AF10" i="39"/>
  <c r="AC10" i="39"/>
  <c r="W10" i="39"/>
  <c r="T10" i="39"/>
  <c r="N10" i="39"/>
  <c r="K10" i="39"/>
  <c r="E10" i="39"/>
  <c r="D108" i="39" s="1" a="1"/>
  <c r="D108" i="39" s="1"/>
  <c r="B10" i="39"/>
  <c r="BG9" i="39"/>
  <c r="BD9" i="39"/>
  <c r="AX9" i="39"/>
  <c r="AU9" i="39"/>
  <c r="AO9" i="39"/>
  <c r="AL9" i="39"/>
  <c r="AF9" i="39"/>
  <c r="AC9" i="39"/>
  <c r="W9" i="39"/>
  <c r="T9" i="39"/>
  <c r="N9" i="39"/>
  <c r="K9" i="39"/>
  <c r="E9" i="39"/>
  <c r="B9" i="39"/>
  <c r="BJ7" i="39"/>
  <c r="BA7" i="39"/>
  <c r="AR7" i="39"/>
  <c r="AI7" i="39"/>
  <c r="Z7" i="39"/>
  <c r="Q7" i="39"/>
  <c r="H7" i="39"/>
  <c r="BG6" i="39"/>
  <c r="BH6" i="39" s="1"/>
  <c r="K3" i="39" s="1"/>
  <c r="AX6" i="39"/>
  <c r="AY6" i="39" s="1"/>
  <c r="J3" i="39" s="1"/>
  <c r="AO6" i="39"/>
  <c r="AP6" i="39" s="1"/>
  <c r="I3" i="39" s="1"/>
  <c r="AF6" i="39"/>
  <c r="AG6" i="39" s="1"/>
  <c r="H3" i="39" s="1"/>
  <c r="W6" i="39"/>
  <c r="X6" i="39" s="1"/>
  <c r="G3" i="39" s="1"/>
  <c r="N6" i="39"/>
  <c r="O6" i="39" s="1"/>
  <c r="F3" i="39" s="1"/>
  <c r="E6" i="39"/>
  <c r="A6" i="39"/>
  <c r="A24" i="39" s="1"/>
  <c r="AO3" i="39"/>
  <c r="P3" i="39"/>
  <c r="BG2" i="39"/>
  <c r="I1" i="39" a="1"/>
  <c r="I1" i="39" s="1"/>
  <c r="BE3" i="4"/>
  <c r="S111" i="4"/>
  <c r="Z87" i="4"/>
  <c r="Q87" i="4"/>
  <c r="H87" i="4"/>
  <c r="BJ67" i="4"/>
  <c r="BA67" i="4"/>
  <c r="AR67" i="4"/>
  <c r="AI67" i="4"/>
  <c r="Z67" i="4"/>
  <c r="Q67" i="4"/>
  <c r="H67" i="4"/>
  <c r="BJ47" i="4"/>
  <c r="BA47" i="4"/>
  <c r="AR47" i="4"/>
  <c r="AI47" i="4"/>
  <c r="Z47" i="4"/>
  <c r="Q47" i="4"/>
  <c r="H47" i="4"/>
  <c r="BJ27" i="4"/>
  <c r="BA27" i="4"/>
  <c r="AR27" i="4"/>
  <c r="AI27" i="4"/>
  <c r="Z27" i="4"/>
  <c r="Q27" i="4"/>
  <c r="H27" i="4"/>
  <c r="BJ7" i="4"/>
  <c r="BA7" i="4"/>
  <c r="AR7" i="4"/>
  <c r="AI7" i="4"/>
  <c r="Z7" i="4"/>
  <c r="Q7" i="4"/>
  <c r="H7" i="4"/>
  <c r="P38" i="7"/>
  <c r="Q38" i="7"/>
  <c r="R38" i="7"/>
  <c r="S38" i="7"/>
  <c r="T38" i="7"/>
  <c r="O20" i="7"/>
  <c r="P20" i="7"/>
  <c r="Q20" i="7"/>
  <c r="R20" i="7"/>
  <c r="S20" i="7"/>
  <c r="T20" i="7"/>
  <c r="L109" i="4" a="1"/>
  <c r="L109" i="4" s="1"/>
  <c r="M109" i="4" a="1"/>
  <c r="M109" i="4" s="1"/>
  <c r="N109" i="4" a="1"/>
  <c r="N109" i="4" s="1"/>
  <c r="O109" i="4" a="1"/>
  <c r="O109" i="4"/>
  <c r="P109" i="4" a="1"/>
  <c r="P109" i="4" s="1"/>
  <c r="Q109" i="4" a="1"/>
  <c r="Q109" i="4" s="1"/>
  <c r="R109" i="4" a="1"/>
  <c r="R109" i="4" s="1"/>
  <c r="S109" i="4" a="1"/>
  <c r="S109" i="4"/>
  <c r="T109" i="4" a="1"/>
  <c r="T109" i="4" s="1"/>
  <c r="U109" i="4" a="1"/>
  <c r="U109" i="4" s="1"/>
  <c r="V109" i="4" a="1"/>
  <c r="V109" i="4" s="1"/>
  <c r="W109" i="4" a="1"/>
  <c r="W109" i="4"/>
  <c r="X109" i="4" a="1"/>
  <c r="X109" i="4" s="1"/>
  <c r="Y109" i="4" a="1"/>
  <c r="Y109" i="4" s="1"/>
  <c r="Z109" i="4" a="1"/>
  <c r="Z109" i="4" s="1"/>
  <c r="AA109" i="4" a="1"/>
  <c r="AA109" i="4" s="1"/>
  <c r="AB109" i="4" a="1"/>
  <c r="AB109" i="4" s="1"/>
  <c r="AC109" i="4" a="1"/>
  <c r="AC109" i="4" s="1"/>
  <c r="AD109" i="4" a="1"/>
  <c r="AD109" i="4" s="1"/>
  <c r="AE109" i="4" a="1"/>
  <c r="AE109" i="4" s="1"/>
  <c r="AF109" i="4" a="1"/>
  <c r="AF109" i="4" s="1"/>
  <c r="M107" i="4"/>
  <c r="N107" i="4"/>
  <c r="O107" i="4"/>
  <c r="P107" i="4"/>
  <c r="Q107" i="4"/>
  <c r="R107" i="4"/>
  <c r="S107" i="4"/>
  <c r="T107" i="4"/>
  <c r="U107" i="4"/>
  <c r="V107" i="4"/>
  <c r="W107" i="4"/>
  <c r="X107" i="4"/>
  <c r="Y107" i="4"/>
  <c r="Z107" i="4"/>
  <c r="AA107" i="4"/>
  <c r="AB107" i="4"/>
  <c r="AC107" i="4"/>
  <c r="AD107" i="4"/>
  <c r="AE107" i="4"/>
  <c r="AF107" i="4"/>
  <c r="K33" i="9"/>
  <c r="Z43" i="7"/>
  <c r="AA41" i="7"/>
  <c r="X49" i="7"/>
  <c r="AI43" i="7"/>
  <c r="V48" i="7"/>
  <c r="AB46" i="7"/>
  <c r="AB28" i="7"/>
  <c r="W40" i="7"/>
  <c r="AF45" i="7"/>
  <c r="X31" i="7"/>
  <c r="AE24" i="7"/>
  <c r="AG41" i="7"/>
  <c r="Q43" i="7"/>
  <c r="X45" i="7"/>
  <c r="AC21" i="7"/>
  <c r="AH47" i="7"/>
  <c r="AI26" i="7"/>
  <c r="T26" i="7"/>
  <c r="AF22" i="7"/>
  <c r="AD26" i="7"/>
  <c r="AD23" i="7"/>
  <c r="S48" i="7"/>
  <c r="AI41" i="7"/>
  <c r="X25" i="7"/>
  <c r="AF43" i="7"/>
  <c r="AF27" i="7"/>
  <c r="AE26" i="7"/>
  <c r="AG22" i="7"/>
  <c r="AA27" i="7"/>
  <c r="Q41" i="7"/>
  <c r="AG44" i="7"/>
  <c r="Z46" i="7"/>
  <c r="Z42" i="7"/>
  <c r="AH27" i="7"/>
  <c r="AE43" i="7"/>
  <c r="AD28" i="7"/>
  <c r="S39" i="7"/>
  <c r="H5" i="7" a="1"/>
  <c r="V26" i="7"/>
  <c r="W50" i="7"/>
  <c r="V39" i="7"/>
  <c r="U22" i="7"/>
  <c r="AC41" i="7"/>
  <c r="R22" i="7"/>
  <c r="X44" i="7"/>
  <c r="Z39" i="7"/>
  <c r="AE27" i="7"/>
  <c r="R50" i="7"/>
  <c r="AC42" i="7"/>
  <c r="AA32" i="7"/>
  <c r="V25" i="7"/>
  <c r="AF29" i="7"/>
  <c r="T22" i="7"/>
  <c r="X26" i="7"/>
  <c r="AC30" i="7"/>
  <c r="AC25" i="7"/>
  <c r="AF26" i="7"/>
  <c r="W49" i="7"/>
  <c r="AA50" i="7"/>
  <c r="AD49" i="7"/>
  <c r="Z30" i="7"/>
  <c r="R28" i="7"/>
  <c r="R49" i="7"/>
  <c r="S29" i="7"/>
  <c r="P41" i="7"/>
  <c r="Y27" i="7"/>
  <c r="AE39" i="7"/>
  <c r="AA40" i="7"/>
  <c r="AG25" i="7"/>
  <c r="P46" i="7"/>
  <c r="AH21" i="7"/>
  <c r="R25" i="7"/>
  <c r="AC24" i="7"/>
  <c r="U30" i="7"/>
  <c r="AI49" i="7"/>
  <c r="R32" i="7"/>
  <c r="W41" i="7"/>
  <c r="Q32" i="7"/>
  <c r="Q48" i="7"/>
  <c r="Q31" i="7"/>
  <c r="AA46" i="7"/>
  <c r="Y43" i="7"/>
  <c r="AE45" i="7"/>
  <c r="S32" i="7"/>
  <c r="AD44" i="7"/>
  <c r="Y39" i="7"/>
  <c r="R44" i="7"/>
  <c r="H12" i="7" a="1"/>
  <c r="H6" i="7" a="1"/>
  <c r="AG40" i="7"/>
  <c r="AI24" i="7"/>
  <c r="AF21" i="7"/>
  <c r="S44" i="7"/>
  <c r="S46" i="7"/>
  <c r="AF31" i="7"/>
  <c r="U43" i="7"/>
  <c r="U32" i="7"/>
  <c r="S21" i="7"/>
  <c r="S28" i="7"/>
  <c r="S27" i="7"/>
  <c r="P28" i="7"/>
  <c r="Q30" i="7"/>
  <c r="AF28" i="7"/>
  <c r="T44" i="7"/>
  <c r="Y32" i="7"/>
  <c r="AA49" i="7"/>
  <c r="AG29" i="7"/>
  <c r="AD29" i="7"/>
  <c r="AH22" i="7"/>
  <c r="W22" i="7"/>
  <c r="V47" i="7"/>
  <c r="AA21" i="7"/>
  <c r="W42" i="7"/>
  <c r="W43" i="7"/>
  <c r="AA23" i="7"/>
  <c r="AC45" i="7"/>
  <c r="AD43" i="7"/>
  <c r="P32" i="7"/>
  <c r="AG24" i="7"/>
  <c r="Z28" i="7"/>
  <c r="T30" i="7"/>
  <c r="AG49" i="7"/>
  <c r="P39" i="7"/>
  <c r="AH40" i="7"/>
  <c r="AB23" i="7"/>
  <c r="W46" i="7"/>
  <c r="AG46" i="7"/>
  <c r="AF41" i="7"/>
  <c r="AE25" i="7"/>
  <c r="AC40" i="7"/>
  <c r="T46" i="7"/>
  <c r="AA22" i="7"/>
  <c r="V44" i="7"/>
  <c r="AE22" i="7"/>
  <c r="P23" i="7"/>
  <c r="U39" i="7"/>
  <c r="Y40" i="7"/>
  <c r="Y45" i="7"/>
  <c r="AA44" i="7"/>
  <c r="AH48" i="7"/>
  <c r="AC39" i="7"/>
  <c r="R45" i="7"/>
  <c r="Z48" i="7"/>
  <c r="R29" i="7"/>
  <c r="Q22" i="7"/>
  <c r="T48" i="7"/>
  <c r="S25" i="7"/>
  <c r="AA43" i="7"/>
  <c r="P31" i="7"/>
  <c r="S24" i="7"/>
  <c r="P27" i="7"/>
  <c r="U49" i="7"/>
  <c r="P44" i="7"/>
  <c r="H11" i="7" a="1"/>
  <c r="Z45" i="7"/>
  <c r="T27" i="7"/>
  <c r="Y29" i="7"/>
  <c r="AE21" i="7"/>
  <c r="AD32" i="7"/>
  <c r="W47" i="7"/>
  <c r="Z25" i="7"/>
  <c r="Z29" i="7"/>
  <c r="AE31" i="7"/>
  <c r="R40" i="7"/>
  <c r="AH29" i="7"/>
  <c r="Z23" i="7"/>
  <c r="AG23" i="7"/>
  <c r="AE40" i="7"/>
  <c r="X40" i="7"/>
  <c r="T23" i="7"/>
  <c r="AB43" i="7"/>
  <c r="V29" i="7"/>
  <c r="AF30" i="7"/>
  <c r="S49" i="7"/>
  <c r="AB21" i="7"/>
  <c r="P26" i="7"/>
  <c r="Y31" i="7"/>
  <c r="AD40" i="7"/>
  <c r="Y44" i="7"/>
  <c r="R30" i="7"/>
  <c r="W29" i="7"/>
  <c r="AD45" i="7"/>
  <c r="H16" i="7" a="1"/>
  <c r="Y28" i="7"/>
  <c r="AC46" i="7"/>
  <c r="AA39" i="7"/>
  <c r="AG21" i="7"/>
  <c r="Q42" i="7"/>
  <c r="T31" i="7"/>
  <c r="P40" i="7"/>
  <c r="AB42" i="7"/>
  <c r="U40" i="7"/>
  <c r="P25" i="7"/>
  <c r="S40" i="7"/>
  <c r="Q39" i="7"/>
  <c r="AH30" i="7"/>
  <c r="P45" i="7"/>
  <c r="U24" i="7"/>
  <c r="W48" i="7"/>
  <c r="W44" i="7"/>
  <c r="S23" i="7"/>
  <c r="AH49" i="7"/>
  <c r="R27" i="7"/>
  <c r="AF50" i="7"/>
  <c r="AB27" i="7"/>
  <c r="P42" i="7"/>
  <c r="H14" i="7" a="1"/>
  <c r="AI25" i="7"/>
  <c r="P49" i="7"/>
  <c r="S50" i="7"/>
  <c r="U26" i="7"/>
  <c r="AF49" i="7"/>
  <c r="Z22" i="7"/>
  <c r="S41" i="7"/>
  <c r="Z31" i="7"/>
  <c r="AI30" i="7"/>
  <c r="AF48" i="7"/>
  <c r="W21" i="7"/>
  <c r="AC31" i="7"/>
  <c r="Z50" i="7"/>
  <c r="AF25" i="7"/>
  <c r="AB41" i="7"/>
  <c r="U23" i="7"/>
  <c r="Q28" i="7"/>
  <c r="V46" i="7"/>
  <c r="R43" i="7"/>
  <c r="W45" i="7"/>
  <c r="X48" i="7"/>
  <c r="Z24" i="7"/>
  <c r="R47" i="7"/>
  <c r="R24" i="7"/>
  <c r="H10" i="7" a="1"/>
  <c r="R48" i="7"/>
  <c r="P50" i="7"/>
  <c r="AC44" i="7"/>
  <c r="AB39" i="7"/>
  <c r="AI23" i="7"/>
  <c r="AB32" i="7"/>
  <c r="AD42" i="7"/>
  <c r="AC28" i="7"/>
  <c r="AI22" i="7"/>
  <c r="X21" i="7"/>
  <c r="Y49" i="7"/>
  <c r="AH43" i="7"/>
  <c r="AI48" i="7"/>
  <c r="AC29" i="7"/>
  <c r="Y47" i="7"/>
  <c r="AF39" i="7"/>
  <c r="AC23" i="7"/>
  <c r="V41" i="7"/>
  <c r="U42" i="7"/>
  <c r="AD25" i="7"/>
  <c r="W25" i="7"/>
  <c r="V28" i="7"/>
  <c r="P30" i="7"/>
  <c r="AC48" i="7"/>
  <c r="AA30" i="7"/>
  <c r="P29" i="7"/>
  <c r="U50" i="7"/>
  <c r="U48" i="7"/>
  <c r="AA25" i="7"/>
  <c r="AG28" i="7"/>
  <c r="AG43" i="7"/>
  <c r="W28" i="7"/>
  <c r="U27" i="7"/>
  <c r="AF46" i="7"/>
  <c r="V22" i="7"/>
  <c r="R42" i="7"/>
  <c r="Z41" i="7"/>
  <c r="AH44" i="7"/>
  <c r="X24" i="7"/>
  <c r="AA28" i="7"/>
  <c r="AH42" i="7"/>
  <c r="AH23" i="7"/>
  <c r="V45" i="7"/>
  <c r="S45" i="7"/>
  <c r="S43" i="7"/>
  <c r="AC49" i="7"/>
  <c r="AH45" i="7"/>
  <c r="Z44" i="7"/>
  <c r="AF23" i="7"/>
  <c r="R46" i="7"/>
  <c r="S26" i="7"/>
  <c r="AI27" i="7"/>
  <c r="AD48" i="7"/>
  <c r="R23" i="7"/>
  <c r="AG31" i="7"/>
  <c r="T40" i="7"/>
  <c r="R39" i="7"/>
  <c r="AI21" i="7"/>
  <c r="X27" i="7"/>
  <c r="AD30" i="7"/>
  <c r="Q23" i="7"/>
  <c r="AA45" i="7"/>
  <c r="AC26" i="7"/>
  <c r="U28" i="7"/>
  <c r="AE29" i="7"/>
  <c r="T45" i="7"/>
  <c r="Q29" i="7"/>
  <c r="AH24" i="7"/>
  <c r="R21" i="7"/>
  <c r="W24" i="7"/>
  <c r="X42" i="7"/>
  <c r="U41" i="7"/>
  <c r="P24" i="7"/>
  <c r="W32" i="7"/>
  <c r="AE30" i="7"/>
  <c r="P47" i="7"/>
  <c r="V32" i="7"/>
  <c r="R31" i="7"/>
  <c r="Y41" i="7"/>
  <c r="AB31" i="7"/>
  <c r="AH41" i="7"/>
  <c r="T50" i="7"/>
  <c r="Q24" i="7"/>
  <c r="AI42" i="7"/>
  <c r="AG30" i="7"/>
  <c r="S31" i="7"/>
  <c r="T43" i="7"/>
  <c r="AB24" i="7"/>
  <c r="AB47" i="7"/>
  <c r="U44" i="7"/>
  <c r="Q46" i="7"/>
  <c r="AE32" i="7"/>
  <c r="V50" i="7"/>
  <c r="Y48" i="7"/>
  <c r="R26" i="7"/>
  <c r="AB50" i="7"/>
  <c r="V30" i="7"/>
  <c r="W26" i="7"/>
  <c r="X23" i="7"/>
  <c r="Q25" i="7"/>
  <c r="AF42" i="7"/>
  <c r="Z47" i="7"/>
  <c r="W31" i="7"/>
  <c r="Y23" i="7"/>
  <c r="AA29" i="7"/>
  <c r="AH46" i="7"/>
  <c r="AA48" i="7"/>
  <c r="X22" i="7"/>
  <c r="Q49" i="7"/>
  <c r="Q50" i="7"/>
  <c r="V23" i="7"/>
  <c r="W23" i="7"/>
  <c r="T29" i="7"/>
  <c r="AI44" i="7"/>
  <c r="P43" i="7"/>
  <c r="S42" i="7"/>
  <c r="AC22" i="7"/>
  <c r="AD46" i="7"/>
  <c r="Q27" i="7"/>
  <c r="AB25" i="7"/>
  <c r="AC43" i="7"/>
  <c r="X30" i="7"/>
  <c r="P48" i="7"/>
  <c r="W39" i="7"/>
  <c r="X41" i="7"/>
  <c r="H8" i="7" a="1"/>
  <c r="Y30" i="7"/>
  <c r="AC50" i="7"/>
  <c r="AD50" i="7"/>
  <c r="V49" i="7"/>
  <c r="AF32" i="7"/>
  <c r="V27" i="7"/>
  <c r="AD41" i="7"/>
  <c r="U21" i="7"/>
  <c r="AH39" i="7"/>
  <c r="AB29" i="7"/>
  <c r="AC32" i="7"/>
  <c r="AI39" i="7"/>
  <c r="T49" i="7"/>
  <c r="AE50" i="7"/>
  <c r="AG26" i="7"/>
  <c r="AE28" i="7"/>
  <c r="Y46" i="7"/>
  <c r="AE23" i="7"/>
  <c r="V43" i="7"/>
  <c r="Q44" i="7"/>
  <c r="H9" i="7" a="1"/>
  <c r="AE42" i="7"/>
  <c r="Z49" i="7"/>
  <c r="Q45" i="7"/>
  <c r="T24" i="7"/>
  <c r="AD24" i="7"/>
  <c r="Z26" i="7"/>
  <c r="T42" i="7"/>
  <c r="AI31" i="7"/>
  <c r="AE41" i="7"/>
  <c r="T32" i="7"/>
  <c r="H13" i="7" a="1"/>
  <c r="AA24" i="7"/>
  <c r="AC27" i="7"/>
  <c r="AB44" i="7"/>
  <c r="T28" i="7"/>
  <c r="X46" i="7"/>
  <c r="AH28" i="7"/>
  <c r="AH25" i="7"/>
  <c r="AI32" i="7"/>
  <c r="S47" i="7"/>
  <c r="AB45" i="7"/>
  <c r="AG50" i="7"/>
  <c r="AE46" i="7"/>
  <c r="AE49" i="7"/>
  <c r="Y50" i="7"/>
  <c r="Q40" i="7"/>
  <c r="Y25" i="7"/>
  <c r="Z27" i="7"/>
  <c r="AG32" i="7"/>
  <c r="H7" i="7" a="1"/>
  <c r="D12" i="7" a="1"/>
  <c r="X39" i="7"/>
  <c r="AB49" i="7"/>
  <c r="Q21" i="7"/>
  <c r="T21" i="7"/>
  <c r="H15" i="7" a="1"/>
  <c r="R41" i="7"/>
  <c r="AI45" i="7"/>
  <c r="Y22" i="7"/>
  <c r="X47" i="7"/>
  <c r="Y42" i="7"/>
  <c r="S30" i="7"/>
  <c r="AH32" i="7"/>
  <c r="AB48" i="7"/>
  <c r="T41" i="7"/>
  <c r="Y24" i="7"/>
  <c r="AE48" i="7"/>
  <c r="T25" i="7"/>
  <c r="P22" i="7"/>
  <c r="W30" i="7"/>
  <c r="S22" i="7"/>
  <c r="AB40" i="7"/>
  <c r="AG48" i="7"/>
  <c r="U31" i="7"/>
  <c r="AH50" i="7"/>
  <c r="Y26" i="7"/>
  <c r="Z21" i="7"/>
  <c r="X50" i="7"/>
  <c r="AD22" i="7"/>
  <c r="AG45" i="7"/>
  <c r="AD47" i="7"/>
  <c r="AC47" i="7"/>
  <c r="AA26" i="7"/>
  <c r="P21" i="7"/>
  <c r="AA42" i="7"/>
  <c r="AI29" i="7"/>
  <c r="AD31" i="7"/>
  <c r="AG27" i="7"/>
  <c r="AF47" i="7"/>
  <c r="AE47" i="7"/>
  <c r="AD27" i="7"/>
  <c r="V40" i="7"/>
  <c r="AD21" i="7"/>
  <c r="AA31" i="7"/>
  <c r="T47" i="7"/>
  <c r="AF44" i="7"/>
  <c r="AE44" i="7"/>
  <c r="AA47" i="7"/>
  <c r="U47" i="7"/>
  <c r="U25" i="7"/>
  <c r="AI50" i="7"/>
  <c r="AF40" i="7"/>
  <c r="AI47" i="7"/>
  <c r="X29" i="7"/>
  <c r="U46" i="7"/>
  <c r="AH31" i="7"/>
  <c r="X28" i="7"/>
  <c r="AI40" i="7"/>
  <c r="AI28" i="7"/>
  <c r="Q26" i="7"/>
  <c r="Y21" i="7"/>
  <c r="AB22" i="7"/>
  <c r="AG39" i="7"/>
  <c r="X32" i="7"/>
  <c r="AI46" i="7"/>
  <c r="Q47" i="7"/>
  <c r="T39" i="7"/>
  <c r="V21" i="7"/>
  <c r="AF24" i="7"/>
  <c r="U45" i="7"/>
  <c r="AD39" i="7"/>
  <c r="V24" i="7"/>
  <c r="U29" i="7"/>
  <c r="Z40" i="7"/>
  <c r="AH26" i="7"/>
  <c r="AG42" i="7"/>
  <c r="W27" i="7"/>
  <c r="AG47" i="7"/>
  <c r="V31" i="7"/>
  <c r="V42" i="7"/>
  <c r="X43" i="7"/>
  <c r="AB30" i="7"/>
  <c r="AB26" i="7"/>
  <c r="Z32" i="7"/>
  <c r="L108" i="39" l="1" a="1"/>
  <c r="L108" i="39" s="1"/>
  <c r="AL2" i="39"/>
  <c r="C108" i="39" a="1"/>
  <c r="C108" i="39" s="1"/>
  <c r="F6" i="39"/>
  <c r="E3" i="39" s="1"/>
  <c r="X108" i="39" a="1"/>
  <c r="X108" i="39" s="1"/>
  <c r="AB108" i="39" a="1"/>
  <c r="AB108" i="39" s="1"/>
  <c r="AF108" i="39" a="1"/>
  <c r="AF108" i="39" s="1"/>
  <c r="B3" i="39"/>
  <c r="H108" i="39" a="1"/>
  <c r="H108" i="39" s="1"/>
  <c r="K108" i="39" a="1"/>
  <c r="K108" i="39" s="1"/>
  <c r="S111" i="39"/>
  <c r="BE3" i="39" s="1"/>
  <c r="AE108" i="39" a="1"/>
  <c r="AE108" i="39" s="1"/>
  <c r="AA108" i="39" a="1"/>
  <c r="AA108" i="39" s="1"/>
  <c r="W108" i="39" a="1"/>
  <c r="W108" i="39" s="1"/>
  <c r="S108" i="39" a="1"/>
  <c r="S108" i="39" s="1"/>
  <c r="O108" i="39" a="1"/>
  <c r="O108" i="39" s="1"/>
  <c r="V108" i="39" a="1"/>
  <c r="V108" i="39" s="1"/>
  <c r="N108" i="39" a="1"/>
  <c r="N108" i="39" s="1"/>
  <c r="F108" i="39" a="1"/>
  <c r="F108" i="39" s="1"/>
  <c r="AD108" i="39" a="1"/>
  <c r="AD108" i="39" s="1"/>
  <c r="Z108" i="39" a="1"/>
  <c r="Z108" i="39" s="1"/>
  <c r="R108" i="39" a="1"/>
  <c r="R108" i="39" s="1"/>
  <c r="J108" i="39" a="1"/>
  <c r="J108" i="39" s="1"/>
  <c r="B108" i="39" a="1"/>
  <c r="B108" i="39" s="1"/>
  <c r="Y108" i="39" a="1"/>
  <c r="Y108" i="39" s="1"/>
  <c r="Q108" i="39" a="1"/>
  <c r="Q108" i="39" s="1"/>
  <c r="I108" i="39" a="1"/>
  <c r="I108" i="39" s="1"/>
  <c r="AC108" i="39" a="1"/>
  <c r="AC108" i="39" s="1"/>
  <c r="U108" i="39" a="1"/>
  <c r="U108" i="39" s="1"/>
  <c r="M108" i="39" a="1"/>
  <c r="M108" i="39" s="1"/>
  <c r="E108" i="39" a="1"/>
  <c r="E108" i="39" s="1"/>
  <c r="P108" i="39" a="1"/>
  <c r="P108" i="39" s="1"/>
  <c r="T108" i="39" a="1"/>
  <c r="T108" i="39" s="1"/>
  <c r="J6" i="39"/>
  <c r="E2" i="39"/>
  <c r="H16" i="7"/>
  <c r="H15" i="7"/>
  <c r="H14" i="7"/>
  <c r="H13" i="7"/>
  <c r="H12" i="7"/>
  <c r="H11" i="7"/>
  <c r="H10" i="7"/>
  <c r="H9" i="7"/>
  <c r="H8" i="7"/>
  <c r="H7" i="7"/>
  <c r="H6" i="7"/>
  <c r="H5" i="7"/>
  <c r="D12" i="7"/>
  <c r="AB51" i="7"/>
  <c r="AI51" i="7"/>
  <c r="AA51" i="7"/>
  <c r="AH51" i="7"/>
  <c r="Z51" i="7"/>
  <c r="AG51" i="7"/>
  <c r="Y51" i="7"/>
  <c r="AF51" i="7"/>
  <c r="X51" i="7"/>
  <c r="AE51" i="7"/>
  <c r="W51" i="7"/>
  <c r="AD51" i="7"/>
  <c r="V51" i="7"/>
  <c r="AC51" i="7"/>
  <c r="U51" i="7"/>
  <c r="AB33" i="7"/>
  <c r="AI33" i="7"/>
  <c r="AA33" i="7"/>
  <c r="AH33" i="7"/>
  <c r="Z33" i="7"/>
  <c r="AG33" i="7"/>
  <c r="Y33" i="7"/>
  <c r="AF33" i="7"/>
  <c r="X33" i="7"/>
  <c r="AE33" i="7"/>
  <c r="W33" i="7"/>
  <c r="AD33" i="7"/>
  <c r="V33" i="7"/>
  <c r="AC33" i="7"/>
  <c r="U33" i="7"/>
  <c r="T33" i="7"/>
  <c r="T51" i="7"/>
  <c r="S51" i="7"/>
  <c r="R51" i="7"/>
  <c r="Q51" i="7"/>
  <c r="P51" i="7"/>
  <c r="S33" i="7"/>
  <c r="R33" i="7"/>
  <c r="Q33" i="7"/>
  <c r="P33" i="7"/>
  <c r="B2" i="39" l="1"/>
  <c r="AQ2" i="39" s="1"/>
  <c r="S6" i="39"/>
  <c r="J24" i="39"/>
  <c r="F2" i="39"/>
  <c r="C107" i="4"/>
  <c r="D107" i="4"/>
  <c r="E107" i="4"/>
  <c r="F107" i="4"/>
  <c r="G107" i="4"/>
  <c r="H107" i="4"/>
  <c r="I107" i="4"/>
  <c r="J107" i="4"/>
  <c r="K107" i="4"/>
  <c r="L107" i="4"/>
  <c r="B107" i="4"/>
  <c r="E20" i="7"/>
  <c r="T17" i="9"/>
  <c r="O38" i="7"/>
  <c r="N38" i="7"/>
  <c r="M38" i="7"/>
  <c r="L38" i="7"/>
  <c r="K38" i="7"/>
  <c r="J38" i="7"/>
  <c r="I38" i="7"/>
  <c r="H38" i="7"/>
  <c r="G38" i="7"/>
  <c r="F38" i="7"/>
  <c r="E38" i="7"/>
  <c r="F20" i="7"/>
  <c r="G20" i="7"/>
  <c r="H20" i="7"/>
  <c r="I20" i="7"/>
  <c r="J20" i="7"/>
  <c r="K20" i="7"/>
  <c r="L20" i="7"/>
  <c r="M20" i="7"/>
  <c r="N20" i="7"/>
  <c r="B9" i="4"/>
  <c r="P1" i="7"/>
  <c r="B1" i="10"/>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40" i="9"/>
  <c r="F5" i="9" a="1"/>
  <c r="F5" i="9" s="1"/>
  <c r="R8" i="9"/>
  <c r="N18" i="9" a="1"/>
  <c r="N18" i="9" s="1"/>
  <c r="B11" i="9" a="1"/>
  <c r="B11" i="9" s="1"/>
  <c r="C100" i="7" a="1"/>
  <c r="C100" i="7" s="1"/>
  <c r="A97" i="7"/>
  <c r="A96" i="7"/>
  <c r="A95" i="7"/>
  <c r="C95" i="7" s="1"/>
  <c r="A94" i="7"/>
  <c r="C94" i="7" s="1"/>
  <c r="A93" i="7"/>
  <c r="C93" i="7" s="1"/>
  <c r="A92" i="7"/>
  <c r="C92" i="7" s="1"/>
  <c r="A91" i="7"/>
  <c r="C91" i="7" s="1"/>
  <c r="A90" i="7"/>
  <c r="C90" i="7" s="1"/>
  <c r="A89" i="7"/>
  <c r="C89" i="7" s="1"/>
  <c r="A88" i="7"/>
  <c r="A87" i="7"/>
  <c r="C87" i="7" s="1"/>
  <c r="A86" i="7"/>
  <c r="C86" i="7" s="1"/>
  <c r="C97" i="7"/>
  <c r="C96" i="7"/>
  <c r="C88" i="7"/>
  <c r="G71" i="7"/>
  <c r="T4" i="9"/>
  <c r="S12" i="7"/>
  <c r="G13" i="9" a="1"/>
  <c r="H109" i="7" a="1"/>
  <c r="AQ3" i="39" l="1"/>
  <c r="AT2" i="39"/>
  <c r="AY2" i="39" s="1"/>
  <c r="BI2" i="39" s="1"/>
  <c r="F1" i="39" s="1"/>
  <c r="S24" i="39"/>
  <c r="AB6" i="39"/>
  <c r="G2" i="39"/>
  <c r="G13" i="9"/>
  <c r="H109" i="7"/>
  <c r="H40" i="9"/>
  <c r="F40" i="9"/>
  <c r="R12" i="9"/>
  <c r="R11" i="9"/>
  <c r="R10" i="9"/>
  <c r="R9" i="9"/>
  <c r="BG2" i="4"/>
  <c r="B9" i="9"/>
  <c r="C37" i="9" s="1"/>
  <c r="A10" i="9"/>
  <c r="B10" i="9"/>
  <c r="I148" i="7" a="1"/>
  <c r="B118" i="7" a="1"/>
  <c r="H124" i="7" a="1"/>
  <c r="H117" i="7" a="1"/>
  <c r="H134" i="7" a="1"/>
  <c r="G122" i="7" a="1"/>
  <c r="B115" i="7" a="1"/>
  <c r="I132" i="7" a="1"/>
  <c r="B132" i="7" a="1"/>
  <c r="B111" i="7" a="1"/>
  <c r="G112" i="7" a="1"/>
  <c r="J120" i="7" a="1"/>
  <c r="B110" i="7" a="1"/>
  <c r="H130" i="7" a="1"/>
  <c r="I112" i="7" a="1"/>
  <c r="I113" i="7" a="1"/>
  <c r="H115" i="7" a="1"/>
  <c r="J146" i="7" a="1"/>
  <c r="G144" i="7" a="1"/>
  <c r="H135" i="7" a="1"/>
  <c r="B104" i="7" a="1"/>
  <c r="I124" i="7" a="1"/>
  <c r="G118" i="7" a="1"/>
  <c r="G129" i="7" a="1"/>
  <c r="J136" i="7" a="1"/>
  <c r="G136" i="7" a="1"/>
  <c r="H122" i="7" a="1"/>
  <c r="I119" i="7" a="1"/>
  <c r="H133" i="7" a="1"/>
  <c r="H152" i="7" a="1"/>
  <c r="B117" i="7" a="1"/>
  <c r="H107" i="7" a="1"/>
  <c r="I136" i="7" a="1"/>
  <c r="J141" i="7" a="1"/>
  <c r="G149" i="7" a="1"/>
  <c r="J135" i="7" a="1"/>
  <c r="H140" i="7" a="1"/>
  <c r="I122" i="7" a="1"/>
  <c r="I138" i="7" a="1"/>
  <c r="G115" i="7" a="1"/>
  <c r="G133" i="7" a="1"/>
  <c r="H150" i="7" a="1"/>
  <c r="J105" i="7" a="1"/>
  <c r="G135" i="7" a="1"/>
  <c r="B134" i="7" a="1"/>
  <c r="I149" i="7" a="1"/>
  <c r="B131" i="7" a="1"/>
  <c r="J144" i="7" a="1"/>
  <c r="J138" i="7" a="1"/>
  <c r="J114" i="7" a="1"/>
  <c r="H105" i="7" a="1"/>
  <c r="J142" i="7" a="1"/>
  <c r="G153" i="7" a="1"/>
  <c r="I121" i="7" a="1"/>
  <c r="J129" i="7" a="1"/>
  <c r="B141" i="7" a="1"/>
  <c r="I147" i="7" a="1"/>
  <c r="I151" i="7" a="1"/>
  <c r="B105" i="7" a="1"/>
  <c r="J130" i="7" a="1"/>
  <c r="G139" i="7" a="1"/>
  <c r="G130" i="7" a="1"/>
  <c r="J107" i="7" a="1"/>
  <c r="I139" i="7" a="1"/>
  <c r="B151" i="7" a="1"/>
  <c r="B129" i="7" a="1"/>
  <c r="J128" i="7" a="1"/>
  <c r="H108" i="7" a="1"/>
  <c r="H123" i="7" a="1"/>
  <c r="B119" i="7" a="1"/>
  <c r="I141" i="7" a="1"/>
  <c r="G125" i="7" a="1"/>
  <c r="B127" i="7" a="1"/>
  <c r="G140" i="7" a="1"/>
  <c r="B124" i="7" a="1"/>
  <c r="G137" i="7" a="1"/>
  <c r="G146" i="7" a="1"/>
  <c r="J147" i="7" a="1"/>
  <c r="H111" i="7" a="1"/>
  <c r="I145" i="7" a="1"/>
  <c r="G145" i="7" a="1"/>
  <c r="B116" i="7" a="1"/>
  <c r="I125" i="7" a="1"/>
  <c r="B112" i="7" a="1"/>
  <c r="H146" i="7" a="1"/>
  <c r="G108" i="7" a="1"/>
  <c r="J122" i="7" a="1"/>
  <c r="I105" i="7" a="1"/>
  <c r="I128" i="7" a="1"/>
  <c r="G132" i="7" a="1"/>
  <c r="B140" i="7" a="1"/>
  <c r="I135" i="7" a="1"/>
  <c r="H149" i="7" a="1"/>
  <c r="B139" i="7" a="1"/>
  <c r="I134" i="7" a="1"/>
  <c r="G142" i="7" a="1"/>
  <c r="I142" i="7" a="1"/>
  <c r="B150" i="7" a="1"/>
  <c r="B147" i="7" a="1"/>
  <c r="G109" i="7" a="1"/>
  <c r="J117" i="7" a="1"/>
  <c r="J123" i="7" a="1"/>
  <c r="H148" i="7" a="1"/>
  <c r="H116" i="7" a="1"/>
  <c r="J111" i="7" a="1"/>
  <c r="H131" i="7" a="1"/>
  <c r="G105" i="7" a="1"/>
  <c r="G147" i="7" a="1"/>
  <c r="B133" i="7" a="1"/>
  <c r="G106" i="7" a="1"/>
  <c r="J153" i="7" a="1"/>
  <c r="J134" i="7" a="1"/>
  <c r="J106" i="7" a="1"/>
  <c r="H138" i="7" a="1"/>
  <c r="B106" i="7" a="1"/>
  <c r="B109" i="7" a="1"/>
  <c r="I110" i="7" a="1"/>
  <c r="J133" i="7" a="1"/>
  <c r="H136" i="7" a="1"/>
  <c r="J148" i="7" a="1"/>
  <c r="I137" i="7" a="1"/>
  <c r="G119" i="7" a="1"/>
  <c r="B153" i="7" a="1"/>
  <c r="J112" i="7" a="1"/>
  <c r="H145" i="7" a="1"/>
  <c r="J118" i="7" a="1"/>
  <c r="B128" i="7" a="1"/>
  <c r="G150" i="7" a="1"/>
  <c r="I146" i="7" a="1"/>
  <c r="J104" i="7" a="1"/>
  <c r="H104" i="7" a="1"/>
  <c r="B113" i="7" a="1"/>
  <c r="J115" i="7" a="1"/>
  <c r="G128" i="7" a="1"/>
  <c r="I126" i="7" a="1"/>
  <c r="J110" i="7" a="1"/>
  <c r="B136" i="7" a="1"/>
  <c r="I143" i="7" a="1"/>
  <c r="G104" i="7" a="1"/>
  <c r="H126" i="7" a="1"/>
  <c r="J116" i="7" a="1"/>
  <c r="J150" i="7" a="1"/>
  <c r="G121" i="7" a="1"/>
  <c r="J143" i="7" a="1"/>
  <c r="G116" i="7" a="1"/>
  <c r="J124" i="7" a="1"/>
  <c r="H139" i="7" a="1"/>
  <c r="B149" i="7" a="1"/>
  <c r="G134" i="7" a="1"/>
  <c r="I115" i="7" a="1"/>
  <c r="J151" i="7" a="1"/>
  <c r="B144" i="7" a="1"/>
  <c r="I116" i="7" a="1"/>
  <c r="I129" i="7" a="1"/>
  <c r="J132" i="7" a="1"/>
  <c r="G124" i="7" a="1"/>
  <c r="B138" i="7" a="1"/>
  <c r="H114" i="7" a="1"/>
  <c r="H120" i="7" a="1"/>
  <c r="B107" i="7" a="1"/>
  <c r="J140" i="7" a="1"/>
  <c r="H110" i="7" a="1"/>
  <c r="B126" i="7" a="1"/>
  <c r="B125" i="7" a="1"/>
  <c r="H129" i="7" a="1"/>
  <c r="G107" i="7" a="1"/>
  <c r="G113" i="7" a="1"/>
  <c r="I109" i="7" a="1"/>
  <c r="B145" i="7" a="1"/>
  <c r="H151" i="7" a="1"/>
  <c r="H142" i="7" a="1"/>
  <c r="J131" i="7" a="1"/>
  <c r="I123" i="7" a="1"/>
  <c r="B143" i="7" a="1"/>
  <c r="I152" i="7" a="1"/>
  <c r="B135" i="7" a="1"/>
  <c r="H127" i="7" a="1"/>
  <c r="G148" i="7" a="1"/>
  <c r="H141" i="7" a="1"/>
  <c r="H121" i="7" a="1"/>
  <c r="H153" i="7" a="1"/>
  <c r="G151" i="7" a="1"/>
  <c r="H125" i="7" a="1"/>
  <c r="B142" i="7" a="1"/>
  <c r="B122" i="7" a="1"/>
  <c r="H144" i="7" a="1"/>
  <c r="H128" i="7" a="1"/>
  <c r="G143" i="7" a="1"/>
  <c r="B148" i="7" a="1"/>
  <c r="I118" i="7" a="1"/>
  <c r="J121" i="7" a="1"/>
  <c r="G126" i="7" a="1"/>
  <c r="B137" i="7" a="1"/>
  <c r="G114" i="7" a="1"/>
  <c r="G123" i="7" a="1"/>
  <c r="I153" i="7" a="1"/>
  <c r="J137" i="7" a="1"/>
  <c r="I111" i="7" a="1"/>
  <c r="B152" i="7" a="1"/>
  <c r="B108" i="7" a="1"/>
  <c r="B130" i="7" a="1"/>
  <c r="G141" i="7" a="1"/>
  <c r="H112" i="7" a="1"/>
  <c r="I120" i="7" a="1"/>
  <c r="G127" i="7" a="1"/>
  <c r="G152" i="7" a="1"/>
  <c r="J125" i="7" a="1"/>
  <c r="G120" i="7" a="1"/>
  <c r="I106" i="7" a="1"/>
  <c r="I150" i="7" a="1"/>
  <c r="J139" i="7" a="1"/>
  <c r="I114" i="7" a="1"/>
  <c r="J119" i="7" a="1"/>
  <c r="B121" i="7" a="1"/>
  <c r="H132" i="7" a="1"/>
  <c r="J113" i="7" a="1"/>
  <c r="B114" i="7" a="1"/>
  <c r="J109" i="7" a="1"/>
  <c r="G111" i="7" a="1"/>
  <c r="H147" i="7" a="1"/>
  <c r="I130" i="7" a="1"/>
  <c r="I127" i="7" a="1"/>
  <c r="H106" i="7" a="1"/>
  <c r="G110" i="7" a="1"/>
  <c r="B123" i="7" a="1"/>
  <c r="I131" i="7" a="1"/>
  <c r="G117" i="7" a="1"/>
  <c r="J145" i="7" a="1"/>
  <c r="H137" i="7" a="1"/>
  <c r="J126" i="7" a="1"/>
  <c r="J152" i="7" a="1"/>
  <c r="G131" i="7" a="1"/>
  <c r="H113" i="7" a="1"/>
  <c r="I104" i="7" a="1"/>
  <c r="I140" i="7" a="1"/>
  <c r="J149" i="7" a="1"/>
  <c r="I144" i="7" a="1"/>
  <c r="I133" i="7" a="1"/>
  <c r="I107" i="7" a="1"/>
  <c r="H118" i="7" a="1"/>
  <c r="H143" i="7" a="1"/>
  <c r="H119" i="7" a="1"/>
  <c r="B120" i="7" a="1"/>
  <c r="G138" i="7" a="1"/>
  <c r="I108" i="7" a="1"/>
  <c r="J127" i="7" a="1"/>
  <c r="I117" i="7" a="1"/>
  <c r="J108" i="7" a="1"/>
  <c r="B146" i="7" a="1"/>
  <c r="AT3" i="39" l="1"/>
  <c r="AW3" i="39"/>
  <c r="AB24" i="39"/>
  <c r="AK6" i="39"/>
  <c r="H2" i="39"/>
  <c r="G104" i="7"/>
  <c r="H153" i="7"/>
  <c r="H105" i="7"/>
  <c r="H117" i="7"/>
  <c r="H141" i="7"/>
  <c r="H113" i="7"/>
  <c r="H121" i="7"/>
  <c r="B105" i="7"/>
  <c r="H149" i="7"/>
  <c r="H125" i="7"/>
  <c r="H145" i="7"/>
  <c r="J109" i="7"/>
  <c r="H129" i="7"/>
  <c r="J104" i="7"/>
  <c r="H106" i="7"/>
  <c r="I104" i="7"/>
  <c r="I105" i="7"/>
  <c r="H104" i="7"/>
  <c r="G105" i="7"/>
  <c r="H133" i="7"/>
  <c r="B104" i="7"/>
  <c r="H137" i="7"/>
  <c r="J150" i="7"/>
  <c r="J118" i="7"/>
  <c r="J152" i="7"/>
  <c r="J139" i="7"/>
  <c r="J121" i="7"/>
  <c r="J153" i="7"/>
  <c r="J116" i="7"/>
  <c r="J126" i="7"/>
  <c r="J111" i="7"/>
  <c r="J128" i="7"/>
  <c r="J129" i="7"/>
  <c r="J142" i="7"/>
  <c r="J124" i="7"/>
  <c r="J134" i="7"/>
  <c r="J115" i="7"/>
  <c r="J144" i="7"/>
  <c r="J133" i="7"/>
  <c r="J135" i="7"/>
  <c r="J151" i="7"/>
  <c r="J107" i="7"/>
  <c r="J125" i="7"/>
  <c r="J140" i="7"/>
  <c r="J146" i="7"/>
  <c r="J119" i="7"/>
  <c r="J148" i="7"/>
  <c r="J137" i="7"/>
  <c r="J147" i="7"/>
  <c r="J106" i="7"/>
  <c r="J143" i="7"/>
  <c r="J123" i="7"/>
  <c r="J105" i="7"/>
  <c r="J141" i="7"/>
  <c r="J108" i="7"/>
  <c r="J127" i="7"/>
  <c r="J145" i="7"/>
  <c r="J136" i="7"/>
  <c r="J122" i="7"/>
  <c r="J120" i="7"/>
  <c r="J130" i="7"/>
  <c r="J110" i="7"/>
  <c r="J112" i="7"/>
  <c r="J113" i="7"/>
  <c r="J138" i="7"/>
  <c r="J114" i="7"/>
  <c r="J132" i="7"/>
  <c r="J131" i="7"/>
  <c r="J117" i="7"/>
  <c r="J149" i="7"/>
  <c r="I117" i="7"/>
  <c r="I149" i="7"/>
  <c r="I139" i="7"/>
  <c r="I111" i="7"/>
  <c r="I110" i="7"/>
  <c r="I142" i="7"/>
  <c r="I113" i="7"/>
  <c r="I145" i="7"/>
  <c r="I135" i="7"/>
  <c r="I152" i="7"/>
  <c r="I106" i="7"/>
  <c r="I138" i="7"/>
  <c r="I121" i="7"/>
  <c r="I153" i="7"/>
  <c r="I151" i="7"/>
  <c r="I143" i="7"/>
  <c r="I114" i="7"/>
  <c r="I146" i="7"/>
  <c r="I125" i="7"/>
  <c r="I115" i="7"/>
  <c r="I108" i="7"/>
  <c r="I112" i="7"/>
  <c r="I118" i="7"/>
  <c r="I150" i="7"/>
  <c r="I129" i="7"/>
  <c r="I119" i="7"/>
  <c r="I116" i="7"/>
  <c r="I120" i="7"/>
  <c r="I122" i="7"/>
  <c r="I107" i="7"/>
  <c r="I133" i="7"/>
  <c r="I123" i="7"/>
  <c r="I124" i="7"/>
  <c r="I128" i="7"/>
  <c r="I126" i="7"/>
  <c r="I147" i="7"/>
  <c r="I137" i="7"/>
  <c r="I127" i="7"/>
  <c r="I132" i="7"/>
  <c r="I136" i="7"/>
  <c r="I130" i="7"/>
  <c r="I144" i="7"/>
  <c r="I109" i="7"/>
  <c r="I141" i="7"/>
  <c r="I131" i="7"/>
  <c r="I140" i="7"/>
  <c r="I148" i="7"/>
  <c r="I134" i="7"/>
  <c r="H114" i="7"/>
  <c r="H146" i="7"/>
  <c r="H131" i="7"/>
  <c r="H116" i="7"/>
  <c r="H148" i="7"/>
  <c r="H118" i="7"/>
  <c r="H150" i="7"/>
  <c r="H135" i="7"/>
  <c r="H120" i="7"/>
  <c r="H122" i="7"/>
  <c r="H107" i="7"/>
  <c r="H139" i="7"/>
  <c r="H124" i="7"/>
  <c r="H126" i="7"/>
  <c r="H111" i="7"/>
  <c r="H143" i="7"/>
  <c r="H128" i="7"/>
  <c r="H152" i="7"/>
  <c r="H130" i="7"/>
  <c r="H115" i="7"/>
  <c r="H147" i="7"/>
  <c r="H132" i="7"/>
  <c r="H134" i="7"/>
  <c r="H119" i="7"/>
  <c r="H151" i="7"/>
  <c r="H136" i="7"/>
  <c r="H108" i="7"/>
  <c r="H138" i="7"/>
  <c r="H123" i="7"/>
  <c r="H140" i="7"/>
  <c r="H110" i="7"/>
  <c r="H142" i="7"/>
  <c r="H127" i="7"/>
  <c r="H112" i="7"/>
  <c r="H144" i="7"/>
  <c r="G137" i="7"/>
  <c r="G107" i="7"/>
  <c r="G139" i="7"/>
  <c r="G130" i="7"/>
  <c r="G113" i="7"/>
  <c r="G145" i="7"/>
  <c r="G134" i="7"/>
  <c r="G115" i="7"/>
  <c r="G147" i="7"/>
  <c r="G132" i="7"/>
  <c r="G122" i="7"/>
  <c r="G124" i="7"/>
  <c r="G117" i="7"/>
  <c r="G149" i="7"/>
  <c r="G138" i="7"/>
  <c r="G119" i="7"/>
  <c r="G151" i="7"/>
  <c r="G136" i="7"/>
  <c r="G121" i="7"/>
  <c r="G153" i="7"/>
  <c r="G142" i="7"/>
  <c r="G123" i="7"/>
  <c r="G108" i="7"/>
  <c r="G140" i="7"/>
  <c r="G125" i="7"/>
  <c r="G110" i="7"/>
  <c r="G150" i="7"/>
  <c r="G127" i="7"/>
  <c r="G112" i="7"/>
  <c r="G144" i="7"/>
  <c r="G129" i="7"/>
  <c r="G114" i="7"/>
  <c r="G106" i="7"/>
  <c r="G131" i="7"/>
  <c r="G116" i="7"/>
  <c r="G148" i="7"/>
  <c r="G133" i="7"/>
  <c r="G118" i="7"/>
  <c r="G146" i="7"/>
  <c r="G135" i="7"/>
  <c r="G120" i="7"/>
  <c r="G152" i="7"/>
  <c r="G109" i="7"/>
  <c r="G141" i="7"/>
  <c r="G126" i="7"/>
  <c r="G111" i="7"/>
  <c r="G143" i="7"/>
  <c r="G128" i="7"/>
  <c r="B125" i="7"/>
  <c r="B140" i="7"/>
  <c r="B130" i="7"/>
  <c r="B115" i="7"/>
  <c r="B147" i="7"/>
  <c r="B117" i="7"/>
  <c r="B129" i="7"/>
  <c r="B152" i="7"/>
  <c r="B134" i="7"/>
  <c r="B119" i="7"/>
  <c r="B151" i="7"/>
  <c r="B141" i="7"/>
  <c r="B137" i="7"/>
  <c r="B110" i="7"/>
  <c r="B142" i="7"/>
  <c r="B127" i="7"/>
  <c r="B116" i="7"/>
  <c r="B153" i="7"/>
  <c r="B113" i="7"/>
  <c r="B124" i="7"/>
  <c r="B122" i="7"/>
  <c r="B107" i="7"/>
  <c r="B139" i="7"/>
  <c r="B132" i="7"/>
  <c r="B121" i="7"/>
  <c r="B136" i="7"/>
  <c r="B126" i="7"/>
  <c r="B111" i="7"/>
  <c r="B143" i="7"/>
  <c r="B148" i="7"/>
  <c r="B133" i="7"/>
  <c r="B106" i="7"/>
  <c r="B138" i="7"/>
  <c r="B123" i="7"/>
  <c r="B108" i="7"/>
  <c r="B145" i="7"/>
  <c r="B149" i="7"/>
  <c r="B114" i="7"/>
  <c r="B146" i="7"/>
  <c r="B131" i="7"/>
  <c r="B120" i="7"/>
  <c r="B144" i="7"/>
  <c r="B109" i="7"/>
  <c r="B112" i="7"/>
  <c r="B118" i="7"/>
  <c r="B150" i="7"/>
  <c r="B135" i="7"/>
  <c r="B128" i="7"/>
  <c r="A9" i="9"/>
  <c r="B37" i="9" s="1"/>
  <c r="E1" i="3"/>
  <c r="AK24" i="39" l="1"/>
  <c r="I2" i="39"/>
  <c r="AT6" i="39"/>
  <c r="O18" i="9" a="1"/>
  <c r="O18" i="9" s="1"/>
  <c r="L21" i="9" a="1"/>
  <c r="L21" i="9" s="1"/>
  <c r="L25" i="9" a="1"/>
  <c r="L25" i="9" s="1"/>
  <c r="L29" i="9" a="1"/>
  <c r="L29" i="9" s="1"/>
  <c r="L22" i="9" a="1"/>
  <c r="L22" i="9" s="1"/>
  <c r="L26" i="9" a="1"/>
  <c r="L26" i="9" s="1"/>
  <c r="L30" i="9" a="1"/>
  <c r="L30" i="9" s="1"/>
  <c r="L31" i="9" a="1"/>
  <c r="L31" i="9" s="1"/>
  <c r="L23" i="9" a="1"/>
  <c r="L23" i="9" s="1"/>
  <c r="L27" i="9" a="1"/>
  <c r="L27" i="9" s="1"/>
  <c r="L24" i="9" a="1"/>
  <c r="L24" i="9" s="1"/>
  <c r="L28" i="9" a="1"/>
  <c r="L28" i="9" s="1"/>
  <c r="L20" i="9" a="1"/>
  <c r="L20" i="9" s="1"/>
  <c r="I1" i="4" a="1"/>
  <c r="I1" i="4" s="1"/>
  <c r="A82" i="7"/>
  <c r="C82" i="7" s="1"/>
  <c r="A81" i="7"/>
  <c r="C81" i="7" s="1"/>
  <c r="A80" i="7"/>
  <c r="A79" i="7"/>
  <c r="C79" i="7" s="1"/>
  <c r="A78" i="7"/>
  <c r="C78" i="7" s="1"/>
  <c r="A77" i="7"/>
  <c r="C77" i="7" s="1"/>
  <c r="A76" i="7"/>
  <c r="C76" i="7" s="1"/>
  <c r="A75" i="7"/>
  <c r="C75" i="7" s="1"/>
  <c r="A74" i="7"/>
  <c r="C74" i="7" s="1"/>
  <c r="A73" i="7"/>
  <c r="A72" i="7"/>
  <c r="C72" i="7" s="1"/>
  <c r="A71" i="7"/>
  <c r="C71" i="7" s="1"/>
  <c r="C80" i="7"/>
  <c r="C73" i="7"/>
  <c r="A50" i="7"/>
  <c r="C50" i="7" s="1"/>
  <c r="A49" i="7"/>
  <c r="C49" i="7" s="1"/>
  <c r="A48" i="7"/>
  <c r="C48" i="7" s="1"/>
  <c r="A47" i="7"/>
  <c r="C47" i="7" s="1"/>
  <c r="A46" i="7"/>
  <c r="A45" i="7"/>
  <c r="C45" i="7" s="1"/>
  <c r="A44" i="7"/>
  <c r="C44" i="7" s="1"/>
  <c r="A43" i="7"/>
  <c r="C43" i="7" s="1"/>
  <c r="A42" i="7"/>
  <c r="C42" i="7" s="1"/>
  <c r="A41" i="7"/>
  <c r="C41" i="7" s="1"/>
  <c r="A40" i="7"/>
  <c r="C40" i="7" s="1"/>
  <c r="A39" i="7"/>
  <c r="C39" i="7" s="1"/>
  <c r="C46" i="7"/>
  <c r="AO3" i="4"/>
  <c r="K109" i="4" a="1"/>
  <c r="K109" i="4" s="1"/>
  <c r="J109" i="4" a="1"/>
  <c r="J109" i="4" s="1"/>
  <c r="I109" i="4" a="1"/>
  <c r="I109" i="4" s="1"/>
  <c r="H109" i="4" a="1"/>
  <c r="H109" i="4" s="1"/>
  <c r="G109" i="4" a="1"/>
  <c r="G109" i="4" s="1"/>
  <c r="F109" i="4" a="1"/>
  <c r="F109" i="4" s="1"/>
  <c r="E109" i="4" a="1"/>
  <c r="E109" i="4" s="1"/>
  <c r="D109" i="4" a="1"/>
  <c r="D109" i="4" s="1"/>
  <c r="C109" i="4" a="1"/>
  <c r="C109" i="4" s="1"/>
  <c r="B109" i="4" a="1"/>
  <c r="B109" i="4" s="1"/>
  <c r="A32" i="7"/>
  <c r="C32" i="7" s="1"/>
  <c r="A31" i="7"/>
  <c r="C31" i="7" s="1"/>
  <c r="A30" i="7"/>
  <c r="C30" i="7" s="1"/>
  <c r="A29" i="7"/>
  <c r="C29" i="7" s="1"/>
  <c r="A28" i="7"/>
  <c r="C28" i="7" s="1"/>
  <c r="A27" i="7"/>
  <c r="C27" i="7" s="1"/>
  <c r="A26" i="7"/>
  <c r="C26" i="7" s="1"/>
  <c r="A25" i="7"/>
  <c r="C25" i="7" s="1"/>
  <c r="A24" i="7"/>
  <c r="C24" i="7" s="1"/>
  <c r="A23" i="7"/>
  <c r="C23" i="7" s="1"/>
  <c r="A22" i="7"/>
  <c r="C22" i="7" s="1"/>
  <c r="A21" i="7"/>
  <c r="C21" i="7" s="1"/>
  <c r="A16" i="7"/>
  <c r="C16" i="7" s="1"/>
  <c r="A15" i="7"/>
  <c r="C15" i="7" s="1"/>
  <c r="A14" i="7"/>
  <c r="C14" i="7" s="1"/>
  <c r="A13" i="7"/>
  <c r="C13" i="7" s="1"/>
  <c r="A12" i="7"/>
  <c r="C12" i="7" s="1"/>
  <c r="A11" i="7"/>
  <c r="C11" i="7" s="1"/>
  <c r="A10" i="7"/>
  <c r="C10" i="7" s="1"/>
  <c r="A9" i="7"/>
  <c r="C9" i="7" s="1"/>
  <c r="A8" i="7"/>
  <c r="C8" i="7" s="1"/>
  <c r="A7" i="7"/>
  <c r="C7" i="7" s="1"/>
  <c r="A6" i="7"/>
  <c r="C6" i="7" s="1"/>
  <c r="A5" i="7"/>
  <c r="C5" i="7" s="1"/>
  <c r="Z104" i="4"/>
  <c r="Q104" i="4"/>
  <c r="H104" i="4"/>
  <c r="W103" i="4"/>
  <c r="T103" i="4"/>
  <c r="N103" i="4"/>
  <c r="K103" i="4"/>
  <c r="E103" i="4"/>
  <c r="B103" i="4"/>
  <c r="W102" i="4"/>
  <c r="T102" i="4"/>
  <c r="N102" i="4"/>
  <c r="K102" i="4"/>
  <c r="E102" i="4"/>
  <c r="B102" i="4"/>
  <c r="W101" i="4"/>
  <c r="T101" i="4"/>
  <c r="N101" i="4"/>
  <c r="K101" i="4"/>
  <c r="E101" i="4"/>
  <c r="B101" i="4"/>
  <c r="W100" i="4"/>
  <c r="T100" i="4"/>
  <c r="N100" i="4"/>
  <c r="K100" i="4"/>
  <c r="E100" i="4"/>
  <c r="B100" i="4"/>
  <c r="W99" i="4"/>
  <c r="T99" i="4"/>
  <c r="N99" i="4"/>
  <c r="K99" i="4"/>
  <c r="E99" i="4"/>
  <c r="B99" i="4"/>
  <c r="W98" i="4"/>
  <c r="T98" i="4"/>
  <c r="N98" i="4"/>
  <c r="K98" i="4"/>
  <c r="E98" i="4"/>
  <c r="B98" i="4"/>
  <c r="W97" i="4"/>
  <c r="T97" i="4"/>
  <c r="N97" i="4"/>
  <c r="K97" i="4"/>
  <c r="E97" i="4"/>
  <c r="B97" i="4"/>
  <c r="W96" i="4"/>
  <c r="T96" i="4"/>
  <c r="N96" i="4"/>
  <c r="K96" i="4"/>
  <c r="E96" i="4"/>
  <c r="B96" i="4"/>
  <c r="W95" i="4"/>
  <c r="T95" i="4"/>
  <c r="N95" i="4"/>
  <c r="K95" i="4"/>
  <c r="E95" i="4"/>
  <c r="B95" i="4"/>
  <c r="W94" i="4"/>
  <c r="T94" i="4"/>
  <c r="N94" i="4"/>
  <c r="K94" i="4"/>
  <c r="E94" i="4"/>
  <c r="B94" i="4"/>
  <c r="W93" i="4"/>
  <c r="T93" i="4"/>
  <c r="N93" i="4"/>
  <c r="K93" i="4"/>
  <c r="E93" i="4"/>
  <c r="B93" i="4"/>
  <c r="W92" i="4"/>
  <c r="T92" i="4"/>
  <c r="N92" i="4"/>
  <c r="K92" i="4"/>
  <c r="E92" i="4"/>
  <c r="B92" i="4"/>
  <c r="W91" i="4"/>
  <c r="T91" i="4"/>
  <c r="N91" i="4"/>
  <c r="K91" i="4"/>
  <c r="E91" i="4"/>
  <c r="B91" i="4"/>
  <c r="W90" i="4"/>
  <c r="T90" i="4"/>
  <c r="N90" i="4"/>
  <c r="K90" i="4"/>
  <c r="E90" i="4"/>
  <c r="B90" i="4"/>
  <c r="W89" i="4"/>
  <c r="T89" i="4"/>
  <c r="N89" i="4"/>
  <c r="K89" i="4"/>
  <c r="E89" i="4"/>
  <c r="B89" i="4"/>
  <c r="W86" i="4"/>
  <c r="X86" i="4" s="1"/>
  <c r="AI3" i="4" s="1"/>
  <c r="N86" i="4"/>
  <c r="O86" i="4" s="1"/>
  <c r="AH3" i="4" s="1"/>
  <c r="E86" i="4"/>
  <c r="F86" i="4" s="1"/>
  <c r="AG3" i="4" s="1"/>
  <c r="BJ84" i="4"/>
  <c r="BA84" i="4"/>
  <c r="AR84" i="4"/>
  <c r="AI84" i="4"/>
  <c r="Z84" i="4"/>
  <c r="Q84" i="4"/>
  <c r="H84" i="4"/>
  <c r="BG83" i="4"/>
  <c r="BD83" i="4"/>
  <c r="AX83" i="4"/>
  <c r="AU83" i="4"/>
  <c r="AO83" i="4"/>
  <c r="AL83" i="4"/>
  <c r="AF83" i="4"/>
  <c r="AC83" i="4"/>
  <c r="W83" i="4"/>
  <c r="T83" i="4"/>
  <c r="N83" i="4"/>
  <c r="K83" i="4"/>
  <c r="E83" i="4"/>
  <c r="B83" i="4"/>
  <c r="BG82" i="4"/>
  <c r="BD82" i="4"/>
  <c r="AX82" i="4"/>
  <c r="AU82" i="4"/>
  <c r="AO82" i="4"/>
  <c r="AL82" i="4"/>
  <c r="AF82" i="4"/>
  <c r="AC82" i="4"/>
  <c r="W82" i="4"/>
  <c r="T82" i="4"/>
  <c r="N82" i="4"/>
  <c r="K82" i="4"/>
  <c r="E82" i="4"/>
  <c r="B82" i="4"/>
  <c r="BG81" i="4"/>
  <c r="BD81" i="4"/>
  <c r="AX81" i="4"/>
  <c r="AU81" i="4"/>
  <c r="AO81" i="4"/>
  <c r="AL81" i="4"/>
  <c r="AF81" i="4"/>
  <c r="AC81" i="4"/>
  <c r="W81" i="4"/>
  <c r="T81" i="4"/>
  <c r="N81" i="4"/>
  <c r="K81" i="4"/>
  <c r="E81" i="4"/>
  <c r="B81" i="4"/>
  <c r="BG80" i="4"/>
  <c r="BD80" i="4"/>
  <c r="AX80" i="4"/>
  <c r="AU80" i="4"/>
  <c r="AO80" i="4"/>
  <c r="AL80" i="4"/>
  <c r="AF80" i="4"/>
  <c r="AC80" i="4"/>
  <c r="W80" i="4"/>
  <c r="T80" i="4"/>
  <c r="N80" i="4"/>
  <c r="K80" i="4"/>
  <c r="E80" i="4"/>
  <c r="B80" i="4"/>
  <c r="BG79" i="4"/>
  <c r="BD79" i="4"/>
  <c r="AX79" i="4"/>
  <c r="AU79" i="4"/>
  <c r="AO79" i="4"/>
  <c r="AL79" i="4"/>
  <c r="AF79" i="4"/>
  <c r="AC79" i="4"/>
  <c r="W79" i="4"/>
  <c r="T79" i="4"/>
  <c r="N79" i="4"/>
  <c r="K79" i="4"/>
  <c r="E79" i="4"/>
  <c r="B79" i="4"/>
  <c r="BG78" i="4"/>
  <c r="BD78" i="4"/>
  <c r="AX78" i="4"/>
  <c r="AU78" i="4"/>
  <c r="AO78" i="4"/>
  <c r="AL78" i="4"/>
  <c r="AF78" i="4"/>
  <c r="AC78" i="4"/>
  <c r="W78" i="4"/>
  <c r="T78" i="4"/>
  <c r="N78" i="4"/>
  <c r="K78" i="4"/>
  <c r="E78" i="4"/>
  <c r="B78" i="4"/>
  <c r="BG77" i="4"/>
  <c r="BD77" i="4"/>
  <c r="AX77" i="4"/>
  <c r="AU77" i="4"/>
  <c r="AO77" i="4"/>
  <c r="AL77" i="4"/>
  <c r="AF77" i="4"/>
  <c r="AC77" i="4"/>
  <c r="W77" i="4"/>
  <c r="T77" i="4"/>
  <c r="N77" i="4"/>
  <c r="K77" i="4"/>
  <c r="E77" i="4"/>
  <c r="B77" i="4"/>
  <c r="BG76" i="4"/>
  <c r="BD76" i="4"/>
  <c r="AX76" i="4"/>
  <c r="AU76" i="4"/>
  <c r="AO76" i="4"/>
  <c r="AL76" i="4"/>
  <c r="AF76" i="4"/>
  <c r="AC76" i="4"/>
  <c r="W76" i="4"/>
  <c r="T76" i="4"/>
  <c r="N76" i="4"/>
  <c r="K76" i="4"/>
  <c r="E76" i="4"/>
  <c r="B76" i="4"/>
  <c r="BG75" i="4"/>
  <c r="BD75" i="4"/>
  <c r="AX75" i="4"/>
  <c r="AU75" i="4"/>
  <c r="AO75" i="4"/>
  <c r="AL75" i="4"/>
  <c r="AF75" i="4"/>
  <c r="AC75" i="4"/>
  <c r="W75" i="4"/>
  <c r="T75" i="4"/>
  <c r="N75" i="4"/>
  <c r="K75" i="4"/>
  <c r="E75" i="4"/>
  <c r="B75" i="4"/>
  <c r="BG74" i="4"/>
  <c r="BD74" i="4"/>
  <c r="AX74" i="4"/>
  <c r="AU74" i="4"/>
  <c r="AO74" i="4"/>
  <c r="AL74" i="4"/>
  <c r="AF74" i="4"/>
  <c r="AC74" i="4"/>
  <c r="W74" i="4"/>
  <c r="T74" i="4"/>
  <c r="N74" i="4"/>
  <c r="K74" i="4"/>
  <c r="E74" i="4"/>
  <c r="B74" i="4"/>
  <c r="BG73" i="4"/>
  <c r="BD73" i="4"/>
  <c r="AX73" i="4"/>
  <c r="AU73" i="4"/>
  <c r="AO73" i="4"/>
  <c r="AL73" i="4"/>
  <c r="AF73" i="4"/>
  <c r="AC73" i="4"/>
  <c r="W73" i="4"/>
  <c r="T73" i="4"/>
  <c r="N73" i="4"/>
  <c r="K73" i="4"/>
  <c r="E73" i="4"/>
  <c r="B73" i="4"/>
  <c r="BG72" i="4"/>
  <c r="BD72" i="4"/>
  <c r="AX72" i="4"/>
  <c r="AU72" i="4"/>
  <c r="AO72" i="4"/>
  <c r="AL72" i="4"/>
  <c r="AF72" i="4"/>
  <c r="AC72" i="4"/>
  <c r="W72" i="4"/>
  <c r="T72" i="4"/>
  <c r="N72" i="4"/>
  <c r="K72" i="4"/>
  <c r="E72" i="4"/>
  <c r="B72" i="4"/>
  <c r="BG71" i="4"/>
  <c r="BD71" i="4"/>
  <c r="AX71" i="4"/>
  <c r="AU71" i="4"/>
  <c r="AO71" i="4"/>
  <c r="AL71" i="4"/>
  <c r="AF71" i="4"/>
  <c r="AC71" i="4"/>
  <c r="W71" i="4"/>
  <c r="T71" i="4"/>
  <c r="N71" i="4"/>
  <c r="K71" i="4"/>
  <c r="E71" i="4"/>
  <c r="B71" i="4"/>
  <c r="BG70" i="4"/>
  <c r="BD70" i="4"/>
  <c r="AX70" i="4"/>
  <c r="AU70" i="4"/>
  <c r="AO70" i="4"/>
  <c r="AL70" i="4"/>
  <c r="AF70" i="4"/>
  <c r="AC70" i="4"/>
  <c r="W70" i="4"/>
  <c r="T70" i="4"/>
  <c r="N70" i="4"/>
  <c r="K70" i="4"/>
  <c r="E70" i="4"/>
  <c r="B70" i="4"/>
  <c r="BG69" i="4"/>
  <c r="BD69" i="4"/>
  <c r="AX69" i="4"/>
  <c r="AU69" i="4"/>
  <c r="AO69" i="4"/>
  <c r="AL69" i="4"/>
  <c r="AF69" i="4"/>
  <c r="AC69" i="4"/>
  <c r="W69" i="4"/>
  <c r="T69" i="4"/>
  <c r="N69" i="4"/>
  <c r="K69" i="4"/>
  <c r="E69" i="4"/>
  <c r="B69" i="4"/>
  <c r="BG66" i="4"/>
  <c r="BH66" i="4" s="1"/>
  <c r="AF3" i="4" s="1"/>
  <c r="AX66" i="4"/>
  <c r="AY66" i="4" s="1"/>
  <c r="AE3" i="4" s="1"/>
  <c r="AO66" i="4"/>
  <c r="AP66" i="4" s="1"/>
  <c r="AD3" i="4" s="1"/>
  <c r="AF66" i="4"/>
  <c r="AG66" i="4" s="1"/>
  <c r="AC3" i="4" s="1"/>
  <c r="W66" i="4"/>
  <c r="X66" i="4" s="1"/>
  <c r="AB3" i="4" s="1"/>
  <c r="N66" i="4"/>
  <c r="O66" i="4" s="1"/>
  <c r="AA3" i="4" s="1"/>
  <c r="E66" i="4"/>
  <c r="F66" i="4" s="1"/>
  <c r="Z3" i="4" s="1"/>
  <c r="BJ64" i="4"/>
  <c r="BA64" i="4"/>
  <c r="AR64" i="4"/>
  <c r="AI64" i="4"/>
  <c r="Z64" i="4"/>
  <c r="Q64" i="4"/>
  <c r="H64" i="4"/>
  <c r="BG63" i="4"/>
  <c r="BD63" i="4"/>
  <c r="AX63" i="4"/>
  <c r="AU63" i="4"/>
  <c r="AO63" i="4"/>
  <c r="AL63" i="4"/>
  <c r="AF63" i="4"/>
  <c r="AC63" i="4"/>
  <c r="W63" i="4"/>
  <c r="T63" i="4"/>
  <c r="N63" i="4"/>
  <c r="K63" i="4"/>
  <c r="E63" i="4"/>
  <c r="B63" i="4"/>
  <c r="BG62" i="4"/>
  <c r="BD62" i="4"/>
  <c r="AX62" i="4"/>
  <c r="AU62" i="4"/>
  <c r="AO62" i="4"/>
  <c r="AL62" i="4"/>
  <c r="AF62" i="4"/>
  <c r="AC62" i="4"/>
  <c r="W62" i="4"/>
  <c r="T62" i="4"/>
  <c r="N62" i="4"/>
  <c r="K62" i="4"/>
  <c r="E62" i="4"/>
  <c r="B62" i="4"/>
  <c r="BG61" i="4"/>
  <c r="BD61" i="4"/>
  <c r="AX61" i="4"/>
  <c r="AU61" i="4"/>
  <c r="AO61" i="4"/>
  <c r="AL61" i="4"/>
  <c r="AF61" i="4"/>
  <c r="AC61" i="4"/>
  <c r="W61" i="4"/>
  <c r="T61" i="4"/>
  <c r="N61" i="4"/>
  <c r="K61" i="4"/>
  <c r="E61" i="4"/>
  <c r="B61" i="4"/>
  <c r="BG60" i="4"/>
  <c r="BD60" i="4"/>
  <c r="AX60" i="4"/>
  <c r="AU60" i="4"/>
  <c r="AO60" i="4"/>
  <c r="AL60" i="4"/>
  <c r="AF60" i="4"/>
  <c r="AC60" i="4"/>
  <c r="W60" i="4"/>
  <c r="T60" i="4"/>
  <c r="N60" i="4"/>
  <c r="K60" i="4"/>
  <c r="E60" i="4"/>
  <c r="B60" i="4"/>
  <c r="BG59" i="4"/>
  <c r="BD59" i="4"/>
  <c r="AX59" i="4"/>
  <c r="AU59" i="4"/>
  <c r="AO59" i="4"/>
  <c r="AL59" i="4"/>
  <c r="AF59" i="4"/>
  <c r="AC59" i="4"/>
  <c r="W59" i="4"/>
  <c r="T59" i="4"/>
  <c r="N59" i="4"/>
  <c r="K59" i="4"/>
  <c r="E59" i="4"/>
  <c r="B59" i="4"/>
  <c r="BG58" i="4"/>
  <c r="BD58" i="4"/>
  <c r="AX58" i="4"/>
  <c r="AU58" i="4"/>
  <c r="AO58" i="4"/>
  <c r="AL58" i="4"/>
  <c r="AF58" i="4"/>
  <c r="AC58" i="4"/>
  <c r="W58" i="4"/>
  <c r="T58" i="4"/>
  <c r="N58" i="4"/>
  <c r="K58" i="4"/>
  <c r="E58" i="4"/>
  <c r="B58" i="4"/>
  <c r="BG57" i="4"/>
  <c r="BD57" i="4"/>
  <c r="AX57" i="4"/>
  <c r="AU57" i="4"/>
  <c r="AO57" i="4"/>
  <c r="AL57" i="4"/>
  <c r="AF57" i="4"/>
  <c r="AC57" i="4"/>
  <c r="W57" i="4"/>
  <c r="T57" i="4"/>
  <c r="N57" i="4"/>
  <c r="K57" i="4"/>
  <c r="E57" i="4"/>
  <c r="B57" i="4"/>
  <c r="BG56" i="4"/>
  <c r="BD56" i="4"/>
  <c r="AX56" i="4"/>
  <c r="AU56" i="4"/>
  <c r="AO56" i="4"/>
  <c r="AL56" i="4"/>
  <c r="AF56" i="4"/>
  <c r="AC56" i="4"/>
  <c r="W56" i="4"/>
  <c r="T56" i="4"/>
  <c r="N56" i="4"/>
  <c r="K56" i="4"/>
  <c r="E56" i="4"/>
  <c r="B56" i="4"/>
  <c r="BG55" i="4"/>
  <c r="BD55" i="4"/>
  <c r="AX55" i="4"/>
  <c r="AU55" i="4"/>
  <c r="AO55" i="4"/>
  <c r="AL55" i="4"/>
  <c r="AF55" i="4"/>
  <c r="AC55" i="4"/>
  <c r="W55" i="4"/>
  <c r="T55" i="4"/>
  <c r="N55" i="4"/>
  <c r="K55" i="4"/>
  <c r="E55" i="4"/>
  <c r="B55" i="4"/>
  <c r="BG54" i="4"/>
  <c r="BD54" i="4"/>
  <c r="AX54" i="4"/>
  <c r="AU54" i="4"/>
  <c r="AO54" i="4"/>
  <c r="AL54" i="4"/>
  <c r="AF54" i="4"/>
  <c r="AC54" i="4"/>
  <c r="W54" i="4"/>
  <c r="T54" i="4"/>
  <c r="N54" i="4"/>
  <c r="K54" i="4"/>
  <c r="E54" i="4"/>
  <c r="B54" i="4"/>
  <c r="BG53" i="4"/>
  <c r="BD53" i="4"/>
  <c r="AX53" i="4"/>
  <c r="AU53" i="4"/>
  <c r="AO53" i="4"/>
  <c r="AL53" i="4"/>
  <c r="AF53" i="4"/>
  <c r="AC53" i="4"/>
  <c r="W53" i="4"/>
  <c r="T53" i="4"/>
  <c r="N53" i="4"/>
  <c r="K53" i="4"/>
  <c r="E53" i="4"/>
  <c r="B53" i="4"/>
  <c r="BG52" i="4"/>
  <c r="BD52" i="4"/>
  <c r="AX52" i="4"/>
  <c r="AU52" i="4"/>
  <c r="AO52" i="4"/>
  <c r="AL52" i="4"/>
  <c r="AF52" i="4"/>
  <c r="AC52" i="4"/>
  <c r="W52" i="4"/>
  <c r="T52" i="4"/>
  <c r="N52" i="4"/>
  <c r="K52" i="4"/>
  <c r="E52" i="4"/>
  <c r="B52" i="4"/>
  <c r="BG51" i="4"/>
  <c r="BD51" i="4"/>
  <c r="AX51" i="4"/>
  <c r="AU51" i="4"/>
  <c r="AO51" i="4"/>
  <c r="AL51" i="4"/>
  <c r="AF51" i="4"/>
  <c r="AC51" i="4"/>
  <c r="W51" i="4"/>
  <c r="T51" i="4"/>
  <c r="N51" i="4"/>
  <c r="K51" i="4"/>
  <c r="E51" i="4"/>
  <c r="B51" i="4"/>
  <c r="BG50" i="4"/>
  <c r="BD50" i="4"/>
  <c r="AX50" i="4"/>
  <c r="AU50" i="4"/>
  <c r="AO50" i="4"/>
  <c r="AL50" i="4"/>
  <c r="AF50" i="4"/>
  <c r="AC50" i="4"/>
  <c r="W50" i="4"/>
  <c r="T50" i="4"/>
  <c r="N50" i="4"/>
  <c r="K50" i="4"/>
  <c r="E50" i="4"/>
  <c r="B50" i="4"/>
  <c r="BG49" i="4"/>
  <c r="BD49" i="4"/>
  <c r="AX49" i="4"/>
  <c r="AU49" i="4"/>
  <c r="AO49" i="4"/>
  <c r="AL49" i="4"/>
  <c r="AF49" i="4"/>
  <c r="AC49" i="4"/>
  <c r="W49" i="4"/>
  <c r="T49" i="4"/>
  <c r="N49" i="4"/>
  <c r="K49" i="4"/>
  <c r="E49" i="4"/>
  <c r="B49" i="4"/>
  <c r="BG46" i="4"/>
  <c r="BH46" i="4" s="1"/>
  <c r="Y3" i="4" s="1"/>
  <c r="AX46" i="4"/>
  <c r="AY46" i="4" s="1"/>
  <c r="X3" i="4" s="1"/>
  <c r="AO46" i="4"/>
  <c r="AP46" i="4" s="1"/>
  <c r="W3" i="4" s="1"/>
  <c r="AF46" i="4"/>
  <c r="AG46" i="4" s="1"/>
  <c r="V3" i="4" s="1"/>
  <c r="W46" i="4"/>
  <c r="X46" i="4" s="1"/>
  <c r="U3" i="4" s="1"/>
  <c r="N46" i="4"/>
  <c r="O46" i="4" s="1"/>
  <c r="T3" i="4" s="1"/>
  <c r="E46" i="4"/>
  <c r="F46" i="4" s="1"/>
  <c r="S3" i="4" s="1"/>
  <c r="BJ44" i="4"/>
  <c r="BA44" i="4"/>
  <c r="AR44" i="4"/>
  <c r="AI44" i="4"/>
  <c r="Z44" i="4"/>
  <c r="Q44" i="4"/>
  <c r="H44" i="4"/>
  <c r="BG43" i="4"/>
  <c r="BD43" i="4"/>
  <c r="AX43" i="4"/>
  <c r="AU43" i="4"/>
  <c r="AO43" i="4"/>
  <c r="AL43" i="4"/>
  <c r="AF43" i="4"/>
  <c r="AC43" i="4"/>
  <c r="W43" i="4"/>
  <c r="T43" i="4"/>
  <c r="N43" i="4"/>
  <c r="K43" i="4"/>
  <c r="E43" i="4"/>
  <c r="B43" i="4"/>
  <c r="BG42" i="4"/>
  <c r="BD42" i="4"/>
  <c r="AX42" i="4"/>
  <c r="AU42" i="4"/>
  <c r="AO42" i="4"/>
  <c r="AL42" i="4"/>
  <c r="AF42" i="4"/>
  <c r="AC42" i="4"/>
  <c r="W42" i="4"/>
  <c r="T42" i="4"/>
  <c r="N42" i="4"/>
  <c r="K42" i="4"/>
  <c r="E42" i="4"/>
  <c r="B42" i="4"/>
  <c r="BG41" i="4"/>
  <c r="BD41" i="4"/>
  <c r="AX41" i="4"/>
  <c r="AU41" i="4"/>
  <c r="AO41" i="4"/>
  <c r="AL41" i="4"/>
  <c r="AF41" i="4"/>
  <c r="AC41" i="4"/>
  <c r="W41" i="4"/>
  <c r="T41" i="4"/>
  <c r="N41" i="4"/>
  <c r="K41" i="4"/>
  <c r="E41" i="4"/>
  <c r="B41" i="4"/>
  <c r="BG40" i="4"/>
  <c r="BD40" i="4"/>
  <c r="AX40" i="4"/>
  <c r="AU40" i="4"/>
  <c r="AO40" i="4"/>
  <c r="AL40" i="4"/>
  <c r="AF40" i="4"/>
  <c r="AC40" i="4"/>
  <c r="W40" i="4"/>
  <c r="T40" i="4"/>
  <c r="N40" i="4"/>
  <c r="K40" i="4"/>
  <c r="E40" i="4"/>
  <c r="B40" i="4"/>
  <c r="BG39" i="4"/>
  <c r="BD39" i="4"/>
  <c r="AX39" i="4"/>
  <c r="AU39" i="4"/>
  <c r="AO39" i="4"/>
  <c r="AL39" i="4"/>
  <c r="AF39" i="4"/>
  <c r="AC39" i="4"/>
  <c r="W39" i="4"/>
  <c r="T39" i="4"/>
  <c r="N39" i="4"/>
  <c r="K39" i="4"/>
  <c r="E39" i="4"/>
  <c r="B39" i="4"/>
  <c r="BG38" i="4"/>
  <c r="BD38" i="4"/>
  <c r="AX38" i="4"/>
  <c r="AU38" i="4"/>
  <c r="AO38" i="4"/>
  <c r="AL38" i="4"/>
  <c r="AF38" i="4"/>
  <c r="AC38" i="4"/>
  <c r="W38" i="4"/>
  <c r="T38" i="4"/>
  <c r="N38" i="4"/>
  <c r="K38" i="4"/>
  <c r="E38" i="4"/>
  <c r="B38" i="4"/>
  <c r="BG37" i="4"/>
  <c r="BD37" i="4"/>
  <c r="AX37" i="4"/>
  <c r="AU37" i="4"/>
  <c r="AO37" i="4"/>
  <c r="AL37" i="4"/>
  <c r="AF37" i="4"/>
  <c r="AC37" i="4"/>
  <c r="W37" i="4"/>
  <c r="T37" i="4"/>
  <c r="N37" i="4"/>
  <c r="K37" i="4"/>
  <c r="E37" i="4"/>
  <c r="B37" i="4"/>
  <c r="BG36" i="4"/>
  <c r="BD36" i="4"/>
  <c r="AX36" i="4"/>
  <c r="AU36" i="4"/>
  <c r="AO36" i="4"/>
  <c r="AL36" i="4"/>
  <c r="AF36" i="4"/>
  <c r="AC36" i="4"/>
  <c r="W36" i="4"/>
  <c r="T36" i="4"/>
  <c r="N36" i="4"/>
  <c r="K36" i="4"/>
  <c r="E36" i="4"/>
  <c r="B36" i="4"/>
  <c r="BG35" i="4"/>
  <c r="BD35" i="4"/>
  <c r="AX35" i="4"/>
  <c r="AU35" i="4"/>
  <c r="AO35" i="4"/>
  <c r="AL35" i="4"/>
  <c r="AF35" i="4"/>
  <c r="AC35" i="4"/>
  <c r="W35" i="4"/>
  <c r="T35" i="4"/>
  <c r="N35" i="4"/>
  <c r="K35" i="4"/>
  <c r="E35" i="4"/>
  <c r="B35" i="4"/>
  <c r="BG34" i="4"/>
  <c r="BD34" i="4"/>
  <c r="AX34" i="4"/>
  <c r="AU34" i="4"/>
  <c r="AO34" i="4"/>
  <c r="AL34" i="4"/>
  <c r="AF34" i="4"/>
  <c r="AC34" i="4"/>
  <c r="W34" i="4"/>
  <c r="T34" i="4"/>
  <c r="N34" i="4"/>
  <c r="K34" i="4"/>
  <c r="E34" i="4"/>
  <c r="B34" i="4"/>
  <c r="BG33" i="4"/>
  <c r="BD33" i="4"/>
  <c r="AX33" i="4"/>
  <c r="AU33" i="4"/>
  <c r="AO33" i="4"/>
  <c r="AL33" i="4"/>
  <c r="AF33" i="4"/>
  <c r="AC33" i="4"/>
  <c r="W33" i="4"/>
  <c r="T33" i="4"/>
  <c r="N33" i="4"/>
  <c r="K33" i="4"/>
  <c r="E33" i="4"/>
  <c r="B33" i="4"/>
  <c r="BG32" i="4"/>
  <c r="BD32" i="4"/>
  <c r="AX32" i="4"/>
  <c r="AU32" i="4"/>
  <c r="AO32" i="4"/>
  <c r="AL32" i="4"/>
  <c r="AF32" i="4"/>
  <c r="AC32" i="4"/>
  <c r="W32" i="4"/>
  <c r="T32" i="4"/>
  <c r="N32" i="4"/>
  <c r="K32" i="4"/>
  <c r="E32" i="4"/>
  <c r="B32" i="4"/>
  <c r="BG31" i="4"/>
  <c r="BD31" i="4"/>
  <c r="AX31" i="4"/>
  <c r="AU31" i="4"/>
  <c r="AO31" i="4"/>
  <c r="AL31" i="4"/>
  <c r="AF31" i="4"/>
  <c r="AC31" i="4"/>
  <c r="W31" i="4"/>
  <c r="T31" i="4"/>
  <c r="N31" i="4"/>
  <c r="K31" i="4"/>
  <c r="E31" i="4"/>
  <c r="B31" i="4"/>
  <c r="BG30" i="4"/>
  <c r="BD30" i="4"/>
  <c r="AX30" i="4"/>
  <c r="AU30" i="4"/>
  <c r="AO30" i="4"/>
  <c r="AL30" i="4"/>
  <c r="AF30" i="4"/>
  <c r="AC30" i="4"/>
  <c r="W30" i="4"/>
  <c r="T30" i="4"/>
  <c r="N30" i="4"/>
  <c r="K30" i="4"/>
  <c r="E30" i="4"/>
  <c r="B30" i="4"/>
  <c r="BG29" i="4"/>
  <c r="BD29" i="4"/>
  <c r="AX29" i="4"/>
  <c r="AU29" i="4"/>
  <c r="AO29" i="4"/>
  <c r="AL29" i="4"/>
  <c r="AF29" i="4"/>
  <c r="AC29" i="4"/>
  <c r="W29" i="4"/>
  <c r="T29" i="4"/>
  <c r="N29" i="4"/>
  <c r="K29" i="4"/>
  <c r="E29" i="4"/>
  <c r="B29" i="4"/>
  <c r="BG26" i="4"/>
  <c r="BH26" i="4" s="1"/>
  <c r="R3" i="4" s="1"/>
  <c r="AX26" i="4"/>
  <c r="AY26" i="4" s="1"/>
  <c r="Q3" i="4" s="1"/>
  <c r="AO26" i="4"/>
  <c r="AP26" i="4" s="1"/>
  <c r="P3" i="4" s="1"/>
  <c r="AF26" i="4"/>
  <c r="AG26" i="4" s="1"/>
  <c r="O3" i="4" s="1"/>
  <c r="W26" i="4"/>
  <c r="X26" i="4" s="1"/>
  <c r="N3" i="4" s="1"/>
  <c r="N26" i="4"/>
  <c r="O26" i="4" s="1"/>
  <c r="M3" i="4" s="1"/>
  <c r="E26" i="4"/>
  <c r="F26" i="4" s="1"/>
  <c r="L3" i="4" s="1"/>
  <c r="BJ24" i="4"/>
  <c r="BA24" i="4"/>
  <c r="AR24" i="4"/>
  <c r="AI24" i="4"/>
  <c r="Z24" i="4"/>
  <c r="Q24" i="4"/>
  <c r="H24" i="4"/>
  <c r="BG23" i="4"/>
  <c r="BD23" i="4"/>
  <c r="AX23" i="4"/>
  <c r="AU23" i="4"/>
  <c r="AO23" i="4"/>
  <c r="AL23" i="4"/>
  <c r="AF23" i="4"/>
  <c r="AC23" i="4"/>
  <c r="W23" i="4"/>
  <c r="T23" i="4"/>
  <c r="N23" i="4"/>
  <c r="K23" i="4"/>
  <c r="E23" i="4"/>
  <c r="B23" i="4"/>
  <c r="BG22" i="4"/>
  <c r="BD22" i="4"/>
  <c r="AX22" i="4"/>
  <c r="AU22" i="4"/>
  <c r="AO22" i="4"/>
  <c r="AL22" i="4"/>
  <c r="AF22" i="4"/>
  <c r="AC22" i="4"/>
  <c r="W22" i="4"/>
  <c r="T22" i="4"/>
  <c r="N22" i="4"/>
  <c r="K22" i="4"/>
  <c r="E22" i="4"/>
  <c r="B22" i="4"/>
  <c r="BG21" i="4"/>
  <c r="BD21" i="4"/>
  <c r="AX21" i="4"/>
  <c r="AU21" i="4"/>
  <c r="AO21" i="4"/>
  <c r="AL21" i="4"/>
  <c r="AF21" i="4"/>
  <c r="AC21" i="4"/>
  <c r="W21" i="4"/>
  <c r="T21" i="4"/>
  <c r="N21" i="4"/>
  <c r="K21" i="4"/>
  <c r="E21" i="4"/>
  <c r="B21" i="4"/>
  <c r="BG20" i="4"/>
  <c r="BD20" i="4"/>
  <c r="AX20" i="4"/>
  <c r="AU20" i="4"/>
  <c r="AO20" i="4"/>
  <c r="AL20" i="4"/>
  <c r="AF20" i="4"/>
  <c r="AC20" i="4"/>
  <c r="W20" i="4"/>
  <c r="T20" i="4"/>
  <c r="N20" i="4"/>
  <c r="K20" i="4"/>
  <c r="E20" i="4"/>
  <c r="B20" i="4"/>
  <c r="BG19" i="4"/>
  <c r="BD19" i="4"/>
  <c r="AX19" i="4"/>
  <c r="AU19" i="4"/>
  <c r="AO19" i="4"/>
  <c r="AL19" i="4"/>
  <c r="AF19" i="4"/>
  <c r="AC19" i="4"/>
  <c r="W19" i="4"/>
  <c r="T19" i="4"/>
  <c r="N19" i="4"/>
  <c r="K19" i="4"/>
  <c r="E19" i="4"/>
  <c r="B19" i="4"/>
  <c r="BG18" i="4"/>
  <c r="BD18" i="4"/>
  <c r="AX18" i="4"/>
  <c r="AU18" i="4"/>
  <c r="AO18" i="4"/>
  <c r="AL18" i="4"/>
  <c r="AF18" i="4"/>
  <c r="AC18" i="4"/>
  <c r="W18" i="4"/>
  <c r="T18" i="4"/>
  <c r="N18" i="4"/>
  <c r="K18" i="4"/>
  <c r="E18" i="4"/>
  <c r="B18" i="4"/>
  <c r="BG17" i="4"/>
  <c r="BD17" i="4"/>
  <c r="AX17" i="4"/>
  <c r="AU17" i="4"/>
  <c r="AO17" i="4"/>
  <c r="AL17" i="4"/>
  <c r="AF17" i="4"/>
  <c r="AC17" i="4"/>
  <c r="W17" i="4"/>
  <c r="T17" i="4"/>
  <c r="N17" i="4"/>
  <c r="K17" i="4"/>
  <c r="E17" i="4"/>
  <c r="B17" i="4"/>
  <c r="BG16" i="4"/>
  <c r="BD16" i="4"/>
  <c r="AX16" i="4"/>
  <c r="AU16" i="4"/>
  <c r="AO16" i="4"/>
  <c r="AL16" i="4"/>
  <c r="AF16" i="4"/>
  <c r="AC16" i="4"/>
  <c r="W16" i="4"/>
  <c r="T16" i="4"/>
  <c r="N16" i="4"/>
  <c r="K16" i="4"/>
  <c r="E16" i="4"/>
  <c r="B16" i="4"/>
  <c r="BG15" i="4"/>
  <c r="BD15" i="4"/>
  <c r="AX15" i="4"/>
  <c r="AU15" i="4"/>
  <c r="AO15" i="4"/>
  <c r="AL15" i="4"/>
  <c r="AF15" i="4"/>
  <c r="AC15" i="4"/>
  <c r="W15" i="4"/>
  <c r="T15" i="4"/>
  <c r="N15" i="4"/>
  <c r="K15" i="4"/>
  <c r="E15" i="4"/>
  <c r="B15" i="4"/>
  <c r="BG14" i="4"/>
  <c r="BD14" i="4"/>
  <c r="AX14" i="4"/>
  <c r="AU14" i="4"/>
  <c r="AO14" i="4"/>
  <c r="AL14" i="4"/>
  <c r="AF14" i="4"/>
  <c r="AC14" i="4"/>
  <c r="W14" i="4"/>
  <c r="T14" i="4"/>
  <c r="N14" i="4"/>
  <c r="K14" i="4"/>
  <c r="E14" i="4"/>
  <c r="B14" i="4"/>
  <c r="BG13" i="4"/>
  <c r="BD13" i="4"/>
  <c r="AX13" i="4"/>
  <c r="AU13" i="4"/>
  <c r="AO13" i="4"/>
  <c r="AL13" i="4"/>
  <c r="AF13" i="4"/>
  <c r="AC13" i="4"/>
  <c r="W13" i="4"/>
  <c r="T13" i="4"/>
  <c r="N13" i="4"/>
  <c r="K13" i="4"/>
  <c r="E13" i="4"/>
  <c r="B13" i="4"/>
  <c r="BG12" i="4"/>
  <c r="BD12" i="4"/>
  <c r="AX12" i="4"/>
  <c r="AU12" i="4"/>
  <c r="AO12" i="4"/>
  <c r="AL12" i="4"/>
  <c r="AF12" i="4"/>
  <c r="AC12" i="4"/>
  <c r="W12" i="4"/>
  <c r="T12" i="4"/>
  <c r="N12" i="4"/>
  <c r="K12" i="4"/>
  <c r="E12" i="4"/>
  <c r="B12" i="4"/>
  <c r="BG11" i="4"/>
  <c r="BD11" i="4"/>
  <c r="AX11" i="4"/>
  <c r="AU11" i="4"/>
  <c r="AO11" i="4"/>
  <c r="AL11" i="4"/>
  <c r="AF11" i="4"/>
  <c r="AC11" i="4"/>
  <c r="W11" i="4"/>
  <c r="T11" i="4"/>
  <c r="N11" i="4"/>
  <c r="K11" i="4"/>
  <c r="E11" i="4"/>
  <c r="B11" i="4"/>
  <c r="BG10" i="4"/>
  <c r="BD10" i="4"/>
  <c r="AX10" i="4"/>
  <c r="AU10" i="4"/>
  <c r="AO10" i="4"/>
  <c r="AL10" i="4"/>
  <c r="AF10" i="4"/>
  <c r="AC10" i="4"/>
  <c r="W10" i="4"/>
  <c r="T10" i="4"/>
  <c r="N10" i="4"/>
  <c r="K10" i="4"/>
  <c r="E10" i="4"/>
  <c r="B10" i="4"/>
  <c r="BG9" i="4"/>
  <c r="BD9" i="4"/>
  <c r="AX9" i="4"/>
  <c r="AU9" i="4"/>
  <c r="AO9" i="4"/>
  <c r="AL9" i="4"/>
  <c r="AF9" i="4"/>
  <c r="AC9" i="4"/>
  <c r="W9" i="4"/>
  <c r="T9" i="4"/>
  <c r="N9" i="4"/>
  <c r="K9" i="4"/>
  <c r="E9" i="4"/>
  <c r="BG6" i="4"/>
  <c r="BH6" i="4" s="1"/>
  <c r="K3" i="4" s="1"/>
  <c r="AX6" i="4"/>
  <c r="AY6" i="4" s="1"/>
  <c r="J3" i="4" s="1"/>
  <c r="AO6" i="4"/>
  <c r="AP6" i="4" s="1"/>
  <c r="I3" i="4" s="1"/>
  <c r="AF6" i="4"/>
  <c r="AG6" i="4" s="1"/>
  <c r="H3" i="4" s="1"/>
  <c r="W6" i="4"/>
  <c r="X6" i="4" s="1"/>
  <c r="G3" i="4" s="1"/>
  <c r="N6" i="4"/>
  <c r="O6" i="4" s="1"/>
  <c r="F3" i="4" s="1"/>
  <c r="E6" i="4"/>
  <c r="F6" i="4" s="1"/>
  <c r="A6" i="4"/>
  <c r="I43" i="7"/>
  <c r="L24" i="7"/>
  <c r="L25" i="7"/>
  <c r="E42" i="7"/>
  <c r="O31" i="7"/>
  <c r="F31" i="7"/>
  <c r="O47" i="7"/>
  <c r="F6" i="7" a="1"/>
  <c r="M28" i="7"/>
  <c r="M42" i="7"/>
  <c r="O28" i="7"/>
  <c r="J43" i="7"/>
  <c r="D80" i="7" a="1"/>
  <c r="F44" i="7"/>
  <c r="E25" i="7"/>
  <c r="H45" i="7"/>
  <c r="K23" i="7"/>
  <c r="D5" i="7" a="1"/>
  <c r="F16" i="7" a="1"/>
  <c r="O42" i="7"/>
  <c r="L40" i="7"/>
  <c r="L44" i="7"/>
  <c r="G23" i="7"/>
  <c r="I25" i="7"/>
  <c r="H21" i="7"/>
  <c r="M25" i="7"/>
  <c r="D76" i="7" a="1"/>
  <c r="K30" i="7"/>
  <c r="O40" i="7"/>
  <c r="M29" i="7"/>
  <c r="O32" i="7"/>
  <c r="G39" i="7"/>
  <c r="K32" i="7"/>
  <c r="G24" i="7"/>
  <c r="J30" i="7"/>
  <c r="G28" i="7"/>
  <c r="N24" i="7"/>
  <c r="I28" i="7"/>
  <c r="G42" i="7"/>
  <c r="H23" i="7"/>
  <c r="N30" i="7"/>
  <c r="F24" i="7"/>
  <c r="K46" i="7"/>
  <c r="H49" i="7"/>
  <c r="L42" i="7"/>
  <c r="L28" i="7"/>
  <c r="D6" i="7" a="1"/>
  <c r="H24" i="7"/>
  <c r="K44" i="7"/>
  <c r="F14" i="7" a="1"/>
  <c r="G44" i="7"/>
  <c r="G48" i="7"/>
  <c r="L27" i="7"/>
  <c r="D71" i="7" a="1"/>
  <c r="J48" i="7"/>
  <c r="I41" i="7"/>
  <c r="N43" i="7"/>
  <c r="G25" i="7"/>
  <c r="F49" i="7"/>
  <c r="I32" i="7"/>
  <c r="I27" i="7"/>
  <c r="H32" i="7"/>
  <c r="N32" i="7"/>
  <c r="L23" i="7"/>
  <c r="L41" i="7"/>
  <c r="F27" i="7"/>
  <c r="D11" i="7" a="1"/>
  <c r="N23" i="7"/>
  <c r="N29" i="7"/>
  <c r="D72" i="7" a="1"/>
  <c r="G41" i="7"/>
  <c r="E23" i="7"/>
  <c r="M5" i="9" a="1"/>
  <c r="M48" i="7"/>
  <c r="H26" i="7"/>
  <c r="J49" i="7"/>
  <c r="L30" i="7"/>
  <c r="I46" i="7"/>
  <c r="G49" i="7"/>
  <c r="E30" i="7"/>
  <c r="K28" i="7"/>
  <c r="D8" i="7" a="1"/>
  <c r="F21" i="7"/>
  <c r="L46" i="7"/>
  <c r="F48" i="7"/>
  <c r="D16" i="7" a="1"/>
  <c r="M50" i="7"/>
  <c r="E22" i="7"/>
  <c r="F46" i="7"/>
  <c r="K43" i="7"/>
  <c r="N50" i="7"/>
  <c r="E28" i="7"/>
  <c r="F22" i="7"/>
  <c r="H22" i="7"/>
  <c r="K26" i="7"/>
  <c r="K42" i="7"/>
  <c r="L50" i="7"/>
  <c r="H27" i="7"/>
  <c r="M30" i="7"/>
  <c r="I22" i="7"/>
  <c r="E39" i="7"/>
  <c r="I29" i="7"/>
  <c r="N40" i="7"/>
  <c r="L39" i="7"/>
  <c r="F7" i="7" a="1"/>
  <c r="L32" i="7"/>
  <c r="G21" i="7"/>
  <c r="M44" i="7"/>
  <c r="N25" i="7"/>
  <c r="I44" i="7"/>
  <c r="D81" i="7" a="1"/>
  <c r="L49" i="7"/>
  <c r="O46" i="7"/>
  <c r="F28" i="7"/>
  <c r="N44" i="7"/>
  <c r="H25" i="7"/>
  <c r="H28" i="7"/>
  <c r="H43" i="7"/>
  <c r="M31" i="7"/>
  <c r="I24" i="7"/>
  <c r="E44" i="7"/>
  <c r="F32" i="7"/>
  <c r="D7" i="7" a="1"/>
  <c r="H30" i="7"/>
  <c r="F25" i="7"/>
  <c r="H44" i="7"/>
  <c r="M41" i="7"/>
  <c r="H46" i="7"/>
  <c r="N28" i="7"/>
  <c r="J27" i="7"/>
  <c r="E49" i="7"/>
  <c r="J46" i="7"/>
  <c r="I48" i="7"/>
  <c r="O21" i="7"/>
  <c r="E50" i="7"/>
  <c r="K21" i="7"/>
  <c r="O22" i="7"/>
  <c r="K29" i="7"/>
  <c r="K48" i="7"/>
  <c r="J29" i="7"/>
  <c r="H50" i="7"/>
  <c r="J31" i="7"/>
  <c r="F26" i="7"/>
  <c r="N41" i="7"/>
  <c r="J41" i="7"/>
  <c r="G29" i="7"/>
  <c r="N31" i="7"/>
  <c r="I30" i="7"/>
  <c r="M26" i="7"/>
  <c r="N48" i="7"/>
  <c r="D14" i="7" a="1"/>
  <c r="F23" i="7"/>
  <c r="F10" i="7" a="1"/>
  <c r="N27" i="7"/>
  <c r="I40" i="7"/>
  <c r="D82" i="7" a="1"/>
  <c r="D15" i="7" a="1"/>
  <c r="G45" i="7"/>
  <c r="G32" i="7"/>
  <c r="M27" i="7"/>
  <c r="M24" i="7"/>
  <c r="F41" i="7"/>
  <c r="M22" i="7"/>
  <c r="E29" i="7"/>
  <c r="F12" i="7" a="1"/>
  <c r="J21" i="7"/>
  <c r="O25" i="7"/>
  <c r="O27" i="7"/>
  <c r="O44" i="7"/>
  <c r="I39" i="7"/>
  <c r="F8" i="7" a="1"/>
  <c r="J28" i="7"/>
  <c r="H31" i="7"/>
  <c r="M23" i="7"/>
  <c r="E41" i="7"/>
  <c r="O39" i="7"/>
  <c r="G43" i="7"/>
  <c r="J32" i="7"/>
  <c r="I31" i="7"/>
  <c r="E27" i="7"/>
  <c r="J22" i="7"/>
  <c r="N46" i="7"/>
  <c r="N49" i="7"/>
  <c r="H48" i="7"/>
  <c r="J23" i="7"/>
  <c r="N26" i="7"/>
  <c r="D77" i="7" a="1"/>
  <c r="J39" i="7"/>
  <c r="L43" i="7"/>
  <c r="J45" i="7"/>
  <c r="L26" i="7"/>
  <c r="F5" i="7" a="1"/>
  <c r="O23" i="7"/>
  <c r="N42" i="7"/>
  <c r="F40" i="7"/>
  <c r="I50" i="7"/>
  <c r="L31" i="7"/>
  <c r="L45" i="7"/>
  <c r="H29" i="7"/>
  <c r="O41" i="7"/>
  <c r="K22" i="7"/>
  <c r="F11" i="7" a="1"/>
  <c r="G22" i="7"/>
  <c r="J26" i="7"/>
  <c r="D75" i="7" a="1"/>
  <c r="G31" i="7"/>
  <c r="L48" i="7"/>
  <c r="F43" i="7"/>
  <c r="D9" i="7" a="1"/>
  <c r="N22" i="7"/>
  <c r="G27" i="7"/>
  <c r="F30" i="7"/>
  <c r="F42" i="7"/>
  <c r="O24" i="7"/>
  <c r="E45" i="7"/>
  <c r="K45" i="7"/>
  <c r="L22" i="7"/>
  <c r="K39" i="7"/>
  <c r="K41" i="7"/>
  <c r="D74" i="7" a="1"/>
  <c r="F45" i="7"/>
  <c r="O50" i="7"/>
  <c r="O43" i="7"/>
  <c r="J44" i="7"/>
  <c r="D78" i="7" a="1"/>
  <c r="K24" i="7"/>
  <c r="M46" i="7"/>
  <c r="J42" i="7"/>
  <c r="M21" i="7"/>
  <c r="I21" i="7"/>
  <c r="E48" i="7"/>
  <c r="O26" i="7"/>
  <c r="E26" i="7"/>
  <c r="M39" i="7"/>
  <c r="E31" i="7"/>
  <c r="E24" i="7"/>
  <c r="E40" i="7"/>
  <c r="H41" i="7"/>
  <c r="I42" i="7"/>
  <c r="N21" i="7"/>
  <c r="G40" i="7"/>
  <c r="H40" i="7"/>
  <c r="G50" i="7"/>
  <c r="I45" i="7"/>
  <c r="K49" i="7"/>
  <c r="K31" i="7"/>
  <c r="H39" i="7"/>
  <c r="O45" i="7"/>
  <c r="F9" i="7" a="1"/>
  <c r="H42" i="7"/>
  <c r="O48" i="7"/>
  <c r="O30" i="7"/>
  <c r="I26" i="7"/>
  <c r="D73" i="7" a="1"/>
  <c r="K40" i="7"/>
  <c r="F39" i="7"/>
  <c r="E46" i="7"/>
  <c r="F50" i="7"/>
  <c r="M45" i="7"/>
  <c r="K27" i="7"/>
  <c r="E32" i="7"/>
  <c r="D10" i="7" a="1"/>
  <c r="J24" i="7"/>
  <c r="E43" i="7"/>
  <c r="L29" i="7"/>
  <c r="E21" i="7"/>
  <c r="I49" i="7"/>
  <c r="K50" i="7"/>
  <c r="N45" i="7"/>
  <c r="I23" i="7"/>
  <c r="F29" i="7"/>
  <c r="N39" i="7"/>
  <c r="F15" i="7" a="1"/>
  <c r="M49" i="7"/>
  <c r="J25" i="7"/>
  <c r="J40" i="7"/>
  <c r="J50" i="7"/>
  <c r="O49" i="7"/>
  <c r="M43" i="7"/>
  <c r="G26" i="7"/>
  <c r="G30" i="7"/>
  <c r="M32" i="7"/>
  <c r="G46" i="7"/>
  <c r="O29" i="7"/>
  <c r="K25" i="7"/>
  <c r="M40" i="7"/>
  <c r="L21" i="7"/>
  <c r="J2" i="39" l="1"/>
  <c r="BC6" i="39"/>
  <c r="AT24" i="39"/>
  <c r="F108" i="4" a="1"/>
  <c r="F108" i="4" s="1"/>
  <c r="R108" i="4" a="1"/>
  <c r="R108" i="4" s="1"/>
  <c r="X108" i="4" a="1"/>
  <c r="X108" i="4" s="1"/>
  <c r="AE108" i="4" a="1"/>
  <c r="AE108" i="4" s="1"/>
  <c r="Y108" i="4" a="1"/>
  <c r="Y108" i="4" s="1"/>
  <c r="L108" i="4" a="1"/>
  <c r="L108" i="4" s="1"/>
  <c r="S108" i="4" a="1"/>
  <c r="S108" i="4" s="1"/>
  <c r="AF108" i="4" a="1"/>
  <c r="AF108" i="4" s="1"/>
  <c r="Z108" i="4" a="1"/>
  <c r="Z108" i="4" s="1"/>
  <c r="P108" i="4" a="1"/>
  <c r="P108" i="4" s="1"/>
  <c r="W108" i="4" a="1"/>
  <c r="W108" i="4" s="1"/>
  <c r="M108" i="4" a="1"/>
  <c r="M108" i="4" s="1"/>
  <c r="AC108" i="4" a="1"/>
  <c r="AC108" i="4" s="1"/>
  <c r="Q108" i="4" a="1"/>
  <c r="Q108" i="4" s="1"/>
  <c r="AD108" i="4" a="1"/>
  <c r="AD108" i="4" s="1"/>
  <c r="N108" i="4" a="1"/>
  <c r="N108" i="4" s="1"/>
  <c r="T108" i="4" a="1"/>
  <c r="T108" i="4" s="1"/>
  <c r="AA108" i="4" a="1"/>
  <c r="AA108" i="4" s="1"/>
  <c r="O108" i="4" a="1"/>
  <c r="O108" i="4" s="1"/>
  <c r="U108" i="4" a="1"/>
  <c r="U108" i="4" s="1"/>
  <c r="V108" i="4" a="1"/>
  <c r="V108" i="4" s="1"/>
  <c r="AB108" i="4" a="1"/>
  <c r="AB108" i="4" s="1"/>
  <c r="J6" i="4"/>
  <c r="A24" i="4"/>
  <c r="D32" i="7"/>
  <c r="D31" i="7"/>
  <c r="D30" i="7"/>
  <c r="D29" i="7"/>
  <c r="D28" i="7"/>
  <c r="D27" i="7"/>
  <c r="D26" i="7"/>
  <c r="D25" i="7"/>
  <c r="D24" i="7"/>
  <c r="D23" i="7"/>
  <c r="D22" i="7"/>
  <c r="D21" i="7"/>
  <c r="D50" i="7"/>
  <c r="D49" i="7"/>
  <c r="D48" i="7"/>
  <c r="D46" i="7"/>
  <c r="D45" i="7"/>
  <c r="D44" i="7"/>
  <c r="D43" i="7"/>
  <c r="D42" i="7"/>
  <c r="D41" i="7"/>
  <c r="D40" i="7"/>
  <c r="D39" i="7"/>
  <c r="O51" i="7"/>
  <c r="I37" i="9" a="1"/>
  <c r="I37" i="9" s="1"/>
  <c r="D71" i="7"/>
  <c r="E71" i="7" s="1"/>
  <c r="C108" i="4" a="1"/>
  <c r="C108" i="4" s="1"/>
  <c r="O33" i="7"/>
  <c r="F5" i="7"/>
  <c r="F6" i="7"/>
  <c r="F14" i="7"/>
  <c r="F7" i="7"/>
  <c r="F15" i="7"/>
  <c r="F16" i="7"/>
  <c r="F9" i="7"/>
  <c r="T12" i="9" s="1" a="1"/>
  <c r="T12" i="9" s="1"/>
  <c r="F8" i="7"/>
  <c r="F10" i="7"/>
  <c r="T11" i="9" s="1" a="1"/>
  <c r="T11" i="9" s="1"/>
  <c r="F11" i="7"/>
  <c r="T10" i="9" s="1" a="1"/>
  <c r="T10" i="9" s="1"/>
  <c r="F12" i="7"/>
  <c r="G108" i="4" a="1"/>
  <c r="G108" i="4" s="1"/>
  <c r="AL2" i="4"/>
  <c r="H108" i="4" a="1"/>
  <c r="H108" i="4" s="1"/>
  <c r="K108" i="4" a="1"/>
  <c r="K108" i="4" s="1"/>
  <c r="D108" i="4" a="1"/>
  <c r="D108" i="4" s="1"/>
  <c r="J108" i="4" a="1"/>
  <c r="J108" i="4" s="1"/>
  <c r="I108" i="4" a="1"/>
  <c r="I108" i="4" s="1"/>
  <c r="B108" i="4" a="1"/>
  <c r="B108" i="4" s="1"/>
  <c r="E108" i="4" a="1"/>
  <c r="E108" i="4" s="1"/>
  <c r="M5" i="9"/>
  <c r="D75" i="7"/>
  <c r="E75" i="7" s="1"/>
  <c r="D82" i="7"/>
  <c r="E82" i="7" s="1"/>
  <c r="D78" i="7"/>
  <c r="E78" i="7" s="1"/>
  <c r="D74" i="7"/>
  <c r="E74" i="7" s="1"/>
  <c r="D81" i="7"/>
  <c r="E81" i="7" s="1"/>
  <c r="D77" i="7"/>
  <c r="E77" i="7" s="1"/>
  <c r="D73" i="7"/>
  <c r="E73" i="7" s="1"/>
  <c r="D80" i="7"/>
  <c r="E80" i="7" s="1"/>
  <c r="D76" i="7"/>
  <c r="E76" i="7" s="1"/>
  <c r="D72" i="7"/>
  <c r="E72" i="7" s="1"/>
  <c r="E2" i="4"/>
  <c r="M33" i="7"/>
  <c r="L33" i="7"/>
  <c r="K33" i="7"/>
  <c r="J33" i="7"/>
  <c r="I33" i="7"/>
  <c r="H33" i="7"/>
  <c r="G33" i="7"/>
  <c r="N33" i="7"/>
  <c r="F33" i="7"/>
  <c r="E33" i="7"/>
  <c r="D5" i="7"/>
  <c r="D9" i="7"/>
  <c r="D16" i="7"/>
  <c r="D8" i="7"/>
  <c r="D15" i="7"/>
  <c r="D11" i="7"/>
  <c r="D7" i="7"/>
  <c r="D14" i="7"/>
  <c r="D10" i="7"/>
  <c r="D6" i="7"/>
  <c r="B2" i="4"/>
  <c r="AQ2" i="4" s="1"/>
  <c r="AQ3" i="4" s="1"/>
  <c r="AW3" i="4" s="1"/>
  <c r="E3" i="4"/>
  <c r="B3" i="4" s="1"/>
  <c r="F2" i="4"/>
  <c r="H47" i="7"/>
  <c r="E47" i="7"/>
  <c r="J47" i="7"/>
  <c r="L47" i="7"/>
  <c r="G47" i="7"/>
  <c r="N47" i="7"/>
  <c r="M47" i="7"/>
  <c r="I47" i="7"/>
  <c r="F47" i="7"/>
  <c r="D13" i="7" a="1"/>
  <c r="K47" i="7"/>
  <c r="B40" i="9" a="1"/>
  <c r="A26" i="39" l="1"/>
  <c r="K2" i="39"/>
  <c r="BC24" i="39"/>
  <c r="S6" i="4"/>
  <c r="J24" i="4"/>
  <c r="D47" i="7"/>
  <c r="D52" i="7" s="1"/>
  <c r="D34" i="7"/>
  <c r="N11" i="9" a="1"/>
  <c r="N11" i="9" s="1"/>
  <c r="N9" i="9" a="1"/>
  <c r="N9" i="9" s="1"/>
  <c r="N13" i="9" a="1"/>
  <c r="N13" i="9" s="1"/>
  <c r="N12" i="7"/>
  <c r="B40" i="9"/>
  <c r="AT3" i="4"/>
  <c r="AT2" i="4"/>
  <c r="AY2" i="4" s="1"/>
  <c r="BI2" i="4" s="1"/>
  <c r="F1" i="4" s="1"/>
  <c r="J51" i="7"/>
  <c r="K51" i="7"/>
  <c r="G51" i="7"/>
  <c r="E51" i="7"/>
  <c r="I51" i="7"/>
  <c r="L51" i="7"/>
  <c r="M51" i="7"/>
  <c r="H51" i="7"/>
  <c r="F51" i="7"/>
  <c r="N51" i="7"/>
  <c r="J6" i="7"/>
  <c r="J12" i="7"/>
  <c r="D13" i="7"/>
  <c r="J10" i="7"/>
  <c r="J9" i="7"/>
  <c r="J16" i="7"/>
  <c r="J14" i="7"/>
  <c r="J5" i="7"/>
  <c r="J11" i="7"/>
  <c r="J8" i="7"/>
  <c r="J7" i="7"/>
  <c r="J15" i="7"/>
  <c r="A44" i="39" l="1"/>
  <c r="J26" i="39"/>
  <c r="L2" i="39"/>
  <c r="S24" i="4"/>
  <c r="G2" i="4"/>
  <c r="AB6" i="4"/>
  <c r="G7" i="9"/>
  <c r="R4" i="7"/>
  <c r="P14" i="7" s="1"/>
  <c r="S14" i="7" s="1"/>
  <c r="O7" i="9"/>
  <c r="N4" i="7"/>
  <c r="F13" i="7" a="1"/>
  <c r="M2" i="39" l="1"/>
  <c r="J44" i="39"/>
  <c r="S26" i="39"/>
  <c r="AB24" i="4"/>
  <c r="AK6" i="4"/>
  <c r="H2" i="4"/>
  <c r="S10" i="7"/>
  <c r="F13" i="7"/>
  <c r="T9" i="9" s="1" a="1"/>
  <c r="T9" i="9" s="1"/>
  <c r="D79" i="7" a="1"/>
  <c r="S44" i="39" l="1"/>
  <c r="N2" i="39"/>
  <c r="AB26" i="39"/>
  <c r="AK24" i="4"/>
  <c r="AT6" i="4"/>
  <c r="I2" i="4"/>
  <c r="T8" i="9" a="1"/>
  <c r="T8" i="9" s="1"/>
  <c r="G9" i="9"/>
  <c r="Q16" i="7"/>
  <c r="S16" i="7" s="1"/>
  <c r="N6" i="7"/>
  <c r="N16" i="7"/>
  <c r="D79" i="7"/>
  <c r="J13" i="7"/>
  <c r="AB44" i="39" l="1"/>
  <c r="AK26" i="39"/>
  <c r="O2" i="39"/>
  <c r="AT24" i="4"/>
  <c r="J2" i="4"/>
  <c r="BC6" i="4"/>
  <c r="G11" i="9"/>
  <c r="E79" i="7"/>
  <c r="AT26" i="39" l="1"/>
  <c r="AK44" i="39"/>
  <c r="P2" i="39"/>
  <c r="BC24" i="4"/>
  <c r="A26" i="4"/>
  <c r="K2" i="4"/>
  <c r="BC26" i="39" l="1"/>
  <c r="AT44" i="39"/>
  <c r="Q2" i="39"/>
  <c r="A44" i="4"/>
  <c r="J26" i="4"/>
  <c r="L2" i="4"/>
  <c r="BC44" i="39" l="1"/>
  <c r="R2" i="39"/>
  <c r="A46" i="39"/>
  <c r="J44" i="4"/>
  <c r="M2" i="4"/>
  <c r="S26" i="4"/>
  <c r="A64" i="39" l="1"/>
  <c r="S2" i="39"/>
  <c r="J46" i="39"/>
  <c r="S44" i="4"/>
  <c r="AB26" i="4"/>
  <c r="N2" i="4"/>
  <c r="S46" i="39" l="1"/>
  <c r="J64" i="39"/>
  <c r="T2" i="39"/>
  <c r="AB44" i="4"/>
  <c r="O2" i="4"/>
  <c r="AK26" i="4"/>
  <c r="U2" i="39" l="1"/>
  <c r="S64" i="39"/>
  <c r="AB46" i="39"/>
  <c r="AK44" i="4"/>
  <c r="P2" i="4"/>
  <c r="AT26" i="4"/>
  <c r="AB64" i="39" l="1"/>
  <c r="AK46" i="39"/>
  <c r="V2" i="39"/>
  <c r="AT44" i="4"/>
  <c r="BC26" i="4"/>
  <c r="Q2" i="4"/>
  <c r="AK64" i="39" l="1"/>
  <c r="AT46" i="39"/>
  <c r="W2" i="39"/>
  <c r="BC44" i="4"/>
  <c r="R2" i="4"/>
  <c r="A46" i="4"/>
  <c r="BC46" i="39" l="1"/>
  <c r="X2" i="39"/>
  <c r="AT64" i="39"/>
  <c r="A64" i="4"/>
  <c r="S2" i="4"/>
  <c r="J46" i="4"/>
  <c r="A66" i="39" l="1"/>
  <c r="BC64" i="39"/>
  <c r="Y2" i="39"/>
  <c r="J64" i="4"/>
  <c r="S46" i="4"/>
  <c r="T2" i="4"/>
  <c r="Z2" i="39" l="1"/>
  <c r="A84" i="39"/>
  <c r="J66" i="39"/>
  <c r="S64" i="4"/>
  <c r="AB46" i="4"/>
  <c r="U2" i="4"/>
  <c r="J84" i="39" l="1"/>
  <c r="AA2" i="39"/>
  <c r="S66" i="39"/>
  <c r="AB64" i="4"/>
  <c r="AK46" i="4"/>
  <c r="V2" i="4"/>
  <c r="S84" i="39" l="1"/>
  <c r="AB66" i="39"/>
  <c r="AB2" i="39"/>
  <c r="AK64" i="4"/>
  <c r="W2" i="4"/>
  <c r="AT46" i="4"/>
  <c r="AC2" i="39" l="1"/>
  <c r="AB84" i="39"/>
  <c r="AK66" i="39"/>
  <c r="AT64" i="4"/>
  <c r="BC46" i="4"/>
  <c r="X2" i="4"/>
  <c r="AT66" i="39" l="1"/>
  <c r="AK84" i="39"/>
  <c r="AD2" i="39"/>
  <c r="BC64" i="4"/>
  <c r="Y2" i="4"/>
  <c r="A66" i="4"/>
  <c r="BC66" i="39" l="1"/>
  <c r="AT84" i="39"/>
  <c r="AE2" i="39"/>
  <c r="A84" i="4"/>
  <c r="Z2" i="4"/>
  <c r="J66" i="4"/>
  <c r="BC84" i="39" l="1"/>
  <c r="AF2" i="39"/>
  <c r="A86" i="39"/>
  <c r="J84" i="4"/>
  <c r="S66" i="4"/>
  <c r="AA2" i="4"/>
  <c r="A104" i="39" l="1"/>
  <c r="J86" i="39"/>
  <c r="AG2" i="39"/>
  <c r="S84" i="4"/>
  <c r="AB66" i="4"/>
  <c r="AB2" i="4"/>
  <c r="S86" i="39" l="1"/>
  <c r="AH2" i="39"/>
  <c r="J104" i="39"/>
  <c r="AB84" i="4"/>
  <c r="AK66" i="4"/>
  <c r="AC2" i="4"/>
  <c r="AI2" i="39" l="1"/>
  <c r="S104" i="39"/>
  <c r="AK84" i="4"/>
  <c r="AD2" i="4"/>
  <c r="AT66" i="4"/>
  <c r="A40" i="9" a="1"/>
  <c r="AT84" i="4" l="1"/>
  <c r="AE2" i="4"/>
  <c r="BC66" i="4"/>
  <c r="A40" i="9"/>
  <c r="BC84" i="4" l="1"/>
  <c r="AF2" i="4"/>
  <c r="A86" i="4"/>
  <c r="A104" i="4" l="1"/>
  <c r="AG2" i="4"/>
  <c r="J86" i="4"/>
  <c r="J104" i="4" l="1"/>
  <c r="AH2" i="4"/>
  <c r="S86" i="4"/>
  <c r="AI2" i="4" l="1"/>
  <c r="S10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<sst xmlns="http://schemas.openxmlformats.org/spreadsheetml/2006/main" count="1846" uniqueCount="383">
  <si>
    <t>実作業</t>
  </si>
  <si>
    <t>月工数管理</t>
  </si>
  <si>
    <t>時間</t>
  </si>
  <si>
    <t>単価合計</t>
  </si>
  <si>
    <t>円</t>
  </si>
  <si>
    <t>時給</t>
  </si>
  <si>
    <t>月額</t>
  </si>
  <si>
    <t>年金</t>
  </si>
  <si>
    <t>扶養内</t>
  </si>
  <si>
    <t>円まで</t>
  </si>
  <si>
    <t>月／収入</t>
  </si>
  <si>
    <t>円予定</t>
  </si>
  <si>
    <t>日数</t>
  </si>
  <si>
    <t>日</t>
  </si>
  <si>
    <t>日付/曜日</t>
  </si>
  <si>
    <t>開始/終了</t>
  </si>
  <si>
    <t>実務/作業時間</t>
  </si>
  <si>
    <t>休憩時間</t>
  </si>
  <si>
    <t>コード</t>
  </si>
  <si>
    <t>案件名</t>
  </si>
  <si>
    <t>合計</t>
  </si>
  <si>
    <t>単価</t>
  </si>
  <si>
    <t>備考</t>
  </si>
  <si>
    <t>_01</t>
    <phoneticPr fontId="5"/>
  </si>
  <si>
    <t>_02</t>
  </si>
  <si>
    <t>_03</t>
  </si>
  <si>
    <t>_04</t>
  </si>
  <si>
    <t>_05</t>
  </si>
  <si>
    <t>_06</t>
  </si>
  <si>
    <t>_07</t>
  </si>
  <si>
    <t>_08</t>
  </si>
  <si>
    <t>_09</t>
  </si>
  <si>
    <t>_10</t>
  </si>
  <si>
    <t>_11</t>
  </si>
  <si>
    <t>_12</t>
  </si>
  <si>
    <t>年</t>
    <rPh sb="0" eb="1">
      <t>ネン</t>
    </rPh>
    <phoneticPr fontId="5"/>
  </si>
  <si>
    <t>※単価価格は納品後に記載。案件名と開始時と終了時を備考欄に記載。</t>
    <rPh sb="6" eb="8">
      <t>ノウヒン</t>
    </rPh>
    <rPh sb="8" eb="9">
      <t>アト</t>
    </rPh>
    <phoneticPr fontId="5"/>
  </si>
  <si>
    <t>支援/自習</t>
    <rPh sb="3" eb="5">
      <t>ジシュウ</t>
    </rPh>
    <phoneticPr fontId="5"/>
  </si>
  <si>
    <t>▼単価月別合計</t>
    <rPh sb="1" eb="5">
      <t>タンカツキベツ</t>
    </rPh>
    <rPh sb="5" eb="7">
      <t>ゴウケイ</t>
    </rPh>
    <phoneticPr fontId="5"/>
  </si>
  <si>
    <t>▶単価年度合計</t>
    <rPh sb="1" eb="7">
      <t>タンカネンドゴウケイ</t>
    </rPh>
    <phoneticPr fontId="5"/>
  </si>
  <si>
    <t>▶（扶養内年額限度額）</t>
    <rPh sb="2" eb="4">
      <t>フヨウ</t>
    </rPh>
    <rPh sb="4" eb="5">
      <t>ナイ</t>
    </rPh>
    <rPh sb="5" eb="7">
      <t>ネンガク</t>
    </rPh>
    <rPh sb="7" eb="10">
      <t>ゲンドガク</t>
    </rPh>
    <phoneticPr fontId="5"/>
  </si>
  <si>
    <t>▶年金額年度合計</t>
    <rPh sb="1" eb="4">
      <t>ネンキンガク</t>
    </rPh>
    <rPh sb="4" eb="8">
      <t>ネンドゴウケイ</t>
    </rPh>
    <phoneticPr fontId="5"/>
  </si>
  <si>
    <t>▼年金受取額</t>
    <rPh sb="1" eb="3">
      <t>ネンキン</t>
    </rPh>
    <rPh sb="3" eb="5">
      <t>ウケトリ</t>
    </rPh>
    <rPh sb="5" eb="6">
      <t>ガク</t>
    </rPh>
    <phoneticPr fontId="5"/>
  </si>
  <si>
    <t>▼黄色セルに年度を入力</t>
    <rPh sb="1" eb="3">
      <t>キイロ</t>
    </rPh>
    <rPh sb="6" eb="8">
      <t>ネンド</t>
    </rPh>
    <rPh sb="9" eb="11">
      <t>ニュウリョク</t>
    </rPh>
    <phoneticPr fontId="5"/>
  </si>
  <si>
    <t>▶月額売上額年度合計</t>
    <rPh sb="1" eb="3">
      <t>ゲツガク</t>
    </rPh>
    <rPh sb="3" eb="5">
      <t>ウリアゲ</t>
    </rPh>
    <rPh sb="5" eb="6">
      <t>ガク</t>
    </rPh>
    <rPh sb="6" eb="8">
      <t>ネンド</t>
    </rPh>
    <rPh sb="8" eb="10">
      <t>ゴウケイ</t>
    </rPh>
    <phoneticPr fontId="5"/>
  </si>
  <si>
    <t>▼黄色セルに扶養内年度限度額を入力</t>
    <rPh sb="1" eb="3">
      <t>キイロ</t>
    </rPh>
    <rPh sb="6" eb="8">
      <t>フヨウ</t>
    </rPh>
    <rPh sb="8" eb="9">
      <t>ナイ</t>
    </rPh>
    <rPh sb="9" eb="11">
      <t>ネンド</t>
    </rPh>
    <rPh sb="11" eb="14">
      <t>ゲンドガク</t>
    </rPh>
    <rPh sb="15" eb="17">
      <t>ニュウリョク</t>
    </rPh>
    <phoneticPr fontId="5"/>
  </si>
  <si>
    <t>▼個人年収</t>
    <rPh sb="1" eb="3">
      <t>コジン</t>
    </rPh>
    <rPh sb="3" eb="5">
      <t>ネンシュウ</t>
    </rPh>
    <phoneticPr fontId="5"/>
  </si>
  <si>
    <t>▼月収合計額</t>
    <rPh sb="1" eb="3">
      <t>ゲッシュウ</t>
    </rPh>
    <rPh sb="3" eb="5">
      <t>ゴウケイ</t>
    </rPh>
    <rPh sb="5" eb="6">
      <t>ガク</t>
    </rPh>
    <phoneticPr fontId="5"/>
  </si>
  <si>
    <t>実務案件別売上額管理表</t>
    <rPh sb="0" eb="2">
      <t>ジツム</t>
    </rPh>
    <rPh sb="2" eb="4">
      <t>アンケン</t>
    </rPh>
    <rPh sb="4" eb="5">
      <t>ベツ</t>
    </rPh>
    <rPh sb="5" eb="7">
      <t>ウリアゲ</t>
    </rPh>
    <rPh sb="7" eb="8">
      <t>ガク</t>
    </rPh>
    <rPh sb="8" eb="11">
      <t>カンリヒョウ</t>
    </rPh>
    <phoneticPr fontId="5"/>
  </si>
  <si>
    <t>売上</t>
    <rPh sb="0" eb="2">
      <t>ウリアゲ</t>
    </rPh>
    <phoneticPr fontId="5"/>
  </si>
  <si>
    <t>時間</t>
    <rPh sb="0" eb="2">
      <t>ジカン</t>
    </rPh>
    <phoneticPr fontId="5"/>
  </si>
  <si>
    <t>▼黄色セルに現在東京最低賃金を入力</t>
    <rPh sb="1" eb="3">
      <t>キイロ</t>
    </rPh>
    <rPh sb="6" eb="8">
      <t>ゲンザイ</t>
    </rPh>
    <rPh sb="8" eb="10">
      <t>トウキョウ</t>
    </rPh>
    <rPh sb="10" eb="12">
      <t>サイテイ</t>
    </rPh>
    <rPh sb="12" eb="14">
      <t>チンギン</t>
    </rPh>
    <rPh sb="15" eb="17">
      <t>ニュウリョク</t>
    </rPh>
    <phoneticPr fontId="5"/>
  </si>
  <si>
    <t>時給</t>
    <phoneticPr fontId="5"/>
  </si>
  <si>
    <t>通常月額</t>
    <rPh sb="0" eb="2">
      <t>ツウジョウ</t>
    </rPh>
    <phoneticPr fontId="5"/>
  </si>
  <si>
    <t>←単価売上だけの東京最低賃金との比較</t>
    <rPh sb="1" eb="3">
      <t>タンカ</t>
    </rPh>
    <rPh sb="3" eb="5">
      <t>ウリアゲ</t>
    </rPh>
    <rPh sb="8" eb="10">
      <t>トウキョウ</t>
    </rPh>
    <rPh sb="10" eb="14">
      <t>サイテイチンギン</t>
    </rPh>
    <rPh sb="16" eb="18">
      <t>ヒカク</t>
    </rPh>
    <phoneticPr fontId="5"/>
  </si>
  <si>
    <t>実務案件別勤務時間管理表</t>
    <rPh sb="0" eb="2">
      <t>ジツム</t>
    </rPh>
    <rPh sb="2" eb="4">
      <t>アンケン</t>
    </rPh>
    <rPh sb="4" eb="5">
      <t>ベツ</t>
    </rPh>
    <rPh sb="5" eb="9">
      <t>キンムジカン</t>
    </rPh>
    <rPh sb="9" eb="12">
      <t>カンリヒョウ</t>
    </rPh>
    <phoneticPr fontId="5"/>
  </si>
  <si>
    <t>東京よりマイナス→</t>
    <rPh sb="0" eb="2">
      <t>トウキョウ</t>
    </rPh>
    <phoneticPr fontId="5"/>
  </si>
  <si>
    <t>▶年間総作業時間</t>
    <phoneticPr fontId="5"/>
  </si>
  <si>
    <t>東京で働いた場合→</t>
    <rPh sb="0" eb="2">
      <t>トウキョウ</t>
    </rPh>
    <rPh sb="3" eb="4">
      <t>ハタラ</t>
    </rPh>
    <rPh sb="6" eb="8">
      <t>バアイ</t>
    </rPh>
    <phoneticPr fontId="5"/>
  </si>
  <si>
    <t>▼目標平均年収</t>
    <rPh sb="1" eb="3">
      <t>モクヒョウ</t>
    </rPh>
    <rPh sb="3" eb="5">
      <t>ヘイキン</t>
    </rPh>
    <rPh sb="5" eb="7">
      <t>ネンシュウ</t>
    </rPh>
    <phoneticPr fontId="5"/>
  </si>
  <si>
    <t>▼目標年収＋年金</t>
    <rPh sb="1" eb="3">
      <t>モクヒョウ</t>
    </rPh>
    <rPh sb="3" eb="5">
      <t>ネンシュウ</t>
    </rPh>
    <rPh sb="6" eb="8">
      <t>ネンキン</t>
    </rPh>
    <phoneticPr fontId="5"/>
  </si>
  <si>
    <t>売上額比較表</t>
    <rPh sb="0" eb="2">
      <t>ウリアゲ</t>
    </rPh>
    <rPh sb="2" eb="3">
      <t>ガク</t>
    </rPh>
    <rPh sb="3" eb="6">
      <t>ヒカクヒョウ</t>
    </rPh>
    <phoneticPr fontId="5"/>
  </si>
  <si>
    <t>▼全合計</t>
    <rPh sb="1" eb="4">
      <t>ゼンゴウケイ</t>
    </rPh>
    <phoneticPr fontId="5"/>
  </si>
  <si>
    <t>　KPIサマリー</t>
    <phoneticPr fontId="5"/>
  </si>
  <si>
    <t>　リソース使用状況</t>
    <rPh sb="5" eb="7">
      <t>シヨウ</t>
    </rPh>
    <rPh sb="7" eb="9">
      <t>ジョウキョウ</t>
    </rPh>
    <phoneticPr fontId="5"/>
  </si>
  <si>
    <t>　請求書</t>
    <rPh sb="1" eb="4">
      <t>セイキュウショ</t>
    </rPh>
    <phoneticPr fontId="5"/>
  </si>
  <si>
    <t>　案件サマリー</t>
    <rPh sb="1" eb="3">
      <t>アンケン</t>
    </rPh>
    <phoneticPr fontId="5"/>
  </si>
  <si>
    <t>円</t>
    <rPh sb="0" eb="1">
      <t>エン</t>
    </rPh>
    <phoneticPr fontId="5"/>
  </si>
  <si>
    <t>　　一位</t>
    <rPh sb="2" eb="4">
      <t>イチイ</t>
    </rPh>
    <phoneticPr fontId="5"/>
  </si>
  <si>
    <t>　　二位</t>
    <rPh sb="2" eb="4">
      <t>ニイ</t>
    </rPh>
    <phoneticPr fontId="5"/>
  </si>
  <si>
    <t>　　三位</t>
    <rPh sb="2" eb="4">
      <t>サンイ</t>
    </rPh>
    <phoneticPr fontId="5"/>
  </si>
  <si>
    <t>　　今月</t>
    <rPh sb="2" eb="4">
      <t>コンゲツ</t>
    </rPh>
    <phoneticPr fontId="5"/>
  </si>
  <si>
    <t>　スケジュール管理</t>
    <rPh sb="7" eb="9">
      <t>カンリ</t>
    </rPh>
    <phoneticPr fontId="5"/>
  </si>
  <si>
    <t>　今月作業時間合計</t>
    <rPh sb="1" eb="3">
      <t>コンゲツ</t>
    </rPh>
    <rPh sb="3" eb="5">
      <t>サギョウ</t>
    </rPh>
    <rPh sb="5" eb="7">
      <t>ジカン</t>
    </rPh>
    <rPh sb="7" eb="9">
      <t>ゴウケイ</t>
    </rPh>
    <phoneticPr fontId="5"/>
  </si>
  <si>
    <t>実務月別時給換算管理表</t>
    <rPh sb="0" eb="2">
      <t>ジツム</t>
    </rPh>
    <rPh sb="2" eb="3">
      <t>ツキ</t>
    </rPh>
    <rPh sb="3" eb="4">
      <t>ベツ</t>
    </rPh>
    <rPh sb="4" eb="6">
      <t>ジキュウ</t>
    </rPh>
    <rPh sb="6" eb="8">
      <t>カンサン</t>
    </rPh>
    <rPh sb="8" eb="11">
      <t>カンリヒョウ</t>
    </rPh>
    <phoneticPr fontId="5"/>
  </si>
  <si>
    <t xml:space="preserve"> ▶ 知識ベース</t>
    <rPh sb="3" eb="5">
      <t>チシキ</t>
    </rPh>
    <phoneticPr fontId="5"/>
  </si>
  <si>
    <t xml:space="preserve"> ▶ ダッシュボード</t>
    <phoneticPr fontId="5"/>
  </si>
  <si>
    <t>　今月の平均時給</t>
    <rPh sb="1" eb="3">
      <t>コンゲツ</t>
    </rPh>
    <phoneticPr fontId="5"/>
  </si>
  <si>
    <t>　　月別</t>
    <rPh sb="2" eb="4">
      <t>ツキベツ</t>
    </rPh>
    <phoneticPr fontId="5"/>
  </si>
  <si>
    <t>全体</t>
    <rPh sb="0" eb="2">
      <t>ゼンタイ</t>
    </rPh>
    <phoneticPr fontId="5"/>
  </si>
  <si>
    <t>タスク名</t>
    <rPh sb="3" eb="4">
      <t>メイ</t>
    </rPh>
    <phoneticPr fontId="5"/>
  </si>
  <si>
    <t>開始日</t>
    <rPh sb="0" eb="3">
      <t>カイシビ</t>
    </rPh>
    <phoneticPr fontId="5"/>
  </si>
  <si>
    <t>終了日</t>
    <rPh sb="0" eb="3">
      <t>シュウリョウビ</t>
    </rPh>
    <phoneticPr fontId="5"/>
  </si>
  <si>
    <t>重要度</t>
    <rPh sb="0" eb="3">
      <t>ジュウヨウド</t>
    </rPh>
    <phoneticPr fontId="5"/>
  </si>
  <si>
    <t>ステータス</t>
    <phoneticPr fontId="5"/>
  </si>
  <si>
    <t>ナンバー</t>
    <phoneticPr fontId="5"/>
  </si>
  <si>
    <t>▼タスク増えた時用に空白行確保</t>
    <rPh sb="4" eb="5">
      <t>フ</t>
    </rPh>
    <rPh sb="7" eb="8">
      <t>トキ</t>
    </rPh>
    <rPh sb="8" eb="9">
      <t>ヨウ</t>
    </rPh>
    <rPh sb="10" eb="12">
      <t>クウハク</t>
    </rPh>
    <rPh sb="12" eb="13">
      <t>ギョウ</t>
    </rPh>
    <rPh sb="13" eb="15">
      <t>カクホ</t>
    </rPh>
    <phoneticPr fontId="5"/>
  </si>
  <si>
    <t>▼案件増えた時用に空白列確保</t>
    <rPh sb="1" eb="3">
      <t>アンケン</t>
    </rPh>
    <rPh sb="3" eb="4">
      <t>フ</t>
    </rPh>
    <rPh sb="6" eb="7">
      <t>トキ</t>
    </rPh>
    <rPh sb="7" eb="8">
      <t>ヨウ</t>
    </rPh>
    <rPh sb="9" eb="11">
      <t>クウハク</t>
    </rPh>
    <rPh sb="11" eb="12">
      <t>レツ</t>
    </rPh>
    <rPh sb="12" eb="14">
      <t>カクホ</t>
    </rPh>
    <phoneticPr fontId="5"/>
  </si>
  <si>
    <t>▶売上額</t>
    <rPh sb="1" eb="3">
      <t>ウリアゲ</t>
    </rPh>
    <rPh sb="3" eb="4">
      <t>ガク</t>
    </rPh>
    <phoneticPr fontId="5"/>
  </si>
  <si>
    <t>▶ダッシュボードへ</t>
    <phoneticPr fontId="5"/>
  </si>
  <si>
    <t xml:space="preserve"> ▶ ダッシュボードトップへ</t>
    <phoneticPr fontId="5"/>
  </si>
  <si>
    <t>低</t>
    <rPh sb="0" eb="1">
      <t>ヒク</t>
    </rPh>
    <phoneticPr fontId="5"/>
  </si>
  <si>
    <t>中</t>
    <rPh sb="0" eb="1">
      <t>ナカ</t>
    </rPh>
    <phoneticPr fontId="5"/>
  </si>
  <si>
    <t>高</t>
    <rPh sb="0" eb="1">
      <t>タカ</t>
    </rPh>
    <phoneticPr fontId="5"/>
  </si>
  <si>
    <t>進行中</t>
    <rPh sb="0" eb="3">
      <t>シンコウチュウ</t>
    </rPh>
    <phoneticPr fontId="5"/>
  </si>
  <si>
    <t>完了</t>
    <rPh sb="0" eb="2">
      <t>カンリョウ</t>
    </rPh>
    <phoneticPr fontId="5"/>
  </si>
  <si>
    <t>未着手</t>
    <rPh sb="0" eb="3">
      <t>ミチャクシュ</t>
    </rPh>
    <phoneticPr fontId="5"/>
  </si>
  <si>
    <t>▼高・中・低</t>
    <rPh sb="1" eb="2">
      <t>タカ</t>
    </rPh>
    <rPh sb="3" eb="4">
      <t>ナカ</t>
    </rPh>
    <rPh sb="5" eb="6">
      <t>ヒク</t>
    </rPh>
    <phoneticPr fontId="5"/>
  </si>
  <si>
    <t>▼完了・進行中・未着手</t>
    <rPh sb="1" eb="3">
      <t>カンリョウ</t>
    </rPh>
    <rPh sb="4" eb="7">
      <t>シンコウチュウ</t>
    </rPh>
    <rPh sb="8" eb="11">
      <t>ミチャクシュ</t>
    </rPh>
    <phoneticPr fontId="5"/>
  </si>
  <si>
    <t>▼日付または未定</t>
    <rPh sb="1" eb="3">
      <t>ヒヅケ</t>
    </rPh>
    <rPh sb="6" eb="8">
      <t>ミテイ</t>
    </rPh>
    <phoneticPr fontId="5"/>
  </si>
  <si>
    <t>重要度一覧</t>
    <phoneticPr fontId="5"/>
  </si>
  <si>
    <t>案件名</t>
    <rPh sb="0" eb="3">
      <t>アンケンメイ</t>
    </rPh>
    <phoneticPr fontId="5"/>
  </si>
  <si>
    <t>案件コード</t>
    <rPh sb="0" eb="2">
      <t>アンケン</t>
    </rPh>
    <phoneticPr fontId="5"/>
  </si>
  <si>
    <t>自己時給</t>
    <rPh sb="0" eb="2">
      <t>ジコ</t>
    </rPh>
    <rPh sb="2" eb="4">
      <t>ジキュウ</t>
    </rPh>
    <phoneticPr fontId="5"/>
  </si>
  <si>
    <t>←案件名を記入</t>
    <rPh sb="1" eb="4">
      <t>アンケンメイ</t>
    </rPh>
    <rPh sb="5" eb="7">
      <t>キニュウ</t>
    </rPh>
    <phoneticPr fontId="5"/>
  </si>
  <si>
    <t>▼黄色セルに地元の最低賃金を入力</t>
    <rPh sb="1" eb="3">
      <t>キイロ</t>
    </rPh>
    <rPh sb="6" eb="8">
      <t>ジモト</t>
    </rPh>
    <rPh sb="9" eb="11">
      <t>サイテイ</t>
    </rPh>
    <rPh sb="11" eb="13">
      <t>チンギン</t>
    </rPh>
    <rPh sb="14" eb="16">
      <t>ニュウリョク</t>
    </rPh>
    <phoneticPr fontId="5"/>
  </si>
  <si>
    <t>▼案件が増えた時用に空白列確保</t>
    <rPh sb="1" eb="3">
      <t>アンケン</t>
    </rPh>
    <rPh sb="4" eb="5">
      <t>フ</t>
    </rPh>
    <rPh sb="7" eb="8">
      <t>トキ</t>
    </rPh>
    <rPh sb="8" eb="9">
      <t>ヨウ</t>
    </rPh>
    <rPh sb="10" eb="12">
      <t>クウハク</t>
    </rPh>
    <rPh sb="12" eb="13">
      <t>レツ</t>
    </rPh>
    <rPh sb="13" eb="15">
      <t>カクホ</t>
    </rPh>
    <phoneticPr fontId="5"/>
  </si>
  <si>
    <t>※頑張ったな！</t>
    <rPh sb="1" eb="3">
      <t>ガンバ</t>
    </rPh>
    <phoneticPr fontId="5"/>
  </si>
  <si>
    <t xml:space="preserve"> ▶ ダッシュボードへ</t>
    <phoneticPr fontId="5"/>
  </si>
  <si>
    <t xml:space="preserve"> 売上・工数管理表</t>
    <rPh sb="1" eb="3">
      <t>ウリアゲ</t>
    </rPh>
    <rPh sb="4" eb="6">
      <t>コウスウ</t>
    </rPh>
    <rPh sb="6" eb="8">
      <t>カンリ</t>
    </rPh>
    <rPh sb="8" eb="9">
      <t>ヒョウ</t>
    </rPh>
    <phoneticPr fontId="5"/>
  </si>
  <si>
    <t>※無理するなよ！</t>
    <rPh sb="1" eb="3">
      <t>ムリ</t>
    </rPh>
    <phoneticPr fontId="5"/>
  </si>
  <si>
    <t>金額</t>
    <rPh sb="0" eb="2">
      <t>キンガク</t>
    </rPh>
    <phoneticPr fontId="5"/>
  </si>
  <si>
    <t>日給料日</t>
    <rPh sb="0" eb="1">
      <t>ヒ</t>
    </rPh>
    <rPh sb="1" eb="4">
      <t>キュウリョウビ</t>
    </rPh>
    <phoneticPr fontId="5"/>
  </si>
  <si>
    <t>作業時間</t>
    <rPh sb="0" eb="4">
      <t>サギョウジカン</t>
    </rPh>
    <phoneticPr fontId="5"/>
  </si>
  <si>
    <t>　今日</t>
    <rPh sb="1" eb="3">
      <t>キョウ</t>
    </rPh>
    <phoneticPr fontId="5"/>
  </si>
  <si>
    <t>晴れ</t>
    <rPh sb="0" eb="1">
      <t>ハ</t>
    </rPh>
    <phoneticPr fontId="5"/>
  </si>
  <si>
    <t>曇り</t>
    <rPh sb="0" eb="1">
      <t>クモ</t>
    </rPh>
    <phoneticPr fontId="5"/>
  </si>
  <si>
    <t>雨</t>
    <rPh sb="0" eb="1">
      <t>アメ</t>
    </rPh>
    <phoneticPr fontId="5"/>
  </si>
  <si>
    <t>雪</t>
    <rPh sb="0" eb="1">
      <t>ユキ</t>
    </rPh>
    <phoneticPr fontId="5"/>
  </si>
  <si>
    <t>台風</t>
    <rPh sb="0" eb="2">
      <t>タイフウ</t>
    </rPh>
    <phoneticPr fontId="5"/>
  </si>
  <si>
    <t>ない</t>
    <phoneticPr fontId="5"/>
  </si>
  <si>
    <t>少しある</t>
    <rPh sb="0" eb="1">
      <t>スコ</t>
    </rPh>
    <phoneticPr fontId="5"/>
  </si>
  <si>
    <t>かなりある</t>
    <phoneticPr fontId="5"/>
  </si>
  <si>
    <t xml:space="preserve"> ▶ 一カ月体調分析</t>
    <rPh sb="3" eb="4">
      <t>イッ</t>
    </rPh>
    <rPh sb="5" eb="6">
      <t>ゲツ</t>
    </rPh>
    <rPh sb="6" eb="8">
      <t>タイチョウ</t>
    </rPh>
    <rPh sb="8" eb="10">
      <t>ブンセキ</t>
    </rPh>
    <phoneticPr fontId="5"/>
  </si>
  <si>
    <t>参照シート→</t>
    <rPh sb="0" eb="2">
      <t>サンショウ</t>
    </rPh>
    <phoneticPr fontId="5"/>
  </si>
  <si>
    <t>https://zutool.jp/</t>
    <phoneticPr fontId="5"/>
  </si>
  <si>
    <t xml:space="preserve"> ▶ 売上・工数管理</t>
    <rPh sb="3" eb="5">
      <t>ウリアゲ</t>
    </rPh>
    <rPh sb="6" eb="10">
      <t>コウスウカンリ</t>
    </rPh>
    <phoneticPr fontId="5"/>
  </si>
  <si>
    <t>良い</t>
    <rPh sb="0" eb="1">
      <t>ヨ</t>
    </rPh>
    <phoneticPr fontId="5"/>
  </si>
  <si>
    <t>普通</t>
    <rPh sb="0" eb="2">
      <t>フツウ</t>
    </rPh>
    <phoneticPr fontId="5"/>
  </si>
  <si>
    <t>悪い</t>
    <rPh sb="0" eb="1">
      <t>ワル</t>
    </rPh>
    <phoneticPr fontId="5"/>
  </si>
  <si>
    <t>ハイテンション</t>
    <phoneticPr fontId="5"/>
  </si>
  <si>
    <t>最低</t>
    <rPh sb="0" eb="2">
      <t>サイテイ</t>
    </rPh>
    <phoneticPr fontId="5"/>
  </si>
  <si>
    <t>※頑張ったな！ 無理するな！</t>
    <rPh sb="1" eb="3">
      <t>ガンバ</t>
    </rPh>
    <rPh sb="8" eb="10">
      <t>ムリ</t>
    </rPh>
    <phoneticPr fontId="5"/>
  </si>
  <si>
    <t xml:space="preserve"> ※ 各シート名は既存の名前から変更しない</t>
    <rPh sb="3" eb="4">
      <t>カク</t>
    </rPh>
    <rPh sb="7" eb="8">
      <t>メイ</t>
    </rPh>
    <rPh sb="9" eb="11">
      <t>キゾン</t>
    </rPh>
    <rPh sb="12" eb="14">
      <t>ナマエ</t>
    </rPh>
    <rPh sb="16" eb="18">
      <t>ヘンコウ</t>
    </rPh>
    <phoneticPr fontId="5"/>
  </si>
  <si>
    <t>思い当たる理由</t>
    <rPh sb="0" eb="1">
      <t>オモ</t>
    </rPh>
    <rPh sb="2" eb="3">
      <t>ア</t>
    </rPh>
    <rPh sb="5" eb="7">
      <t>リユウ</t>
    </rPh>
    <phoneticPr fontId="5"/>
  </si>
  <si>
    <t>　日付・曜日</t>
    <rPh sb="1" eb="3">
      <t>ヒヅケ</t>
    </rPh>
    <rPh sb="4" eb="6">
      <t>ヨウビ</t>
    </rPh>
    <phoneticPr fontId="5"/>
  </si>
  <si>
    <t>● 本日</t>
    <rPh sb="2" eb="4">
      <t>ホンジツ</t>
    </rPh>
    <phoneticPr fontId="5"/>
  </si>
  <si>
    <t>現在 ●</t>
    <rPh sb="0" eb="2">
      <t>ゲンザイ</t>
    </rPh>
    <phoneticPr fontId="5"/>
  </si>
  <si>
    <t xml:space="preserve"> Welcome home!</t>
    <phoneticPr fontId="5"/>
  </si>
  <si>
    <t>タスク</t>
    <phoneticPr fontId="5"/>
  </si>
  <si>
    <r>
      <t>円</t>
    </r>
    <r>
      <rPr>
        <sz val="11"/>
        <color rgb="FF000000"/>
        <rFont val="游ゴシック"/>
        <family val="3"/>
        <charset val="128"/>
        <scheme val="minor"/>
      </rPr>
      <t>×</t>
    </r>
  </si>
  <si>
    <r>
      <t>時間</t>
    </r>
    <r>
      <rPr>
        <sz val="11"/>
        <color rgb="FF000000"/>
        <rFont val="游ゴシック"/>
        <family val="3"/>
        <charset val="128"/>
        <scheme val="minor"/>
      </rPr>
      <t>＝</t>
    </r>
  </si>
  <si>
    <r>
      <t>ー</t>
    </r>
    <r>
      <rPr>
        <b/>
        <sz val="11"/>
        <color rgb="FF000000"/>
        <rFont val="游ゴシック"/>
        <family val="3"/>
        <charset val="128"/>
        <scheme val="minor"/>
      </rPr>
      <t>利用料</t>
    </r>
  </si>
  <si>
    <r>
      <t>円</t>
    </r>
    <r>
      <rPr>
        <sz val="11"/>
        <color rgb="FF000000"/>
        <rFont val="游ゴシック"/>
        <family val="3"/>
        <charset val="128"/>
        <scheme val="minor"/>
      </rPr>
      <t>×</t>
    </r>
    <phoneticPr fontId="5"/>
  </si>
  <si>
    <t>Take care. Get some rest.</t>
    <phoneticPr fontId="5"/>
  </si>
  <si>
    <t>▼合計額</t>
    <rPh sb="1" eb="4">
      <t>ゴウケイガク</t>
    </rPh>
    <phoneticPr fontId="5"/>
  </si>
  <si>
    <t>▼合計時間</t>
    <rPh sb="1" eb="3">
      <t>ゴウケイ</t>
    </rPh>
    <rPh sb="3" eb="5">
      <t>ジカン</t>
    </rPh>
    <phoneticPr fontId="5"/>
  </si>
  <si>
    <t>天候内容</t>
    <rPh sb="0" eb="2">
      <t>テンコウ</t>
    </rPh>
    <rPh sb="2" eb="4">
      <t>ナイヨウ</t>
    </rPh>
    <phoneticPr fontId="5"/>
  </si>
  <si>
    <t>天候No.</t>
    <rPh sb="0" eb="2">
      <t>テンコウ</t>
    </rPh>
    <phoneticPr fontId="5"/>
  </si>
  <si>
    <t>気圧No.</t>
    <rPh sb="0" eb="2">
      <t>キアツ</t>
    </rPh>
    <phoneticPr fontId="5"/>
  </si>
  <si>
    <t>気圧内容</t>
    <rPh sb="0" eb="2">
      <t>キアツ</t>
    </rPh>
    <rPh sb="2" eb="4">
      <t>ナイヨウ</t>
    </rPh>
    <phoneticPr fontId="5"/>
  </si>
  <si>
    <t>体調No.</t>
    <rPh sb="0" eb="2">
      <t>タイチョウ</t>
    </rPh>
    <phoneticPr fontId="5"/>
  </si>
  <si>
    <t>体調内容</t>
    <rPh sb="0" eb="2">
      <t>タイチョウ</t>
    </rPh>
    <rPh sb="2" eb="4">
      <t>ナイヨウ</t>
    </rPh>
    <phoneticPr fontId="5"/>
  </si>
  <si>
    <t>▼ 下記を参考に該当ナンバーを手動入力欄に入力</t>
    <rPh sb="2" eb="4">
      <t>カキ</t>
    </rPh>
    <rPh sb="5" eb="7">
      <t>サンコウ</t>
    </rPh>
    <rPh sb="8" eb="10">
      <t>ガイトウ</t>
    </rPh>
    <rPh sb="15" eb="19">
      <t>シュドウニュウリョク</t>
    </rPh>
    <rPh sb="19" eb="20">
      <t>ラン</t>
    </rPh>
    <rPh sb="21" eb="23">
      <t>ニュウリョク</t>
    </rPh>
    <phoneticPr fontId="5"/>
  </si>
  <si>
    <t>　体調×作業効率可視化グラフ</t>
    <rPh sb="1" eb="3">
      <t>タイチョウ</t>
    </rPh>
    <rPh sb="4" eb="6">
      <t>サギョウ</t>
    </rPh>
    <rPh sb="6" eb="8">
      <t>コウリツ</t>
    </rPh>
    <rPh sb="8" eb="11">
      <t>カシカ</t>
    </rPh>
    <phoneticPr fontId="5"/>
  </si>
  <si>
    <t xml:space="preserve"> ▶ 体調×作業効率可視化グラフ</t>
    <rPh sb="3" eb="5">
      <t>タイチョウ</t>
    </rPh>
    <rPh sb="6" eb="8">
      <t>サギョウ</t>
    </rPh>
    <rPh sb="8" eb="10">
      <t>コウリツ</t>
    </rPh>
    <rPh sb="10" eb="13">
      <t>カシカ</t>
    </rPh>
    <phoneticPr fontId="5"/>
  </si>
  <si>
    <t>▶ 月初めに先月の手動入力データを削除</t>
    <phoneticPr fontId="5"/>
  </si>
  <si>
    <t xml:space="preserve"> ▶ ずつーるで気圧確認</t>
    <rPh sb="8" eb="10">
      <t>キアツ</t>
    </rPh>
    <rPh sb="10" eb="12">
      <t>カクニン</t>
    </rPh>
    <phoneticPr fontId="5"/>
  </si>
  <si>
    <t xml:space="preserve"> 一カ月体調分析</t>
    <rPh sb="1" eb="2">
      <t>ヒト</t>
    </rPh>
    <rPh sb="3" eb="4">
      <t>ゲツ</t>
    </rPh>
    <rPh sb="4" eb="6">
      <t>タイチョウ</t>
    </rPh>
    <rPh sb="6" eb="8">
      <t>ブンセキ</t>
    </rPh>
    <phoneticPr fontId="5"/>
  </si>
  <si>
    <t xml:space="preserve"> 体調×作業効率可視化グラフ</t>
    <rPh sb="1" eb="3">
      <t>タイチョウ</t>
    </rPh>
    <rPh sb="4" eb="6">
      <t>サギョウ</t>
    </rPh>
    <rPh sb="6" eb="8">
      <t>コウリツ</t>
    </rPh>
    <rPh sb="8" eb="11">
      <t>カシカ</t>
    </rPh>
    <phoneticPr fontId="5"/>
  </si>
  <si>
    <t xml:space="preserve"> ※ ファイルが重くなり実装中止</t>
    <rPh sb="8" eb="9">
      <t>オモ</t>
    </rPh>
    <rPh sb="12" eb="14">
      <t>ジッソウ</t>
    </rPh>
    <rPh sb="14" eb="16">
      <t>チュウシ</t>
    </rPh>
    <phoneticPr fontId="5"/>
  </si>
  <si>
    <t>▼残タスクは手動で翌月シートタスク管理表へ移動</t>
    <rPh sb="1" eb="2">
      <t>ザン</t>
    </rPh>
    <rPh sb="6" eb="8">
      <t>シュドウ</t>
    </rPh>
    <rPh sb="9" eb="11">
      <t>ヨクゲツ</t>
    </rPh>
    <rPh sb="17" eb="19">
      <t>カンリ</t>
    </rPh>
    <rPh sb="19" eb="20">
      <t>ヒョウ</t>
    </rPh>
    <rPh sb="21" eb="23">
      <t>イドウ</t>
    </rPh>
    <phoneticPr fontId="5"/>
  </si>
  <si>
    <t>タスク管理表</t>
    <rPh sb="3" eb="5">
      <t>カンリ</t>
    </rPh>
    <rPh sb="5" eb="6">
      <t>ヒョウ</t>
    </rPh>
    <phoneticPr fontId="5"/>
  </si>
  <si>
    <t>案件別作業時間・売上金額一覧表</t>
    <rPh sb="0" eb="2">
      <t>アンケン</t>
    </rPh>
    <rPh sb="2" eb="3">
      <t>ベツ</t>
    </rPh>
    <rPh sb="3" eb="7">
      <t>サギョウジカン</t>
    </rPh>
    <rPh sb="8" eb="12">
      <t>ウリアゲキンガク</t>
    </rPh>
    <rPh sb="12" eb="14">
      <t>イチラン</t>
    </rPh>
    <rPh sb="14" eb="15">
      <t>ヒョウ</t>
    </rPh>
    <phoneticPr fontId="5"/>
  </si>
  <si>
    <t>案件別業務メモ一覧　※リンクになってるよ ※各テキストに作成した各案件業務メモシートにハイパーリンクさせる</t>
    <rPh sb="0" eb="3">
      <t>アンケンベツ</t>
    </rPh>
    <rPh sb="3" eb="5">
      <t>ギョウム</t>
    </rPh>
    <rPh sb="7" eb="9">
      <t>イチラン</t>
    </rPh>
    <rPh sb="22" eb="23">
      <t>カク</t>
    </rPh>
    <rPh sb="28" eb="30">
      <t>サクセイ</t>
    </rPh>
    <rPh sb="32" eb="33">
      <t>カク</t>
    </rPh>
    <rPh sb="33" eb="35">
      <t>アンケン</t>
    </rPh>
    <rPh sb="35" eb="37">
      <t>ギョウム</t>
    </rPh>
    <phoneticPr fontId="5"/>
  </si>
  <si>
    <t>業務メモ_全体</t>
    <rPh sb="5" eb="7">
      <t>ゼンタイ</t>
    </rPh>
    <phoneticPr fontId="5"/>
  </si>
  <si>
    <t xml:space="preserve"> ※ 新規シート名は売上工数管理シートのC列の通りにする</t>
    <rPh sb="3" eb="5">
      <t>シンキ</t>
    </rPh>
    <rPh sb="8" eb="9">
      <t>メイ</t>
    </rPh>
    <rPh sb="10" eb="12">
      <t>ウリアゲ</t>
    </rPh>
    <rPh sb="12" eb="14">
      <t>コウスウ</t>
    </rPh>
    <rPh sb="14" eb="16">
      <t>カンリ</t>
    </rPh>
    <rPh sb="21" eb="22">
      <t>レツ</t>
    </rPh>
    <rPh sb="23" eb="24">
      <t>トオ</t>
    </rPh>
    <phoneticPr fontId="5"/>
  </si>
  <si>
    <t>▼個人年間平均時給換算（単価限定計算）</t>
    <rPh sb="1" eb="3">
      <t>コジン</t>
    </rPh>
    <rPh sb="3" eb="5">
      <t>ネンカン</t>
    </rPh>
    <rPh sb="5" eb="7">
      <t>ヘイキン</t>
    </rPh>
    <rPh sb="7" eb="11">
      <t>ジキュウカンサン</t>
    </rPh>
    <rPh sb="12" eb="16">
      <t>タンカゲンテイ</t>
    </rPh>
    <rPh sb="16" eb="18">
      <t>ケイサン</t>
    </rPh>
    <phoneticPr fontId="5"/>
  </si>
  <si>
    <t>東京と比較→</t>
    <rPh sb="0" eb="2">
      <t>トウキョウ</t>
    </rPh>
    <rPh sb="3" eb="5">
      <t>ヒカク</t>
    </rPh>
    <phoneticPr fontId="5"/>
  </si>
  <si>
    <t xml:space="preserve"> ▶ 業務メモ・チェックリスト</t>
    <rPh sb="3" eb="5">
      <t>ギョウム</t>
    </rPh>
    <phoneticPr fontId="5"/>
  </si>
  <si>
    <t xml:space="preserve"> ▶ 基本データ（コピペ用シート）</t>
    <rPh sb="3" eb="5">
      <t>キホン</t>
    </rPh>
    <rPh sb="12" eb="13">
      <t>ヨウ</t>
    </rPh>
    <phoneticPr fontId="5"/>
  </si>
  <si>
    <t>今月シート名</t>
    <rPh sb="0" eb="2">
      <t>コンゲツ</t>
    </rPh>
    <rPh sb="5" eb="6">
      <t>メイ</t>
    </rPh>
    <phoneticPr fontId="5"/>
  </si>
  <si>
    <t>▼目標時給との差額</t>
    <rPh sb="1" eb="3">
      <t>モクヒョウ</t>
    </rPh>
    <rPh sb="3" eb="5">
      <t>ジキュウ</t>
    </rPh>
    <rPh sb="7" eb="9">
      <t>サガク</t>
    </rPh>
    <phoneticPr fontId="5"/>
  </si>
  <si>
    <t>▼東京最低賃金</t>
    <rPh sb="1" eb="7">
      <t>トウキョウサイテイチンギン</t>
    </rPh>
    <phoneticPr fontId="5"/>
  </si>
  <si>
    <t>▼ No手動入力</t>
    <rPh sb="4" eb="8">
      <t>シュドウニュウリョク</t>
    </rPh>
    <phoneticPr fontId="5"/>
  </si>
  <si>
    <t>月別タスク残量</t>
    <rPh sb="0" eb="2">
      <t>ツキベツ</t>
    </rPh>
    <rPh sb="5" eb="7">
      <t>ザンリョウ</t>
    </rPh>
    <phoneticPr fontId="5"/>
  </si>
  <si>
    <t>今月シート名→</t>
    <rPh sb="0" eb="2">
      <t>コンゲツ</t>
    </rPh>
    <rPh sb="5" eb="6">
      <t>メイ</t>
    </rPh>
    <phoneticPr fontId="5"/>
  </si>
  <si>
    <t>▼※完了をフィルター外さない</t>
    <rPh sb="2" eb="4">
      <t>カンリョウ</t>
    </rPh>
    <rPh sb="10" eb="11">
      <t>ハズ</t>
    </rPh>
    <phoneticPr fontId="5"/>
  </si>
  <si>
    <t xml:space="preserve">  ignorance and confidence.</t>
    <phoneticPr fontId="5"/>
  </si>
  <si>
    <t>今年度合計</t>
    <rPh sb="0" eb="5">
      <t>コンネンドゴウケイ</t>
    </rPh>
    <phoneticPr fontId="5"/>
  </si>
  <si>
    <t>※現在使用していないが使用時の為に残しておいて</t>
    <rPh sb="1" eb="3">
      <t>ゲンザイ</t>
    </rPh>
    <rPh sb="3" eb="5">
      <t>シヨウ</t>
    </rPh>
    <rPh sb="11" eb="14">
      <t>シヨウジ</t>
    </rPh>
    <rPh sb="15" eb="16">
      <t>タメ</t>
    </rPh>
    <rPh sb="17" eb="18">
      <t>ノコ</t>
    </rPh>
    <phoneticPr fontId="5"/>
  </si>
  <si>
    <t>月別・年度別の単価変動や時給計算、目標金額管理、勤怠管理、案件別工数管理、残タスク管理、扶養内月額管理、年金額管理、気圧と天候との体調管理の為にお使いください。</t>
    <rPh sb="0" eb="2">
      <t>ツキベツ</t>
    </rPh>
    <rPh sb="3" eb="6">
      <t>ネンドベツ</t>
    </rPh>
    <rPh sb="7" eb="9">
      <t>タンカ</t>
    </rPh>
    <rPh sb="9" eb="11">
      <t>ヘンドウ</t>
    </rPh>
    <rPh sb="12" eb="16">
      <t>ジキュウケイサン</t>
    </rPh>
    <rPh sb="17" eb="21">
      <t>モクヒョウキンガク</t>
    </rPh>
    <rPh sb="21" eb="23">
      <t>カンリ</t>
    </rPh>
    <rPh sb="24" eb="28">
      <t>キンタイカンリ</t>
    </rPh>
    <rPh sb="29" eb="32">
      <t>アンケンベツ</t>
    </rPh>
    <rPh sb="32" eb="36">
      <t>コウスウカンリ</t>
    </rPh>
    <rPh sb="37" eb="38">
      <t>ザン</t>
    </rPh>
    <rPh sb="41" eb="43">
      <t>カンリ</t>
    </rPh>
    <rPh sb="44" eb="47">
      <t>フヨウナイ</t>
    </rPh>
    <rPh sb="47" eb="49">
      <t>ゲツガク</t>
    </rPh>
    <rPh sb="49" eb="51">
      <t>カンリ</t>
    </rPh>
    <rPh sb="52" eb="54">
      <t>ネンキン</t>
    </rPh>
    <rPh sb="54" eb="55">
      <t>ガク</t>
    </rPh>
    <rPh sb="55" eb="57">
      <t>カンリ</t>
    </rPh>
    <rPh sb="58" eb="60">
      <t>キアツ</t>
    </rPh>
    <rPh sb="61" eb="63">
      <t>テンコウ</t>
    </rPh>
    <rPh sb="65" eb="67">
      <t>タイチョウ</t>
    </rPh>
    <rPh sb="67" eb="69">
      <t>カンリ</t>
    </rPh>
    <rPh sb="70" eb="71">
      <t>タメ</t>
    </rPh>
    <rPh sb="73" eb="74">
      <t>ツカ</t>
    </rPh>
    <phoneticPr fontId="5"/>
  </si>
  <si>
    <t>▶ダッシュボード</t>
    <phoneticPr fontId="5"/>
  </si>
  <si>
    <t xml:space="preserve"> </t>
    <phoneticPr fontId="5"/>
  </si>
  <si>
    <t xml:space="preserve"> To succeed in life, you need two things;</t>
    <phoneticPr fontId="5"/>
  </si>
  <si>
    <t>このダッシュボードがメイン画面になります。</t>
    <rPh sb="13" eb="15">
      <t>ガメン</t>
    </rPh>
    <phoneticPr fontId="5"/>
  </si>
  <si>
    <t>ハイパーリンクからお飛びください。</t>
    <rPh sb="10" eb="11">
      <t>ト</t>
    </rPh>
    <phoneticPr fontId="5"/>
  </si>
  <si>
    <t>請求書欄には過去五カ月分の給料額が自動で記載されます。</t>
    <rPh sb="0" eb="3">
      <t>セイキュウショ</t>
    </rPh>
    <rPh sb="3" eb="4">
      <t>ラン</t>
    </rPh>
    <rPh sb="6" eb="8">
      <t>カコ</t>
    </rPh>
    <rPh sb="8" eb="9">
      <t>ゴ</t>
    </rPh>
    <rPh sb="10" eb="11">
      <t>ゲツ</t>
    </rPh>
    <rPh sb="11" eb="12">
      <t>ブン</t>
    </rPh>
    <rPh sb="13" eb="15">
      <t>キュウリョウ</t>
    </rPh>
    <rPh sb="15" eb="16">
      <t>ガク</t>
    </rPh>
    <rPh sb="17" eb="19">
      <t>ジドウ</t>
    </rPh>
    <rPh sb="20" eb="22">
      <t>キサイ</t>
    </rPh>
    <phoneticPr fontId="5"/>
  </si>
  <si>
    <t>案件サマリーには年度合計の案件別収入額を表示されるようにしています。</t>
    <rPh sb="0" eb="2">
      <t>アンケン</t>
    </rPh>
    <rPh sb="8" eb="12">
      <t>ネンドゴウケイ</t>
    </rPh>
    <rPh sb="13" eb="16">
      <t>アンケンベツ</t>
    </rPh>
    <rPh sb="16" eb="19">
      <t>シュウニュウガク</t>
    </rPh>
    <rPh sb="20" eb="22">
      <t>ヒョウジ</t>
    </rPh>
    <phoneticPr fontId="5"/>
  </si>
  <si>
    <t>体調×作業効率可視化グラフは容量オーバーの為割愛しておりますが、可視化したい方は下記のように表で表示作成いただけます。</t>
    <rPh sb="14" eb="16">
      <t>ヨウリョウ</t>
    </rPh>
    <rPh sb="21" eb="22">
      <t>タメ</t>
    </rPh>
    <rPh sb="22" eb="24">
      <t>カツアイ</t>
    </rPh>
    <rPh sb="32" eb="35">
      <t>カシカ</t>
    </rPh>
    <rPh sb="38" eb="39">
      <t>カタ</t>
    </rPh>
    <rPh sb="40" eb="42">
      <t>カキ</t>
    </rPh>
    <rPh sb="46" eb="47">
      <t>ヒョウ</t>
    </rPh>
    <rPh sb="48" eb="50">
      <t>ヒョウジ</t>
    </rPh>
    <rPh sb="50" eb="52">
      <t>サクセイ</t>
    </rPh>
    <phoneticPr fontId="5"/>
  </si>
  <si>
    <t>折れ線グラフ：日付を横軸、作業時間＆体調を縦軸（2軸グラフ）</t>
    <phoneticPr fontId="5"/>
  </si>
  <si>
    <t>散布図：横軸=体調点、縦軸=作業時間 → トレンドライン追加</t>
    <phoneticPr fontId="5"/>
  </si>
  <si>
    <t>ダッシュボード下の「一カ月体調分析」データを下記の通り参照し表にします。</t>
    <rPh sb="7" eb="8">
      <t>シタ</t>
    </rPh>
    <rPh sb="22" eb="24">
      <t>カキ</t>
    </rPh>
    <rPh sb="25" eb="26">
      <t>トオ</t>
    </rPh>
    <rPh sb="27" eb="29">
      <t>サンショウ</t>
    </rPh>
    <rPh sb="30" eb="31">
      <t>ヒョウ</t>
    </rPh>
    <phoneticPr fontId="5"/>
  </si>
  <si>
    <t>ダッシュボード左列のリンク集には、現在このエクセルファイル内の各シートへのハイパーリンク、仮リンクが設定されています。</t>
    <rPh sb="7" eb="9">
      <t>ヒダリレツ</t>
    </rPh>
    <rPh sb="13" eb="14">
      <t>シュウ</t>
    </rPh>
    <rPh sb="17" eb="19">
      <t>ゲンザイ</t>
    </rPh>
    <rPh sb="29" eb="30">
      <t>ナイ</t>
    </rPh>
    <rPh sb="31" eb="32">
      <t>カク</t>
    </rPh>
    <rPh sb="45" eb="46">
      <t>カリ</t>
    </rPh>
    <rPh sb="50" eb="52">
      <t>セッテイ</t>
    </rPh>
    <phoneticPr fontId="5"/>
  </si>
  <si>
    <t>ご自由にリンク内容を調整してお使いください。</t>
    <rPh sb="1" eb="3">
      <t>ジユウ</t>
    </rPh>
    <rPh sb="7" eb="9">
      <t>ナイヨウ</t>
    </rPh>
    <rPh sb="10" eb="12">
      <t>チョウセイ</t>
    </rPh>
    <rPh sb="15" eb="16">
      <t>ツカ</t>
    </rPh>
    <phoneticPr fontId="5"/>
  </si>
  <si>
    <t>「一カ月体調分析」は、日付と作業時間が自動で記載されます。</t>
    <rPh sb="11" eb="13">
      <t>ヒヅケ</t>
    </rPh>
    <rPh sb="14" eb="18">
      <t>サギョウジカン</t>
    </rPh>
    <rPh sb="19" eb="21">
      <t>ジドウ</t>
    </rPh>
    <rPh sb="22" eb="24">
      <t>キサイ</t>
    </rPh>
    <phoneticPr fontId="5"/>
  </si>
  <si>
    <t>※ 入力番号</t>
    <rPh sb="2" eb="6">
      <t>ニュウリョクバンゴウ</t>
    </rPh>
    <phoneticPr fontId="5"/>
  </si>
  <si>
    <t>下記の入力番号を参考に天候ナンバー、気圧ナンバー、体調ナンバーを入力し、任意で思い当たる理由を手動入力し、自己管理にお使いください。</t>
    <rPh sb="0" eb="2">
      <t>カキ</t>
    </rPh>
    <rPh sb="3" eb="5">
      <t>ニュウリョク</t>
    </rPh>
    <rPh sb="5" eb="7">
      <t>バンゴウ</t>
    </rPh>
    <rPh sb="8" eb="10">
      <t>サンコウ</t>
    </rPh>
    <rPh sb="11" eb="13">
      <t>テンコウ</t>
    </rPh>
    <rPh sb="18" eb="20">
      <t>キアツ</t>
    </rPh>
    <rPh sb="25" eb="27">
      <t>タイチョウ</t>
    </rPh>
    <rPh sb="32" eb="34">
      <t>ニュウリョク</t>
    </rPh>
    <rPh sb="36" eb="38">
      <t>ニンイ</t>
    </rPh>
    <rPh sb="39" eb="40">
      <t>オモ</t>
    </rPh>
    <rPh sb="41" eb="42">
      <t>ア</t>
    </rPh>
    <rPh sb="44" eb="46">
      <t>リユウ</t>
    </rPh>
    <rPh sb="47" eb="49">
      <t>シュドウ</t>
    </rPh>
    <rPh sb="49" eb="51">
      <t>ニュウリョク</t>
    </rPh>
    <rPh sb="53" eb="57">
      <t>ジコカンリ</t>
    </rPh>
    <rPh sb="59" eb="60">
      <t>ツカ</t>
    </rPh>
    <phoneticPr fontId="5"/>
  </si>
  <si>
    <t>天候、気圧、体調を数値管理することにより、表にする際にご活用いただけます。</t>
    <rPh sb="0" eb="2">
      <t>テンコウ</t>
    </rPh>
    <rPh sb="3" eb="5">
      <t>キアツ</t>
    </rPh>
    <rPh sb="6" eb="8">
      <t>タイチョウ</t>
    </rPh>
    <rPh sb="9" eb="11">
      <t>スウチ</t>
    </rPh>
    <rPh sb="11" eb="13">
      <t>カンリ</t>
    </rPh>
    <rPh sb="21" eb="22">
      <t>ヒョウ</t>
    </rPh>
    <rPh sb="25" eb="26">
      <t>サイ</t>
    </rPh>
    <rPh sb="28" eb="30">
      <t>カツヨウ</t>
    </rPh>
    <phoneticPr fontId="5"/>
  </si>
  <si>
    <t>※このエクセルファイルは年度ごとにコピーペーストをして過去ログを保管し、年度ごとに新しいエクセルファイルをご活用ください。</t>
    <rPh sb="12" eb="14">
      <t>ネンド</t>
    </rPh>
    <rPh sb="27" eb="29">
      <t>カコ</t>
    </rPh>
    <rPh sb="32" eb="34">
      <t>ホカン</t>
    </rPh>
    <rPh sb="36" eb="38">
      <t>ネンド</t>
    </rPh>
    <rPh sb="41" eb="42">
      <t>アタラ</t>
    </rPh>
    <rPh sb="54" eb="56">
      <t>カツヨウ</t>
    </rPh>
    <phoneticPr fontId="5"/>
  </si>
  <si>
    <t>※データが重くなりますので、年度ごとに過去の「yyyy_mm」形式名称のシートは削除し、1月から12月までの新規ファイル作成をおすすめします。</t>
    <rPh sb="5" eb="6">
      <t>オモ</t>
    </rPh>
    <rPh sb="14" eb="16">
      <t>ネンド</t>
    </rPh>
    <rPh sb="19" eb="21">
      <t>カコ</t>
    </rPh>
    <rPh sb="31" eb="33">
      <t>ケイシキ</t>
    </rPh>
    <rPh sb="33" eb="35">
      <t>メイショウ</t>
    </rPh>
    <rPh sb="40" eb="42">
      <t>サクジョ</t>
    </rPh>
    <rPh sb="45" eb="46">
      <t>ガツ</t>
    </rPh>
    <rPh sb="50" eb="51">
      <t>ガツ</t>
    </rPh>
    <rPh sb="54" eb="56">
      <t>シンキ</t>
    </rPh>
    <rPh sb="60" eb="62">
      <t>サクセイ</t>
    </rPh>
    <phoneticPr fontId="5"/>
  </si>
  <si>
    <t>「一カ月体調分析」は、「手動入力内容クリア」ボタンを押下することにより先月データがリセットされます。</t>
    <rPh sb="12" eb="16">
      <t>シュドウニュウリョク</t>
    </rPh>
    <rPh sb="16" eb="18">
      <t>ナイヨウ</t>
    </rPh>
    <rPh sb="26" eb="28">
      <t>オウカ</t>
    </rPh>
    <rPh sb="35" eb="37">
      <t>センゲツ</t>
    </rPh>
    <phoneticPr fontId="5"/>
  </si>
  <si>
    <t>一カ月ごとにデータを保管したい方は、個別に別途ログをお取りください。</t>
    <rPh sb="0" eb="1">
      <t>イッ</t>
    </rPh>
    <rPh sb="2" eb="3">
      <t>ゲツ</t>
    </rPh>
    <rPh sb="10" eb="12">
      <t>ホカン</t>
    </rPh>
    <rPh sb="15" eb="16">
      <t>カタ</t>
    </rPh>
    <rPh sb="18" eb="20">
      <t>コベツ</t>
    </rPh>
    <rPh sb="21" eb="23">
      <t>ベット</t>
    </rPh>
    <rPh sb="27" eb="28">
      <t>ト</t>
    </rPh>
    <phoneticPr fontId="5"/>
  </si>
  <si>
    <t>▶売上工数管理シート</t>
    <rPh sb="1" eb="3">
      <t>ウリアゲ</t>
    </rPh>
    <rPh sb="3" eb="7">
      <t>コウスウカンリ</t>
    </rPh>
    <phoneticPr fontId="5"/>
  </si>
  <si>
    <t>一カ月体調分析・入力番号</t>
    <rPh sb="8" eb="12">
      <t>ニュウリョクバンゴウ</t>
    </rPh>
    <phoneticPr fontId="5"/>
  </si>
  <si>
    <t>売上工数管理シートでは、月別と年度合計の稼いだ額などが自動集計され表示されます。</t>
    <rPh sb="0" eb="2">
      <t>ウリアゲ</t>
    </rPh>
    <rPh sb="2" eb="6">
      <t>コウスウカンリ</t>
    </rPh>
    <rPh sb="12" eb="14">
      <t>ゲツベツ</t>
    </rPh>
    <rPh sb="15" eb="19">
      <t>ネンドゴウケイ</t>
    </rPh>
    <rPh sb="20" eb="21">
      <t>カセ</t>
    </rPh>
    <rPh sb="23" eb="24">
      <t>ガク</t>
    </rPh>
    <rPh sb="27" eb="31">
      <t>ジドウシュウケイ</t>
    </rPh>
    <rPh sb="33" eb="35">
      <t>ヒョウジ</t>
    </rPh>
    <phoneticPr fontId="5"/>
  </si>
  <si>
    <t>▶業務メモシート</t>
    <rPh sb="1" eb="3">
      <t>ギョウム</t>
    </rPh>
    <phoneticPr fontId="5"/>
  </si>
  <si>
    <t>業務メモシートは業務全体のマニュアルを任意でご記入いただけます。</t>
    <rPh sb="0" eb="2">
      <t>ギョウム</t>
    </rPh>
    <rPh sb="8" eb="10">
      <t>ギョウム</t>
    </rPh>
    <rPh sb="10" eb="12">
      <t>ゼンタイ</t>
    </rPh>
    <rPh sb="19" eb="21">
      <t>ニンイ</t>
    </rPh>
    <rPh sb="23" eb="25">
      <t>キニュウ</t>
    </rPh>
    <phoneticPr fontId="5"/>
  </si>
  <si>
    <t>下にハイパーリンク設定欄があるので、新規シートから案件別マニュアルシートを作成し、そこに各リンクを飛ばしてお使いいただけます。</t>
    <rPh sb="0" eb="1">
      <t>シタ</t>
    </rPh>
    <rPh sb="9" eb="11">
      <t>セッテイ</t>
    </rPh>
    <rPh sb="11" eb="12">
      <t>ラン</t>
    </rPh>
    <rPh sb="18" eb="20">
      <t>シンキ</t>
    </rPh>
    <rPh sb="25" eb="28">
      <t>アンケンベツ</t>
    </rPh>
    <rPh sb="37" eb="39">
      <t>サクセイ</t>
    </rPh>
    <rPh sb="44" eb="45">
      <t>カク</t>
    </rPh>
    <rPh sb="49" eb="50">
      <t>ト</t>
    </rPh>
    <rPh sb="54" eb="55">
      <t>ツカ</t>
    </rPh>
    <phoneticPr fontId="5"/>
  </si>
  <si>
    <t>▶案件コードシート</t>
    <rPh sb="1" eb="3">
      <t>アンケン</t>
    </rPh>
    <phoneticPr fontId="5"/>
  </si>
  <si>
    <t>B列に案件名を一つずつ入力してください。他のシートで参照し使います。</t>
    <rPh sb="1" eb="2">
      <t>レツ</t>
    </rPh>
    <rPh sb="3" eb="6">
      <t>アンケンメイ</t>
    </rPh>
    <rPh sb="7" eb="8">
      <t>ヒト</t>
    </rPh>
    <rPh sb="11" eb="13">
      <t>ニュウリョク</t>
    </rPh>
    <rPh sb="20" eb="21">
      <t>ホカ</t>
    </rPh>
    <rPh sb="26" eb="28">
      <t>サンショウ</t>
    </rPh>
    <rPh sb="29" eb="30">
      <t>ツカ</t>
    </rPh>
    <phoneticPr fontId="5"/>
  </si>
  <si>
    <t>▶基本データシート</t>
    <rPh sb="1" eb="3">
      <t>キホン</t>
    </rPh>
    <phoneticPr fontId="5"/>
  </si>
  <si>
    <t>※毎月このシートをコピーペーストしてファイルの末尾に追加、シート名を「yyyy_mm」形式へ変更して使ってください。このファイルが集計元となります。</t>
    <rPh sb="1" eb="3">
      <t>マイツキ</t>
    </rPh>
    <rPh sb="23" eb="25">
      <t>マツビ</t>
    </rPh>
    <rPh sb="26" eb="28">
      <t>ツイカ</t>
    </rPh>
    <rPh sb="32" eb="33">
      <t>メイ</t>
    </rPh>
    <rPh sb="43" eb="45">
      <t>ケイシキ</t>
    </rPh>
    <rPh sb="46" eb="48">
      <t>ヘンコウ</t>
    </rPh>
    <rPh sb="50" eb="51">
      <t>ツカ</t>
    </rPh>
    <rPh sb="65" eb="67">
      <t>シュウケイ</t>
    </rPh>
    <rPh sb="67" eb="68">
      <t>モト</t>
    </rPh>
    <phoneticPr fontId="5"/>
  </si>
  <si>
    <t>※2025年8月なら「2025_08」というファイル名でお使いください。</t>
    <rPh sb="5" eb="6">
      <t>ネン</t>
    </rPh>
    <rPh sb="7" eb="8">
      <t>ガツ</t>
    </rPh>
    <rPh sb="26" eb="27">
      <t>メイ</t>
    </rPh>
    <rPh sb="29" eb="30">
      <t>ツカ</t>
    </rPh>
    <phoneticPr fontId="5"/>
  </si>
  <si>
    <t>※ファイル名は新規追加ファイル以外は名前を変えないでください。関数が機能しなくなります。</t>
    <rPh sb="5" eb="6">
      <t>メイ</t>
    </rPh>
    <rPh sb="7" eb="9">
      <t>シンキ</t>
    </rPh>
    <rPh sb="9" eb="11">
      <t>ツイカ</t>
    </rPh>
    <rPh sb="15" eb="17">
      <t>イガイ</t>
    </rPh>
    <rPh sb="18" eb="20">
      <t>ナマエ</t>
    </rPh>
    <rPh sb="21" eb="22">
      <t>カ</t>
    </rPh>
    <rPh sb="31" eb="33">
      <t>カンスウ</t>
    </rPh>
    <rPh sb="34" eb="36">
      <t>キノウ</t>
    </rPh>
    <phoneticPr fontId="5"/>
  </si>
  <si>
    <t>※各シートのセルの位置を変更したり、関数入力セル内を空欄にしないでください。集計が機能しなくなります。</t>
    <rPh sb="1" eb="2">
      <t>カク</t>
    </rPh>
    <rPh sb="9" eb="11">
      <t>イチ</t>
    </rPh>
    <rPh sb="12" eb="14">
      <t>ヘンコウ</t>
    </rPh>
    <rPh sb="18" eb="20">
      <t>カンスウ</t>
    </rPh>
    <rPh sb="20" eb="22">
      <t>ニュウリョク</t>
    </rPh>
    <rPh sb="24" eb="25">
      <t>ナイ</t>
    </rPh>
    <rPh sb="26" eb="28">
      <t>クウラン</t>
    </rPh>
    <rPh sb="38" eb="40">
      <t>シュウケイ</t>
    </rPh>
    <rPh sb="41" eb="43">
      <t>キノウ</t>
    </rPh>
    <phoneticPr fontId="5"/>
  </si>
  <si>
    <t>※同じシート名が2つ存在しないようにしてください。</t>
    <rPh sb="1" eb="2">
      <t>オナ</t>
    </rPh>
    <rPh sb="6" eb="7">
      <t>メイ</t>
    </rPh>
    <rPh sb="10" eb="12">
      <t>ソンザイ</t>
    </rPh>
    <phoneticPr fontId="5"/>
  </si>
  <si>
    <t>時給がある方はAO2に時給額を記入ください。</t>
    <rPh sb="0" eb="2">
      <t>ジキュウ</t>
    </rPh>
    <rPh sb="5" eb="6">
      <t>カタ</t>
    </rPh>
    <rPh sb="11" eb="13">
      <t>ジキュウ</t>
    </rPh>
    <rPh sb="13" eb="14">
      <t>ガク</t>
    </rPh>
    <rPh sb="15" eb="17">
      <t>キニュウ</t>
    </rPh>
    <phoneticPr fontId="5"/>
  </si>
  <si>
    <t>年金が出る方はBB2にその月に受け取った年金額を記入ください。</t>
    <rPh sb="0" eb="2">
      <t>ネンキン</t>
    </rPh>
    <rPh sb="3" eb="4">
      <t>デ</t>
    </rPh>
    <rPh sb="5" eb="6">
      <t>カタ</t>
    </rPh>
    <rPh sb="13" eb="14">
      <t>ツキ</t>
    </rPh>
    <rPh sb="15" eb="16">
      <t>ウ</t>
    </rPh>
    <rPh sb="17" eb="18">
      <t>ト</t>
    </rPh>
    <rPh sb="20" eb="23">
      <t>ネンキンガク</t>
    </rPh>
    <rPh sb="24" eb="26">
      <t>キニュウ</t>
    </rPh>
    <phoneticPr fontId="5"/>
  </si>
  <si>
    <t>扶養内勤務の方は、BE2に扶養月内限度額を記入ください。</t>
    <rPh sb="0" eb="3">
      <t>フヨウナイ</t>
    </rPh>
    <rPh sb="3" eb="5">
      <t>キンム</t>
    </rPh>
    <rPh sb="6" eb="7">
      <t>カタ</t>
    </rPh>
    <rPh sb="13" eb="15">
      <t>フヨウ</t>
    </rPh>
    <rPh sb="15" eb="16">
      <t>ツキ</t>
    </rPh>
    <rPh sb="16" eb="17">
      <t>ナイ</t>
    </rPh>
    <rPh sb="17" eb="20">
      <t>ゲンドガク</t>
    </rPh>
    <rPh sb="21" eb="23">
      <t>キニュウ</t>
    </rPh>
    <phoneticPr fontId="5"/>
  </si>
  <si>
    <t>下記は記入例です。</t>
    <rPh sb="0" eb="2">
      <t>カキ</t>
    </rPh>
    <rPh sb="3" eb="6">
      <t>キニュウレイ</t>
    </rPh>
    <phoneticPr fontId="5"/>
  </si>
  <si>
    <t>1日の勤務開始時間をC6に、「8:00」の形式で入力ください。</t>
    <rPh sb="1" eb="2">
      <t>ニチ</t>
    </rPh>
    <rPh sb="3" eb="9">
      <t>キンムカイシジカン</t>
    </rPh>
    <rPh sb="21" eb="23">
      <t>ケイシキ</t>
    </rPh>
    <rPh sb="24" eb="26">
      <t>ニュウリョク</t>
    </rPh>
    <phoneticPr fontId="5"/>
  </si>
  <si>
    <t>同じくD6に、勤務終了時刻を「18:00」の形式で入力ください。</t>
    <rPh sb="0" eb="1">
      <t>オナ</t>
    </rPh>
    <rPh sb="7" eb="13">
      <t>キンムシュウリョウジコク</t>
    </rPh>
    <rPh sb="22" eb="24">
      <t>ケイシキ</t>
    </rPh>
    <rPh sb="25" eb="27">
      <t>ニュウリョク</t>
    </rPh>
    <phoneticPr fontId="5"/>
  </si>
  <si>
    <t>A9～A23に、これから対応する案件を、案件コードシートに記載された案件名対応のコード番号を入力ください。「3」など。B9～B23に自動で案件名が入ります。</t>
    <rPh sb="12" eb="14">
      <t>タイオウ</t>
    </rPh>
    <rPh sb="16" eb="18">
      <t>アンケン</t>
    </rPh>
    <rPh sb="20" eb="22">
      <t>アンケン</t>
    </rPh>
    <rPh sb="29" eb="31">
      <t>キサイ</t>
    </rPh>
    <rPh sb="34" eb="36">
      <t>アンケン</t>
    </rPh>
    <rPh sb="36" eb="37">
      <t>メイ</t>
    </rPh>
    <rPh sb="37" eb="39">
      <t>タイオウ</t>
    </rPh>
    <rPh sb="43" eb="45">
      <t>バンゴウ</t>
    </rPh>
    <rPh sb="46" eb="48">
      <t>ニュウリョク</t>
    </rPh>
    <rPh sb="66" eb="68">
      <t>ジドウ</t>
    </rPh>
    <rPh sb="69" eb="72">
      <t>アンケンメイ</t>
    </rPh>
    <rPh sb="73" eb="74">
      <t>ハイ</t>
    </rPh>
    <phoneticPr fontId="5"/>
  </si>
  <si>
    <t>B1に毎月月を記入ください。「8月」なら「8」と半角数値で記入。自動で日付が更新されます。</t>
    <rPh sb="3" eb="5">
      <t>マイツキ</t>
    </rPh>
    <rPh sb="5" eb="6">
      <t>ツキ</t>
    </rPh>
    <rPh sb="7" eb="9">
      <t>キニュウ</t>
    </rPh>
    <rPh sb="16" eb="17">
      <t>ガツ</t>
    </rPh>
    <rPh sb="24" eb="26">
      <t>ハンカク</t>
    </rPh>
    <rPh sb="26" eb="28">
      <t>スウチ</t>
    </rPh>
    <rPh sb="29" eb="31">
      <t>キニュウ</t>
    </rPh>
    <rPh sb="32" eb="34">
      <t>ジドウ</t>
    </rPh>
    <rPh sb="35" eb="37">
      <t>ヒヅケ</t>
    </rPh>
    <rPh sb="38" eb="40">
      <t>コウシン</t>
    </rPh>
    <phoneticPr fontId="5"/>
  </si>
  <si>
    <t>↑※単価制の待ち時間に時給の発生しない方は、実務労働時間のみ記載してください。</t>
    <rPh sb="2" eb="4">
      <t>タンカ</t>
    </rPh>
    <rPh sb="4" eb="5">
      <t>セイ</t>
    </rPh>
    <rPh sb="6" eb="7">
      <t>マ</t>
    </rPh>
    <rPh sb="8" eb="10">
      <t>ジカン</t>
    </rPh>
    <rPh sb="11" eb="13">
      <t>ジキュウ</t>
    </rPh>
    <rPh sb="14" eb="16">
      <t>ハッセイ</t>
    </rPh>
    <rPh sb="19" eb="20">
      <t>カタ</t>
    </rPh>
    <rPh sb="22" eb="24">
      <t>ジツム</t>
    </rPh>
    <rPh sb="24" eb="26">
      <t>ロウドウ</t>
    </rPh>
    <rPh sb="26" eb="28">
      <t>ジカン</t>
    </rPh>
    <rPh sb="30" eb="32">
      <t>キサイ</t>
    </rPh>
    <phoneticPr fontId="5"/>
  </si>
  <si>
    <t>G9～G23には、時給制の方は待ち時間などを15分単位で半角数値で入力ください。1時間なら「1」、30分なら「0.5」、15分なら「0.25」、5時間30分なら「5.5」と入力ください。</t>
    <rPh sb="9" eb="12">
      <t>ジキュウセイ</t>
    </rPh>
    <rPh sb="24" eb="25">
      <t>フン</t>
    </rPh>
    <rPh sb="25" eb="27">
      <t>タンイ</t>
    </rPh>
    <rPh sb="28" eb="32">
      <t>ハンカクスウチ</t>
    </rPh>
    <rPh sb="33" eb="35">
      <t>ニュウリョク</t>
    </rPh>
    <rPh sb="41" eb="43">
      <t>ジカン</t>
    </rPh>
    <rPh sb="51" eb="52">
      <t>フン</t>
    </rPh>
    <rPh sb="62" eb="63">
      <t>フン</t>
    </rPh>
    <rPh sb="73" eb="75">
      <t>ジカン</t>
    </rPh>
    <rPh sb="77" eb="78">
      <t>フン</t>
    </rPh>
    <rPh sb="86" eb="88">
      <t>ニュウリョク</t>
    </rPh>
    <phoneticPr fontId="5"/>
  </si>
  <si>
    <t>F9～F23には、実務労働の時間を15分単位で半角数値で入力ください。1時間なら「1」、30分なら「0.5」、15分なら「0.25」、5時間30分なら「5.5」と入力ください。</t>
    <rPh sb="9" eb="11">
      <t>ジツム</t>
    </rPh>
    <rPh sb="11" eb="13">
      <t>ロウドウ</t>
    </rPh>
    <rPh sb="14" eb="16">
      <t>ジカン</t>
    </rPh>
    <rPh sb="19" eb="20">
      <t>フン</t>
    </rPh>
    <rPh sb="20" eb="22">
      <t>タンイ</t>
    </rPh>
    <rPh sb="23" eb="27">
      <t>ハンカクスウチ</t>
    </rPh>
    <rPh sb="28" eb="30">
      <t>ニュウリョク</t>
    </rPh>
    <rPh sb="36" eb="38">
      <t>ジカン</t>
    </rPh>
    <rPh sb="46" eb="47">
      <t>フン</t>
    </rPh>
    <rPh sb="57" eb="58">
      <t>フン</t>
    </rPh>
    <rPh sb="68" eb="70">
      <t>ジカン</t>
    </rPh>
    <rPh sb="72" eb="73">
      <t>フン</t>
    </rPh>
    <rPh sb="81" eb="83">
      <t>ニュウリョク</t>
    </rPh>
    <phoneticPr fontId="5"/>
  </si>
  <si>
    <t>E9～E23、E6、F6に自動で合計作業時間が実務と待ち時間の合計で算出され、記載されます。</t>
    <rPh sb="13" eb="15">
      <t>ジドウ</t>
    </rPh>
    <rPh sb="16" eb="18">
      <t>ゴウケイ</t>
    </rPh>
    <rPh sb="18" eb="22">
      <t>サギョウジカン</t>
    </rPh>
    <rPh sb="23" eb="25">
      <t>ジツム</t>
    </rPh>
    <rPh sb="26" eb="27">
      <t>マ</t>
    </rPh>
    <rPh sb="28" eb="30">
      <t>ジカン</t>
    </rPh>
    <rPh sb="31" eb="33">
      <t>ゴウケイ</t>
    </rPh>
    <rPh sb="34" eb="36">
      <t>サンシュツ</t>
    </rPh>
    <rPh sb="39" eb="41">
      <t>キサイ</t>
    </rPh>
    <phoneticPr fontId="5"/>
  </si>
  <si>
    <t>H9～H23に、単価が発生した方は、案件が終わり納品が完了し入った際に単価額を記載ください。6000円なら「6000」と記載。1日の稼いだ単価合計がH24に自動で記載されます。</t>
    <rPh sb="8" eb="10">
      <t>タンカ</t>
    </rPh>
    <rPh sb="11" eb="13">
      <t>ハッセイ</t>
    </rPh>
    <rPh sb="15" eb="16">
      <t>カタ</t>
    </rPh>
    <rPh sb="18" eb="20">
      <t>アンケン</t>
    </rPh>
    <rPh sb="21" eb="22">
      <t>オ</t>
    </rPh>
    <rPh sb="24" eb="26">
      <t>ノウヒン</t>
    </rPh>
    <rPh sb="27" eb="29">
      <t>カンリョウ</t>
    </rPh>
    <rPh sb="30" eb="31">
      <t>ハイ</t>
    </rPh>
    <rPh sb="33" eb="34">
      <t>サイ</t>
    </rPh>
    <rPh sb="35" eb="37">
      <t>タンカ</t>
    </rPh>
    <rPh sb="37" eb="38">
      <t>ガク</t>
    </rPh>
    <rPh sb="39" eb="41">
      <t>キサイ</t>
    </rPh>
    <rPh sb="50" eb="51">
      <t>エン</t>
    </rPh>
    <rPh sb="60" eb="62">
      <t>キサイ</t>
    </rPh>
    <rPh sb="64" eb="65">
      <t>ニチ</t>
    </rPh>
    <rPh sb="66" eb="67">
      <t>カセ</t>
    </rPh>
    <rPh sb="69" eb="73">
      <t>タンカゴウケイ</t>
    </rPh>
    <rPh sb="78" eb="80">
      <t>ジドウ</t>
    </rPh>
    <rPh sb="81" eb="83">
      <t>キサイ</t>
    </rPh>
    <phoneticPr fontId="5"/>
  </si>
  <si>
    <t>H6には自動で1時間の休憩時間を入力してあります。休憩時間が異なる方は手動で変更してください。1日の稼いだ額に休憩時間が自動で減額されます。フリーランスで休憩時間がない方は「00:00」と記載ください。</t>
    <rPh sb="4" eb="6">
      <t>ジドウ</t>
    </rPh>
    <rPh sb="8" eb="10">
      <t>ジカン</t>
    </rPh>
    <rPh sb="11" eb="13">
      <t>キュウケイ</t>
    </rPh>
    <rPh sb="13" eb="15">
      <t>ジカン</t>
    </rPh>
    <rPh sb="16" eb="18">
      <t>ニュウリョク</t>
    </rPh>
    <rPh sb="25" eb="27">
      <t>キュウケイ</t>
    </rPh>
    <rPh sb="27" eb="29">
      <t>ジカン</t>
    </rPh>
    <rPh sb="30" eb="31">
      <t>コト</t>
    </rPh>
    <rPh sb="33" eb="34">
      <t>カタ</t>
    </rPh>
    <rPh sb="35" eb="37">
      <t>シュドウ</t>
    </rPh>
    <rPh sb="38" eb="40">
      <t>ヘンコウ</t>
    </rPh>
    <rPh sb="48" eb="49">
      <t>ニチ</t>
    </rPh>
    <rPh sb="50" eb="51">
      <t>カセ</t>
    </rPh>
    <rPh sb="53" eb="54">
      <t>ガク</t>
    </rPh>
    <rPh sb="55" eb="57">
      <t>キュウケイ</t>
    </rPh>
    <rPh sb="57" eb="59">
      <t>ジカン</t>
    </rPh>
    <rPh sb="60" eb="62">
      <t>ジドウ</t>
    </rPh>
    <rPh sb="63" eb="65">
      <t>ゲンガク</t>
    </rPh>
    <rPh sb="77" eb="81">
      <t>キュウケイジカン</t>
    </rPh>
    <rPh sb="84" eb="85">
      <t>カタ</t>
    </rPh>
    <rPh sb="94" eb="96">
      <t>キサイ</t>
    </rPh>
    <phoneticPr fontId="5"/>
  </si>
  <si>
    <t>I9～I23は備考欄としてお使いください。</t>
    <rPh sb="7" eb="10">
      <t>ビコウラン</t>
    </rPh>
    <rPh sb="14" eb="15">
      <t>ツカ</t>
    </rPh>
    <phoneticPr fontId="5"/>
  </si>
  <si>
    <t>他の日付も同じく入力していくことにより、シートトップに稼いだ額や作業時間が自動で入力されていきます。</t>
    <rPh sb="0" eb="1">
      <t>ホカ</t>
    </rPh>
    <rPh sb="2" eb="4">
      <t>ヒヅケ</t>
    </rPh>
    <rPh sb="5" eb="6">
      <t>オナ</t>
    </rPh>
    <rPh sb="8" eb="10">
      <t>ニュウリョク</t>
    </rPh>
    <rPh sb="27" eb="28">
      <t>カセ</t>
    </rPh>
    <rPh sb="30" eb="31">
      <t>ガク</t>
    </rPh>
    <rPh sb="32" eb="34">
      <t>サギョウ</t>
    </rPh>
    <rPh sb="34" eb="36">
      <t>ジカン</t>
    </rPh>
    <rPh sb="37" eb="39">
      <t>ジドウ</t>
    </rPh>
    <rPh sb="40" eb="42">
      <t>ニュウリョク</t>
    </rPh>
    <phoneticPr fontId="5"/>
  </si>
  <si>
    <t>F1に今月売上合計額が記載されます。利用料の発生する方は、利用料が引かれた額が記載されます。</t>
    <rPh sb="3" eb="5">
      <t>コンゲツ</t>
    </rPh>
    <rPh sb="5" eb="7">
      <t>ウリアゲ</t>
    </rPh>
    <rPh sb="7" eb="10">
      <t>ゴウケイガク</t>
    </rPh>
    <rPh sb="11" eb="13">
      <t>キサイ</t>
    </rPh>
    <rPh sb="18" eb="21">
      <t>リヨウリョウ</t>
    </rPh>
    <rPh sb="22" eb="24">
      <t>ハッセイ</t>
    </rPh>
    <rPh sb="26" eb="27">
      <t>カタ</t>
    </rPh>
    <rPh sb="29" eb="32">
      <t>リヨウリョウ</t>
    </rPh>
    <rPh sb="33" eb="34">
      <t>ヒ</t>
    </rPh>
    <rPh sb="37" eb="38">
      <t>ガク</t>
    </rPh>
    <rPh sb="39" eb="41">
      <t>キサイ</t>
    </rPh>
    <phoneticPr fontId="5"/>
  </si>
  <si>
    <t>B115～B164に現在抱えているタスクを記入ください。</t>
    <rPh sb="10" eb="12">
      <t>ゲンザイ</t>
    </rPh>
    <rPh sb="12" eb="13">
      <t>カカ</t>
    </rPh>
    <rPh sb="21" eb="23">
      <t>キニュウ</t>
    </rPh>
    <phoneticPr fontId="5"/>
  </si>
  <si>
    <t>▼記入例：8/9</t>
    <rPh sb="1" eb="3">
      <t>キニュウ</t>
    </rPh>
    <rPh sb="3" eb="4">
      <t>レイ</t>
    </rPh>
    <phoneticPr fontId="5"/>
  </si>
  <si>
    <t>▼記入例：8/12</t>
    <rPh sb="1" eb="3">
      <t>キニュウ</t>
    </rPh>
    <rPh sb="3" eb="4">
      <t>レイ</t>
    </rPh>
    <phoneticPr fontId="5"/>
  </si>
  <si>
    <t>開始日、終了日に「8/3」「8/12」のような形式で日付を記載ください。未定や納期なしの場合は日本語で記入ください。</t>
    <rPh sb="0" eb="3">
      <t>カイシビ</t>
    </rPh>
    <rPh sb="4" eb="7">
      <t>シュウリョウビ</t>
    </rPh>
    <rPh sb="23" eb="25">
      <t>ケイシキ</t>
    </rPh>
    <rPh sb="26" eb="28">
      <t>ヒヅケ</t>
    </rPh>
    <rPh sb="29" eb="31">
      <t>キサイ</t>
    </rPh>
    <rPh sb="36" eb="38">
      <t>ミテイ</t>
    </rPh>
    <rPh sb="39" eb="41">
      <t>ノウキ</t>
    </rPh>
    <rPh sb="44" eb="46">
      <t>バアイ</t>
    </rPh>
    <rPh sb="47" eb="50">
      <t>ニホンゴ</t>
    </rPh>
    <rPh sb="51" eb="53">
      <t>キニュウ</t>
    </rPh>
    <phoneticPr fontId="5"/>
  </si>
  <si>
    <t>現在の案件重要度、現在の案件ステータスをお選びください。</t>
    <rPh sb="0" eb="2">
      <t>ゲンザイ</t>
    </rPh>
    <rPh sb="3" eb="5">
      <t>アンケン</t>
    </rPh>
    <rPh sb="5" eb="8">
      <t>ジュウヨウド</t>
    </rPh>
    <rPh sb="9" eb="11">
      <t>ゲンザイ</t>
    </rPh>
    <rPh sb="12" eb="14">
      <t>アンケン</t>
    </rPh>
    <rPh sb="21" eb="22">
      <t>エラ</t>
    </rPh>
    <phoneticPr fontId="5"/>
  </si>
  <si>
    <t>重要度、ステータスは変更があった際に都度変更ください。色で識別自動調整され、ダッシュボードの残タスク一覧には、完了したステータス以外の案件名が表示されるようになります。</t>
    <rPh sb="0" eb="3">
      <t>ジュウヨウド</t>
    </rPh>
    <rPh sb="10" eb="12">
      <t>ヘンコウ</t>
    </rPh>
    <rPh sb="16" eb="17">
      <t>サイ</t>
    </rPh>
    <rPh sb="18" eb="20">
      <t>ツド</t>
    </rPh>
    <rPh sb="20" eb="22">
      <t>ヘンコウ</t>
    </rPh>
    <rPh sb="27" eb="28">
      <t>イロ</t>
    </rPh>
    <rPh sb="29" eb="31">
      <t>シキベツ</t>
    </rPh>
    <rPh sb="31" eb="33">
      <t>ジドウ</t>
    </rPh>
    <rPh sb="33" eb="35">
      <t>チョウセイ</t>
    </rPh>
    <rPh sb="46" eb="47">
      <t>ザン</t>
    </rPh>
    <rPh sb="50" eb="52">
      <t>イチラン</t>
    </rPh>
    <rPh sb="55" eb="57">
      <t>カンリョウ</t>
    </rPh>
    <rPh sb="64" eb="66">
      <t>イガイ</t>
    </rPh>
    <rPh sb="67" eb="70">
      <t>アンケンメイ</t>
    </rPh>
    <rPh sb="71" eb="73">
      <t>ヒョウジ</t>
    </rPh>
    <phoneticPr fontId="5"/>
  </si>
  <si>
    <t>月をまたいだ残タスクは、手動で翌月シートのタスク管理表に追加してください。ダッシュボードに反映されます。</t>
    <rPh sb="0" eb="1">
      <t>ツキ</t>
    </rPh>
    <rPh sb="6" eb="7">
      <t>ザン</t>
    </rPh>
    <rPh sb="12" eb="14">
      <t>シュドウ</t>
    </rPh>
    <rPh sb="15" eb="17">
      <t>ヨクゲツ</t>
    </rPh>
    <rPh sb="24" eb="27">
      <t>カンリヒョウ</t>
    </rPh>
    <rPh sb="28" eb="30">
      <t>ツイカ</t>
    </rPh>
    <rPh sb="45" eb="47">
      <t>ハンエイ</t>
    </rPh>
    <phoneticPr fontId="5"/>
  </si>
  <si>
    <t>マクロ機能</t>
    <rPh sb="3" eb="5">
      <t>キノウ</t>
    </rPh>
    <phoneticPr fontId="5"/>
  </si>
  <si>
    <t>下記のマクロを入れてあります。</t>
    <rPh sb="0" eb="2">
      <t>カキ</t>
    </rPh>
    <rPh sb="7" eb="8">
      <t>イ</t>
    </rPh>
    <phoneticPr fontId="5"/>
  </si>
  <si>
    <t>壊した方は再度登録しお使いください。</t>
    <rPh sb="0" eb="1">
      <t>コワ</t>
    </rPh>
    <rPh sb="3" eb="4">
      <t>カタ</t>
    </rPh>
    <rPh sb="5" eb="7">
      <t>サイド</t>
    </rPh>
    <rPh sb="7" eb="9">
      <t>トウロク</t>
    </rPh>
    <rPh sb="11" eb="12">
      <t>ツカ</t>
    </rPh>
    <phoneticPr fontId="5"/>
  </si>
  <si>
    <t xml:space="preserve">Option Explicit
Sub 手動入力内容クリア()
    Dim ws As Worksheet
    On Error GoTo ErrHandler
    Application.ScreenUpdating = False
    ' ダッシュボードシート名。必要なら変更してください。
    Set ws = ThisWorkbook.Worksheets("ダッシュボード")
    With ws
        ' C・E・G列は40～70行、I～L列は結合想定でまとめてクリア
        Union(.Range("C40:C70"), _
              .Range("E40:E70"), _
              .Range("G40:G70"), _
              .Range("I40:L70")).ClearContents
    End With
CleanExit:
    Application.ScreenUpdating = True
    Exit Sub
ErrHandler:
    Application.ScreenUpdating = True
    MsgBox "クリアに失敗しました。シート名・シート保護を確認してください。", vbExclamation
End Sub
Option Explicit
Sub 本日のセルへ移動()
    Dim wb As Workbook
    Dim wsDash As Worksheet
    Dim wsTarget As Worksheet
    Dim tgtName As String
    On Error GoTo ErrHandler
    Application.ScreenUpdating = False
    Set wb = ThisWorkbook
    Set wsDash = wb.Worksheets("ダッシュボード")  ' ←必要ならシート名調整
    tgtName = Trim$(CStr(wsDash.Range("B11").Value))
    If Len(tgtName) = 0 Then
        With wsDash.Range("D2")
            .Value = " ※ B11 に今月のシート名がありません。確認してください。"
            .Font.Color = vbRed
        End With
        GoTo CleanExit
    End If
    On Error Resume Next
    Set wsTarget = wb.Worksheets(tgtName)
    On Error GoTo ErrHandler
    If wsTarget Is Nothing Then
        With wsDash.Range("D2")
            .Value = " ※ '" &amp; tgtName &amp; "' シートが見つかりませんでした。シートを新規作成か、確認をしてください。"
            .Font.Color = vbRed
        End With
        GoTo CleanExit
    End If
    If wsTarget.Visible &lt;&gt; xlSheetVisible Then wsTarget.Visible = xlSheetVisible
    Application.Goto wsTarget.Range("A4"), True
    Exit Sub
CleanExit:
    Application.ScreenUpdating = True
    Exit Sub
ErrHandler:
    Application.ScreenUpdating = True
    MsgBox "移動に失敗しました。B11とシート名をご確認ください。", vbExclamation
End Sub
</t>
    <phoneticPr fontId="5"/>
  </si>
  <si>
    <t>※このエクセルファイルを共有する場合は、ファイル内に個人データや機密情報、ハイパーリンク先に個人情報、AI情報、マクロ内にIDやパスワードがない事をご確認の上、安全面に配慮し共有ください。</t>
    <rPh sb="12" eb="14">
      <t>キョウユウ</t>
    </rPh>
    <rPh sb="16" eb="18">
      <t>バアイ</t>
    </rPh>
    <rPh sb="24" eb="25">
      <t>ナイ</t>
    </rPh>
    <rPh sb="26" eb="28">
      <t>コジン</t>
    </rPh>
    <rPh sb="32" eb="36">
      <t>キミツジョウホウ</t>
    </rPh>
    <rPh sb="44" eb="45">
      <t>サキ</t>
    </rPh>
    <rPh sb="46" eb="50">
      <t>コジンジョウホウ</t>
    </rPh>
    <rPh sb="53" eb="55">
      <t>ジョウホウ</t>
    </rPh>
    <rPh sb="59" eb="60">
      <t>ナイ</t>
    </rPh>
    <rPh sb="72" eb="73">
      <t>コト</t>
    </rPh>
    <rPh sb="75" eb="77">
      <t>カクニン</t>
    </rPh>
    <rPh sb="78" eb="79">
      <t>ウエ</t>
    </rPh>
    <rPh sb="80" eb="83">
      <t>アンゼンメン</t>
    </rPh>
    <rPh sb="84" eb="86">
      <t>ハイリョ</t>
    </rPh>
    <rPh sb="87" eb="89">
      <t>キョウユウ</t>
    </rPh>
    <phoneticPr fontId="5"/>
  </si>
  <si>
    <t>※このエクセルファイル内には簡易なマクロが組み込まれております。ファイルを開いた際にご自身の責任で「コンテンツを有効化」にしてマクロ利用をしご活用ください。安全面には配慮しておりますが、何か起きた際の責任は取りません。</t>
    <rPh sb="11" eb="12">
      <t>ナイ</t>
    </rPh>
    <rPh sb="14" eb="16">
      <t>カンイ</t>
    </rPh>
    <rPh sb="21" eb="22">
      <t>ク</t>
    </rPh>
    <rPh sb="23" eb="24">
      <t>コ</t>
    </rPh>
    <rPh sb="43" eb="45">
      <t>ジシン</t>
    </rPh>
    <rPh sb="46" eb="48">
      <t>セキニン</t>
    </rPh>
    <rPh sb="56" eb="58">
      <t>ユウコウ</t>
    </rPh>
    <rPh sb="58" eb="59">
      <t>カ</t>
    </rPh>
    <rPh sb="66" eb="68">
      <t>リヨウ</t>
    </rPh>
    <rPh sb="71" eb="73">
      <t>カツヨウ</t>
    </rPh>
    <rPh sb="78" eb="81">
      <t>アンゼンメン</t>
    </rPh>
    <rPh sb="83" eb="85">
      <t>ハイリョ</t>
    </rPh>
    <rPh sb="93" eb="94">
      <t>ナニ</t>
    </rPh>
    <rPh sb="95" eb="96">
      <t>オ</t>
    </rPh>
    <rPh sb="98" eb="99">
      <t>サイ</t>
    </rPh>
    <rPh sb="100" eb="102">
      <t>セキニン</t>
    </rPh>
    <rPh sb="103" eb="104">
      <t>ト</t>
    </rPh>
    <phoneticPr fontId="5"/>
  </si>
  <si>
    <t>※基本的にこのエクセルファイル一つに対して「業務効率化システム_●●●（個人名など）_2025.xlsm」という名称をつけ別途保管し、一つのエクセルファイル内には既存のシートと「2025_01」～「2025_12」までのシートのみ存在する形でご使用お願いします。</t>
    <rPh sb="1" eb="4">
      <t>キホンテキ</t>
    </rPh>
    <rPh sb="15" eb="16">
      <t>ヒト</t>
    </rPh>
    <rPh sb="18" eb="19">
      <t>タイ</t>
    </rPh>
    <rPh sb="22" eb="26">
      <t>ギョウムコウリツ</t>
    </rPh>
    <rPh sb="26" eb="27">
      <t>カ</t>
    </rPh>
    <rPh sb="36" eb="39">
      <t>コジンメイ</t>
    </rPh>
    <rPh sb="56" eb="58">
      <t>メイショウ</t>
    </rPh>
    <rPh sb="61" eb="63">
      <t>ベット</t>
    </rPh>
    <rPh sb="63" eb="65">
      <t>ホカン</t>
    </rPh>
    <rPh sb="67" eb="68">
      <t>ヒト</t>
    </rPh>
    <rPh sb="78" eb="79">
      <t>ナイ</t>
    </rPh>
    <rPh sb="81" eb="83">
      <t>キゾン</t>
    </rPh>
    <rPh sb="115" eb="117">
      <t>ソンザイ</t>
    </rPh>
    <rPh sb="119" eb="120">
      <t>カタチ</t>
    </rPh>
    <rPh sb="122" eb="124">
      <t>シヨウ</t>
    </rPh>
    <rPh sb="125" eb="126">
      <t>ネガ</t>
    </rPh>
    <phoneticPr fontId="5"/>
  </si>
  <si>
    <t>お読みいただきありがとうございます。</t>
    <rPh sb="1" eb="2">
      <t>ヨ</t>
    </rPh>
    <phoneticPr fontId="5"/>
  </si>
  <si>
    <t>▲トップへ戻る</t>
    <rPh sb="5" eb="6">
      <t>モド</t>
    </rPh>
    <phoneticPr fontId="5"/>
  </si>
  <si>
    <t>　今月単価売上合計</t>
    <rPh sb="1" eb="3">
      <t>コンゲツ</t>
    </rPh>
    <rPh sb="3" eb="5">
      <t>タンカ</t>
    </rPh>
    <rPh sb="5" eb="7">
      <t>ウリアゲ</t>
    </rPh>
    <rPh sb="7" eb="9">
      <t>ゴウケイ</t>
    </rPh>
    <phoneticPr fontId="5"/>
  </si>
  <si>
    <t>　 ▶給料（工賃）＋単価＋年金年度額合計</t>
    <rPh sb="3" eb="5">
      <t>キュウリョウ</t>
    </rPh>
    <rPh sb="6" eb="8">
      <t>コウチン</t>
    </rPh>
    <rPh sb="10" eb="12">
      <t>タンカ</t>
    </rPh>
    <rPh sb="13" eb="15">
      <t>ネンキン</t>
    </rPh>
    <rPh sb="15" eb="17">
      <t>ネンド</t>
    </rPh>
    <rPh sb="17" eb="18">
      <t>ガク</t>
    </rPh>
    <rPh sb="18" eb="20">
      <t>ゴウケイ</t>
    </rPh>
    <phoneticPr fontId="5"/>
  </si>
  <si>
    <r>
      <t>※月額売上額年度合計と扶養内年額限度額を</t>
    </r>
    <r>
      <rPr>
        <b/>
        <u val="double"/>
        <sz val="11"/>
        <color rgb="FFFF0000"/>
        <rFont val="游ゴシック"/>
        <family val="3"/>
        <charset val="128"/>
        <scheme val="minor"/>
      </rPr>
      <t>比較</t>
    </r>
    <rPh sb="1" eb="3">
      <t>ゲツガク</t>
    </rPh>
    <rPh sb="3" eb="5">
      <t>ウリアゲ</t>
    </rPh>
    <rPh sb="5" eb="6">
      <t>ガク</t>
    </rPh>
    <rPh sb="6" eb="8">
      <t>ネンド</t>
    </rPh>
    <rPh sb="8" eb="10">
      <t>ゴウケイ</t>
    </rPh>
    <rPh sb="11" eb="14">
      <t>フヨウナイ</t>
    </rPh>
    <rPh sb="14" eb="16">
      <t>ネンガク</t>
    </rPh>
    <rPh sb="16" eb="19">
      <t>ゲンドガク</t>
    </rPh>
    <rPh sb="20" eb="22">
      <t>ヒカク</t>
    </rPh>
    <phoneticPr fontId="5"/>
  </si>
  <si>
    <t>※ ファイルが重くなり実装中止。あとから表追加可能</t>
    <rPh sb="20" eb="21">
      <t>ヒョウ</t>
    </rPh>
    <rPh sb="21" eb="23">
      <t>ツイカ</t>
    </rPh>
    <rPh sb="23" eb="25">
      <t>カノウ</t>
    </rPh>
    <phoneticPr fontId="5"/>
  </si>
  <si>
    <t xml:space="preserve"> ※ 後から表追加可能</t>
    <rPh sb="3" eb="4">
      <t>アト</t>
    </rPh>
    <rPh sb="6" eb="7">
      <t>ヒョウ</t>
    </rPh>
    <rPh sb="7" eb="9">
      <t>ツイカ</t>
    </rPh>
    <rPh sb="9" eb="11">
      <t>カノウ</t>
    </rPh>
    <phoneticPr fontId="5"/>
  </si>
  <si>
    <t>※タスク管理表内と黄色セル以外はいじらない。</t>
    <rPh sb="4" eb="6">
      <t>カンリ</t>
    </rPh>
    <rPh sb="6" eb="8">
      <t>ヒョウナイ</t>
    </rPh>
    <rPh sb="9" eb="11">
      <t>キイロ</t>
    </rPh>
    <rPh sb="13" eb="15">
      <t>イガイ</t>
    </rPh>
    <phoneticPr fontId="5"/>
  </si>
  <si>
    <t>▼日付または未定または納期なし</t>
    <rPh sb="1" eb="3">
      <t>ヒヅケ</t>
    </rPh>
    <rPh sb="6" eb="8">
      <t>ミテイ</t>
    </rPh>
    <rPh sb="11" eb="13">
      <t>ノウキ</t>
    </rPh>
    <phoneticPr fontId="5"/>
  </si>
  <si>
    <t>▼都度変更・完了フィルターオフにしても可</t>
    <rPh sb="1" eb="3">
      <t>ツド</t>
    </rPh>
    <rPh sb="3" eb="5">
      <t>ヘンコウ</t>
    </rPh>
    <rPh sb="6" eb="8">
      <t>カンリョウ</t>
    </rPh>
    <rPh sb="19" eb="20">
      <t>カ</t>
    </rPh>
    <phoneticPr fontId="5"/>
  </si>
  <si>
    <t>　※毎月このシートをコピーペーストしてファイルの末尾に追加、シート名を「yyyy_mm」形式へ変更。同じシート名を2つ作らないように。1ファイルにつき固定シートと「yyyy_mm」形式シートは1月～12月まで。年度ごとにファイル変えてください。</t>
    <rPh sb="2" eb="4">
      <t>マイツキ</t>
    </rPh>
    <rPh sb="24" eb="26">
      <t>マツビ</t>
    </rPh>
    <rPh sb="27" eb="29">
      <t>ツイカ</t>
    </rPh>
    <rPh sb="33" eb="34">
      <t>メイ</t>
    </rPh>
    <rPh sb="44" eb="46">
      <t>ケイシキ</t>
    </rPh>
    <rPh sb="47" eb="49">
      <t>ヘンコウ</t>
    </rPh>
    <rPh sb="50" eb="51">
      <t>オナ</t>
    </rPh>
    <rPh sb="55" eb="56">
      <t>メイ</t>
    </rPh>
    <rPh sb="59" eb="60">
      <t>ツク</t>
    </rPh>
    <rPh sb="75" eb="77">
      <t>コテイ</t>
    </rPh>
    <rPh sb="97" eb="98">
      <t>ガツ</t>
    </rPh>
    <rPh sb="101" eb="102">
      <t>ガツ</t>
    </rPh>
    <rPh sb="105" eb="107">
      <t>ネンド</t>
    </rPh>
    <rPh sb="114" eb="115">
      <t>カ</t>
    </rPh>
    <phoneticPr fontId="5"/>
  </si>
  <si>
    <t xml:space="preserve"> ※ 任意</t>
    <rPh sb="3" eb="5">
      <t>ニンイ</t>
    </rPh>
    <phoneticPr fontId="5"/>
  </si>
  <si>
    <t xml:space="preserve"> リンク集 --------------------</t>
    <rPh sb="4" eb="5">
      <t>シュウ</t>
    </rPh>
    <phoneticPr fontId="5"/>
  </si>
  <si>
    <t xml:space="preserve"> 知識ベース </t>
    <rPh sb="1" eb="3">
      <t>チシキ</t>
    </rPh>
    <phoneticPr fontId="5"/>
  </si>
  <si>
    <t>※雑メモ・参考リンク集</t>
    <phoneticPr fontId="5"/>
  </si>
  <si>
    <t>←手動で給料日入力</t>
    <rPh sb="1" eb="3">
      <t>シュドウ</t>
    </rPh>
    <rPh sb="4" eb="6">
      <t>キュウリョウ</t>
    </rPh>
    <rPh sb="6" eb="7">
      <t>ヒ</t>
    </rPh>
    <rPh sb="7" eb="9">
      <t>ニュウリョク</t>
    </rPh>
    <phoneticPr fontId="5"/>
  </si>
  <si>
    <t>毎月：</t>
    <rPh sb="0" eb="2">
      <t>マイツキ</t>
    </rPh>
    <phoneticPr fontId="5"/>
  </si>
  <si>
    <t>支払い方法：</t>
    <rPh sb="0" eb="2">
      <t>シハラ</t>
    </rPh>
    <rPh sb="3" eb="5">
      <t>ホウホウ</t>
    </rPh>
    <phoneticPr fontId="5"/>
  </si>
  <si>
    <t>▼ 内容任意で手動入力</t>
    <rPh sb="2" eb="4">
      <t>ナイヨウ</t>
    </rPh>
    <rPh sb="4" eb="6">
      <t>ニンイ</t>
    </rPh>
    <rPh sb="7" eb="11">
      <t>シュドウニュウリョク</t>
    </rPh>
    <phoneticPr fontId="5"/>
  </si>
  <si>
    <t>※知識ベースコーナーと黄色セル以外はいじらないでください。</t>
    <phoneticPr fontId="5"/>
  </si>
  <si>
    <t>関数により本日の日付や時間表示、今月の単価合計、月額給料、平均時給との差額、目標時給との差額をKPIサマリーに自動で表示されます。</t>
    <rPh sb="0" eb="2">
      <t>カンスウ</t>
    </rPh>
    <rPh sb="5" eb="7">
      <t>ホンジツ</t>
    </rPh>
    <rPh sb="8" eb="10">
      <t>ヒヅケ</t>
    </rPh>
    <rPh sb="11" eb="13">
      <t>ジカン</t>
    </rPh>
    <rPh sb="13" eb="15">
      <t>ヒョウジ</t>
    </rPh>
    <rPh sb="16" eb="18">
      <t>コンゲツ</t>
    </rPh>
    <rPh sb="19" eb="23">
      <t>タンカゴウケイ</t>
    </rPh>
    <rPh sb="24" eb="28">
      <t>ゲツガクキュウリョウ</t>
    </rPh>
    <rPh sb="29" eb="33">
      <t>ヘイキンジキュウ</t>
    </rPh>
    <rPh sb="35" eb="37">
      <t>サガク</t>
    </rPh>
    <rPh sb="38" eb="40">
      <t>モクヒョウ</t>
    </rPh>
    <rPh sb="40" eb="42">
      <t>ジキュウ</t>
    </rPh>
    <rPh sb="44" eb="46">
      <t>サガク</t>
    </rPh>
    <rPh sb="55" eb="57">
      <t>ジドウ</t>
    </rPh>
    <rPh sb="58" eb="60">
      <t>ヒョウジ</t>
    </rPh>
    <phoneticPr fontId="5"/>
  </si>
  <si>
    <t>リソース使用状況には、今月の作業時間合計と案件別リソース内訳が自動で記載されます。</t>
    <rPh sb="4" eb="6">
      <t>シヨウ</t>
    </rPh>
    <rPh sb="6" eb="8">
      <t>ジョウキョウ</t>
    </rPh>
    <rPh sb="11" eb="13">
      <t>コンゲツ</t>
    </rPh>
    <rPh sb="14" eb="20">
      <t>サギョウジカンゴウケイ</t>
    </rPh>
    <rPh sb="21" eb="24">
      <t>アンケンベツ</t>
    </rPh>
    <rPh sb="28" eb="30">
      <t>ウチワケ</t>
    </rPh>
    <rPh sb="31" eb="33">
      <t>ジドウ</t>
    </rPh>
    <rPh sb="34" eb="36">
      <t>キサイ</t>
    </rPh>
    <phoneticPr fontId="5"/>
  </si>
  <si>
    <t>・</t>
    <phoneticPr fontId="5"/>
  </si>
  <si>
    <t>　←エラーメッセージ表示欄。エラーが出たら新規シートを作成か、確認をしてください。D2は手動削除。</t>
    <rPh sb="10" eb="12">
      <t>ヒョウジ</t>
    </rPh>
    <rPh sb="12" eb="13">
      <t>ラン</t>
    </rPh>
    <rPh sb="18" eb="19">
      <t>デ</t>
    </rPh>
    <rPh sb="21" eb="23">
      <t>シンキ</t>
    </rPh>
    <rPh sb="27" eb="29">
      <t>サクセイ</t>
    </rPh>
    <rPh sb="31" eb="33">
      <t>カクニン</t>
    </rPh>
    <rPh sb="44" eb="48">
      <t>シュドウサクジョ</t>
    </rPh>
    <phoneticPr fontId="5"/>
  </si>
  <si>
    <t>A1に毎年年を記入ください。「2025年」なら「2025」と半角数値で記入。自動で日付が更新されます。</t>
    <rPh sb="3" eb="5">
      <t>マイトシ</t>
    </rPh>
    <rPh sb="5" eb="6">
      <t>ネン</t>
    </rPh>
    <rPh sb="6" eb="7">
      <t>マイツキ</t>
    </rPh>
    <rPh sb="7" eb="9">
      <t>キニュウ</t>
    </rPh>
    <rPh sb="19" eb="20">
      <t>ネン</t>
    </rPh>
    <rPh sb="30" eb="32">
      <t>ハンカク</t>
    </rPh>
    <rPh sb="32" eb="34">
      <t>スウチ</t>
    </rPh>
    <rPh sb="35" eb="37">
      <t>キニュウ</t>
    </rPh>
    <rPh sb="38" eb="40">
      <t>ジドウ</t>
    </rPh>
    <rPh sb="41" eb="43">
      <t>ヒヅケ</t>
    </rPh>
    <rPh sb="44" eb="46">
      <t>コウシン</t>
    </rPh>
    <phoneticPr fontId="5"/>
  </si>
  <si>
    <t>※I1にエラーメッセージが出る際は、年月が誤っている可能性があります。黄色セルを正しく修正するとI1の内容は時間をおいて自動で元に戻るので、I1の関数を削除しないでください。</t>
    <rPh sb="13" eb="14">
      <t>デ</t>
    </rPh>
    <rPh sb="15" eb="16">
      <t>サイ</t>
    </rPh>
    <rPh sb="18" eb="20">
      <t>ネンゲツ</t>
    </rPh>
    <rPh sb="21" eb="22">
      <t>アヤマ</t>
    </rPh>
    <rPh sb="26" eb="29">
      <t>カノウセイ</t>
    </rPh>
    <rPh sb="35" eb="37">
      <t>キイロ</t>
    </rPh>
    <rPh sb="40" eb="41">
      <t>タダ</t>
    </rPh>
    <rPh sb="43" eb="45">
      <t>シュウセイ</t>
    </rPh>
    <rPh sb="51" eb="53">
      <t>ナイヨウ</t>
    </rPh>
    <rPh sb="54" eb="56">
      <t>ジカン</t>
    </rPh>
    <rPh sb="60" eb="62">
      <t>ジドウ</t>
    </rPh>
    <rPh sb="63" eb="64">
      <t>モト</t>
    </rPh>
    <rPh sb="65" eb="66">
      <t>モド</t>
    </rPh>
    <rPh sb="73" eb="75">
      <t>カンスウ</t>
    </rPh>
    <rPh sb="76" eb="78">
      <t>サクジョ</t>
    </rPh>
    <phoneticPr fontId="5"/>
  </si>
  <si>
    <t>▼規定を記入（給料と比較用）</t>
    <rPh sb="7" eb="9">
      <t>キュウリョウ</t>
    </rPh>
    <rPh sb="10" eb="13">
      <t>ヒカクヨウ</t>
    </rPh>
    <phoneticPr fontId="5"/>
  </si>
  <si>
    <t>▼※いじらない。毎月の最新の「yyyy_mm」シートから自動参照している。</t>
    <rPh sb="8" eb="10">
      <t>マイツキ</t>
    </rPh>
    <rPh sb="11" eb="13">
      <t>サイシン</t>
    </rPh>
    <rPh sb="28" eb="32">
      <t>ジドウサンショウ</t>
    </rPh>
    <phoneticPr fontId="5"/>
  </si>
  <si>
    <t>表は年間案件別作業量比較</t>
    <rPh sb="0" eb="1">
      <t>ヒョウ</t>
    </rPh>
    <rPh sb="2" eb="4">
      <t>ネンカン</t>
    </rPh>
    <rPh sb="4" eb="7">
      <t>アンケンベツ</t>
    </rPh>
    <rPh sb="7" eb="10">
      <t>サギョウリョウ</t>
    </rPh>
    <rPh sb="10" eb="12">
      <t>ヒカク</t>
    </rPh>
    <phoneticPr fontId="5"/>
  </si>
  <si>
    <t>スケジュール管理欄には現在の残タスク数が表示されます。残タスク一覧が最大12件まで自動で表示されます。</t>
    <rPh sb="6" eb="8">
      <t>カンリ</t>
    </rPh>
    <rPh sb="8" eb="9">
      <t>ラン</t>
    </rPh>
    <rPh sb="11" eb="13">
      <t>ゲンザイ</t>
    </rPh>
    <rPh sb="14" eb="15">
      <t>ザン</t>
    </rPh>
    <rPh sb="18" eb="19">
      <t>スウ</t>
    </rPh>
    <rPh sb="20" eb="22">
      <t>ヒョウジ</t>
    </rPh>
    <rPh sb="27" eb="28">
      <t>ザン</t>
    </rPh>
    <rPh sb="31" eb="33">
      <t>イチラン</t>
    </rPh>
    <rPh sb="34" eb="36">
      <t>サイダイ</t>
    </rPh>
    <rPh sb="38" eb="39">
      <t>ケン</t>
    </rPh>
    <rPh sb="41" eb="43">
      <t>ジドウ</t>
    </rPh>
    <rPh sb="44" eb="46">
      <t>ヒョウジ</t>
    </rPh>
    <phoneticPr fontId="5"/>
  </si>
  <si>
    <t>シート内下部にはタスク管理表があります。</t>
    <rPh sb="3" eb="4">
      <t>ナイ</t>
    </rPh>
    <rPh sb="4" eb="6">
      <t>カブ</t>
    </rPh>
    <rPh sb="11" eb="14">
      <t>カンリヒョウ</t>
    </rPh>
    <phoneticPr fontId="5"/>
  </si>
  <si>
    <t>▼ある場合は利用料＋給料（時給・工賃）＋単価</t>
    <rPh sb="3" eb="5">
      <t>バアイ</t>
    </rPh>
    <rPh sb="6" eb="9">
      <t>リヨウリョウ</t>
    </rPh>
    <rPh sb="10" eb="12">
      <t>キュウリョウ</t>
    </rPh>
    <rPh sb="13" eb="15">
      <t>ジキュウ</t>
    </rPh>
    <phoneticPr fontId="5"/>
  </si>
  <si>
    <t>▼給料（時給・工賃）＋単価＋年金</t>
    <rPh sb="1" eb="3">
      <t>キュウリョウ</t>
    </rPh>
    <rPh sb="4" eb="6">
      <t>ジキュウ</t>
    </rPh>
    <rPh sb="14" eb="16">
      <t>ネンキン</t>
    </rPh>
    <phoneticPr fontId="5"/>
  </si>
  <si>
    <t>▼月額売上額（+時給）</t>
    <rPh sb="1" eb="3">
      <t>ゲツガク</t>
    </rPh>
    <rPh sb="3" eb="5">
      <t>ウリアゲ</t>
    </rPh>
    <rPh sb="5" eb="6">
      <t>ガク</t>
    </rPh>
    <rPh sb="8" eb="10">
      <t>ジキュウ</t>
    </rPh>
    <phoneticPr fontId="5"/>
  </si>
  <si>
    <t>▼※黄色セル以外いじらない。毎月の「yyyy_mm」シートから自動参照して売上工数管理シートとダッシュボードシートに反映させている。</t>
    <rPh sb="2" eb="4">
      <t>キイロ</t>
    </rPh>
    <rPh sb="6" eb="8">
      <t>イガイ</t>
    </rPh>
    <rPh sb="14" eb="16">
      <t>マイツキ</t>
    </rPh>
    <rPh sb="31" eb="35">
      <t>ジドウサンショウ</t>
    </rPh>
    <rPh sb="37" eb="39">
      <t>ウリアゲ</t>
    </rPh>
    <rPh sb="39" eb="43">
      <t>コウスウカンリ</t>
    </rPh>
    <rPh sb="58" eb="60">
      <t>ハンエイ</t>
    </rPh>
    <phoneticPr fontId="5"/>
  </si>
  <si>
    <t>※マクロ内容は、「本日のシートへ移動」としてシート内移動、「先月の手動入力欄を削除」として手動入力セルを一括で削除するマクロのみ入れております。</t>
    <rPh sb="4" eb="6">
      <t>ナイヨウ</t>
    </rPh>
    <rPh sb="9" eb="11">
      <t>ホンジツ</t>
    </rPh>
    <rPh sb="16" eb="18">
      <t>イドウ</t>
    </rPh>
    <rPh sb="25" eb="26">
      <t>ナイ</t>
    </rPh>
    <rPh sb="26" eb="28">
      <t>イドウ</t>
    </rPh>
    <rPh sb="30" eb="32">
      <t>センゲツ</t>
    </rPh>
    <rPh sb="33" eb="35">
      <t>シュドウ</t>
    </rPh>
    <rPh sb="35" eb="37">
      <t>ニュウリョク</t>
    </rPh>
    <rPh sb="37" eb="38">
      <t>ラン</t>
    </rPh>
    <rPh sb="39" eb="41">
      <t>サクジョ</t>
    </rPh>
    <rPh sb="45" eb="49">
      <t>シュドウニュウリョク</t>
    </rPh>
    <rPh sb="52" eb="54">
      <t>イッカツ</t>
    </rPh>
    <rPh sb="55" eb="57">
      <t>サクジョ</t>
    </rPh>
    <rPh sb="64" eb="65">
      <t>イ</t>
    </rPh>
    <phoneticPr fontId="5"/>
  </si>
  <si>
    <t>一カ月業務量自己ノルマ：</t>
    <rPh sb="0" eb="1">
      <t>イッ</t>
    </rPh>
    <rPh sb="2" eb="3">
      <t>ゲツ</t>
    </rPh>
    <rPh sb="3" eb="6">
      <t>ギョウムリョウ</t>
    </rPh>
    <rPh sb="6" eb="8">
      <t>ジコ</t>
    </rPh>
    <phoneticPr fontId="5"/>
  </si>
  <si>
    <t>　今月売上合計（-利用料）</t>
    <rPh sb="1" eb="3">
      <t>コンゲツ</t>
    </rPh>
    <rPh sb="3" eb="5">
      <t>ウリアゲ</t>
    </rPh>
    <rPh sb="5" eb="7">
      <t>ゴウケイ</t>
    </rPh>
    <rPh sb="9" eb="12">
      <t>リヨウリョウ</t>
    </rPh>
    <phoneticPr fontId="5"/>
  </si>
  <si>
    <t>　※数値が高いほど作業量多い</t>
    <rPh sb="2" eb="4">
      <t>スウチ</t>
    </rPh>
    <rPh sb="5" eb="6">
      <t>タカ</t>
    </rPh>
    <rPh sb="9" eb="12">
      <t>サギョウリョウ</t>
    </rPh>
    <rPh sb="12" eb="13">
      <t>オオ</t>
    </rPh>
    <phoneticPr fontId="5"/>
  </si>
  <si>
    <t>　※数値が高いほど天気が悪く気圧が重く、体調不良</t>
    <rPh sb="2" eb="4">
      <t>スウチ</t>
    </rPh>
    <rPh sb="5" eb="6">
      <t>タカ</t>
    </rPh>
    <rPh sb="9" eb="11">
      <t>テンキ</t>
    </rPh>
    <rPh sb="12" eb="13">
      <t>ワル</t>
    </rPh>
    <rPh sb="14" eb="16">
      <t>キアツ</t>
    </rPh>
    <rPh sb="17" eb="18">
      <t>オモ</t>
    </rPh>
    <rPh sb="20" eb="24">
      <t>タイチョウフリョウ</t>
    </rPh>
    <phoneticPr fontId="5"/>
  </si>
  <si>
    <t>Webマーケティング：</t>
    <phoneticPr fontId="5"/>
  </si>
  <si>
    <t>Webデザイン：</t>
    <phoneticPr fontId="5"/>
  </si>
  <si>
    <t xml:space="preserve"> 効率良く稼ぐには？：単価一覧</t>
    <rPh sb="1" eb="3">
      <t>コウリツ</t>
    </rPh>
    <rPh sb="3" eb="4">
      <t>ヨ</t>
    </rPh>
    <rPh sb="5" eb="6">
      <t>カセ</t>
    </rPh>
    <rPh sb="11" eb="15">
      <t>タンカイチラン</t>
    </rPh>
    <phoneticPr fontId="5"/>
  </si>
  <si>
    <t xml:space="preserve"> ▶ノルマ</t>
    <phoneticPr fontId="5"/>
  </si>
  <si>
    <t>▼案件増えた時用に空白行確保</t>
    <rPh sb="1" eb="3">
      <t>アンケン</t>
    </rPh>
    <rPh sb="3" eb="4">
      <t>フ</t>
    </rPh>
    <rPh sb="6" eb="7">
      <t>トキ</t>
    </rPh>
    <rPh sb="7" eb="8">
      <t>ヨウ</t>
    </rPh>
    <rPh sb="9" eb="11">
      <t>クウハク</t>
    </rPh>
    <rPh sb="11" eb="12">
      <t>ギョウ</t>
    </rPh>
    <rPh sb="12" eb="14">
      <t>カクホ</t>
    </rPh>
    <phoneticPr fontId="5"/>
  </si>
  <si>
    <t>※Webデザイン・プログラミングなど大きな括りで入力・詳細はタスク管理表へ</t>
    <rPh sb="27" eb="29">
      <t>ショウサイ</t>
    </rPh>
    <rPh sb="33" eb="36">
      <t>カンリヒョウ</t>
    </rPh>
    <phoneticPr fontId="5"/>
  </si>
  <si>
    <t xml:space="preserve"> 吉岡有隆業務効率化システムマニュアル</t>
    <rPh sb="1" eb="3">
      <t>ヨシオカ</t>
    </rPh>
    <rPh sb="3" eb="4">
      <t>アリ</t>
    </rPh>
    <rPh sb="4" eb="5">
      <t>タカシ</t>
    </rPh>
    <rPh sb="5" eb="10">
      <t>ギョウムコウリツカ</t>
    </rPh>
    <phoneticPr fontId="5"/>
  </si>
  <si>
    <t>2025/9/13 19:58 著作者：吉岡有隆</t>
    <rPh sb="16" eb="19">
      <t>チョサクシャ</t>
    </rPh>
    <rPh sb="20" eb="22">
      <t>ヨシオカ</t>
    </rPh>
    <rPh sb="22" eb="23">
      <t>アリ</t>
    </rPh>
    <rPh sb="23" eb="24">
      <t>タカシ</t>
    </rPh>
    <phoneticPr fontId="5"/>
  </si>
  <si>
    <t>「吉岡有隆業務効率化システム」は、単価で稼ぐフリーランス、または年金を受け取りながら働く方向けに作成しました。年金受給の無い一般のフリーランスの方にも対応しております。</t>
    <rPh sb="1" eb="3">
      <t>ヨシオカ</t>
    </rPh>
    <rPh sb="3" eb="4">
      <t>アリ</t>
    </rPh>
    <rPh sb="4" eb="5">
      <t>タカシ</t>
    </rPh>
    <rPh sb="5" eb="10">
      <t>ギョウムコウリツカ</t>
    </rPh>
    <rPh sb="17" eb="19">
      <t>タンカ</t>
    </rPh>
    <rPh sb="20" eb="21">
      <t>カセ</t>
    </rPh>
    <rPh sb="32" eb="34">
      <t>ネンキン</t>
    </rPh>
    <rPh sb="35" eb="36">
      <t>ウ</t>
    </rPh>
    <rPh sb="37" eb="38">
      <t>ト</t>
    </rPh>
    <rPh sb="42" eb="43">
      <t>ハタラ</t>
    </rPh>
    <rPh sb="44" eb="45">
      <t>カタ</t>
    </rPh>
    <rPh sb="45" eb="46">
      <t>ム</t>
    </rPh>
    <rPh sb="48" eb="50">
      <t>サクセイ</t>
    </rPh>
    <rPh sb="55" eb="59">
      <t>ネンキンジュキュウ</t>
    </rPh>
    <rPh sb="60" eb="61">
      <t>ナ</t>
    </rPh>
    <rPh sb="62" eb="64">
      <t>イッパン</t>
    </rPh>
    <rPh sb="72" eb="73">
      <t>カタ</t>
    </rPh>
    <rPh sb="75" eb="77">
      <t>タイオウ</t>
    </rPh>
    <phoneticPr fontId="5"/>
  </si>
  <si>
    <t>このエクセル業務効率化システムを元に、スプレッドシートへ移行する事も可能です。</t>
    <rPh sb="6" eb="11">
      <t>ギョウムコウリツカ</t>
    </rPh>
    <rPh sb="16" eb="17">
      <t>モト</t>
    </rPh>
    <rPh sb="28" eb="30">
      <t>イコウ</t>
    </rPh>
    <rPh sb="32" eb="33">
      <t>コト</t>
    </rPh>
    <rPh sb="34" eb="36">
      <t>カノウ</t>
    </rPh>
    <phoneticPr fontId="5"/>
  </si>
  <si>
    <t>▼時給があれば記入</t>
    <rPh sb="1" eb="3">
      <t>ジキュウ</t>
    </rPh>
    <rPh sb="7" eb="9">
      <t>キニュウ</t>
    </rPh>
    <phoneticPr fontId="5"/>
  </si>
  <si>
    <t>▼施設利用料があれば記入</t>
    <rPh sb="1" eb="6">
      <t>シセツリヨウリョウ</t>
    </rPh>
    <rPh sb="10" eb="12">
      <t>キニュウ</t>
    </rPh>
    <phoneticPr fontId="5"/>
  </si>
  <si>
    <t>▲明細と照らし合わせ確認</t>
    <phoneticPr fontId="5"/>
  </si>
  <si>
    <t>▼出る方は記入</t>
    <rPh sb="3" eb="4">
      <t>カタ</t>
    </rPh>
    <phoneticPr fontId="5"/>
  </si>
  <si>
    <t>▼プライベートカレンダーにもお使いいただけます。</t>
    <rPh sb="15" eb="16">
      <t>ツカ</t>
    </rPh>
    <phoneticPr fontId="5"/>
  </si>
  <si>
    <t>　一カ月売上額自己ノルマ：</t>
    <rPh sb="1" eb="2">
      <t>イッ</t>
    </rPh>
    <rPh sb="3" eb="4">
      <t>ゲツ</t>
    </rPh>
    <rPh sb="4" eb="6">
      <t>ウリアゲ</t>
    </rPh>
    <rPh sb="6" eb="7">
      <t>ガク</t>
    </rPh>
    <rPh sb="7" eb="9">
      <t>ジコ</t>
    </rPh>
    <phoneticPr fontId="5"/>
  </si>
  <si>
    <t>業務メモ_Webデザイン</t>
    <phoneticPr fontId="5"/>
  </si>
  <si>
    <t>業務メモ_Webデザイン</t>
    <rPh sb="0" eb="2">
      <t>ギョウム</t>
    </rPh>
    <phoneticPr fontId="5"/>
  </si>
  <si>
    <t>2025/9/19 20:37 追記：体調管理表を簡易的に追加実装、サンプルデータ増量</t>
    <rPh sb="16" eb="18">
      <t>ツイキ</t>
    </rPh>
    <rPh sb="19" eb="23">
      <t>タイチョウカンリ</t>
    </rPh>
    <rPh sb="23" eb="24">
      <t>ヒョウ</t>
    </rPh>
    <rPh sb="25" eb="27">
      <t>カンイ</t>
    </rPh>
    <rPh sb="27" eb="28">
      <t>テキ</t>
    </rPh>
    <rPh sb="29" eb="31">
      <t>ツイカ</t>
    </rPh>
    <rPh sb="31" eb="33">
      <t>ジッソウ</t>
    </rPh>
    <rPh sb="41" eb="43">
      <t>ゾウリョウ</t>
    </rPh>
    <phoneticPr fontId="5"/>
  </si>
  <si>
    <t>Webデザイン</t>
    <phoneticPr fontId="5"/>
  </si>
  <si>
    <t>プログラミング</t>
    <phoneticPr fontId="5"/>
  </si>
  <si>
    <t>Webマーケティング</t>
    <phoneticPr fontId="5"/>
  </si>
  <si>
    <t xml:space="preserve"> Web構築5件、マーケ10件、アプリ0.5件</t>
    <rPh sb="4" eb="6">
      <t>コウチク</t>
    </rPh>
    <rPh sb="7" eb="8">
      <t>ケン</t>
    </rPh>
    <rPh sb="14" eb="15">
      <t>ケン</t>
    </rPh>
    <rPh sb="22" eb="23">
      <t>ケン</t>
    </rPh>
    <phoneticPr fontId="5"/>
  </si>
  <si>
    <t>給料振り込み</t>
    <rPh sb="0" eb="2">
      <t>キュウリョウ</t>
    </rPh>
    <rPh sb="2" eb="3">
      <t>フ</t>
    </rPh>
    <rPh sb="4" eb="5">
      <t>コ</t>
    </rPh>
    <phoneticPr fontId="5"/>
  </si>
  <si>
    <t xml:space="preserve"> ※メモにお使いください</t>
    <rPh sb="6" eb="7">
      <t>ツカ</t>
    </rPh>
    <phoneticPr fontId="5"/>
  </si>
  <si>
    <t>Webサイト構築：</t>
    <rPh sb="6" eb="8">
      <t>コウチク</t>
    </rPh>
    <phoneticPr fontId="5"/>
  </si>
  <si>
    <t>1～10万</t>
    <rPh sb="4" eb="5">
      <t>マン</t>
    </rPh>
    <phoneticPr fontId="5"/>
  </si>
  <si>
    <t>Webサイト構築</t>
    <rPh sb="6" eb="8">
      <t>コウチク</t>
    </rPh>
    <phoneticPr fontId="5"/>
  </si>
  <si>
    <t>提案：</t>
    <rPh sb="0" eb="2">
      <t>テイアン</t>
    </rPh>
    <phoneticPr fontId="5"/>
  </si>
  <si>
    <t>※サンプルシートです。</t>
    <phoneticPr fontId="5"/>
  </si>
  <si>
    <t>不明</t>
    <rPh sb="0" eb="2">
      <t>フメイ</t>
    </rPh>
    <phoneticPr fontId="5"/>
  </si>
  <si>
    <t>10～50万</t>
    <rPh sb="5" eb="6">
      <t>マン</t>
    </rPh>
    <phoneticPr fontId="5"/>
  </si>
  <si>
    <t>時給制のアルバイトやパートの方、扶養内勤務の方、年金受給をしながらA型施設やB型施設で勤務をする方、その職員の方にもお使いいただけます。</t>
    <rPh sb="0" eb="2">
      <t>ジキュウ</t>
    </rPh>
    <rPh sb="2" eb="3">
      <t>セイ</t>
    </rPh>
    <rPh sb="14" eb="15">
      <t>カタ</t>
    </rPh>
    <rPh sb="16" eb="19">
      <t>フヨウナイ</t>
    </rPh>
    <rPh sb="19" eb="21">
      <t>キンム</t>
    </rPh>
    <rPh sb="22" eb="23">
      <t>カタ</t>
    </rPh>
    <rPh sb="24" eb="26">
      <t>ネンキン</t>
    </rPh>
    <rPh sb="34" eb="35">
      <t>ガタ</t>
    </rPh>
    <rPh sb="35" eb="37">
      <t>シセツ</t>
    </rPh>
    <rPh sb="52" eb="54">
      <t>ショクイン</t>
    </rPh>
    <rPh sb="55" eb="56">
      <t>カタ</t>
    </rPh>
    <phoneticPr fontId="5"/>
  </si>
  <si>
    <t>A型施設やB型施設利用などで施設利用料などがある方は、AW2に月額利用料を記入ください。</t>
    <rPh sb="1" eb="2">
      <t>ガタ</t>
    </rPh>
    <rPh sb="2" eb="4">
      <t>シセツ</t>
    </rPh>
    <rPh sb="6" eb="7">
      <t>ガタ</t>
    </rPh>
    <rPh sb="7" eb="9">
      <t>シセツ</t>
    </rPh>
    <rPh sb="9" eb="11">
      <t>リヨウ</t>
    </rPh>
    <rPh sb="14" eb="16">
      <t>シセツ</t>
    </rPh>
    <rPh sb="16" eb="19">
      <t>リヨウリョウ</t>
    </rPh>
    <rPh sb="24" eb="25">
      <t>カタ</t>
    </rPh>
    <rPh sb="31" eb="33">
      <t>ゲツガク</t>
    </rPh>
    <rPh sb="33" eb="36">
      <t>リヨウリョウ</t>
    </rPh>
    <rPh sb="37" eb="39">
      <t>キニュウ</t>
    </rPh>
    <phoneticPr fontId="5"/>
  </si>
  <si>
    <t>※このエクセルファイルは、吉岡有隆の嫁の為に作成しました。皆さんにも使用していただけますと幸いです。このダッシュボードシートを元にしたOSを開発中です。</t>
    <rPh sb="13" eb="15">
      <t>ヨシオカ</t>
    </rPh>
    <rPh sb="15" eb="16">
      <t>アリ</t>
    </rPh>
    <rPh sb="16" eb="17">
      <t>タカシ</t>
    </rPh>
    <rPh sb="18" eb="19">
      <t>ヨメ</t>
    </rPh>
    <rPh sb="20" eb="21">
      <t>タメ</t>
    </rPh>
    <rPh sb="22" eb="24">
      <t>サクセイ</t>
    </rPh>
    <rPh sb="29" eb="30">
      <t>ミナ</t>
    </rPh>
    <rPh sb="34" eb="36">
      <t>シヨウ</t>
    </rPh>
    <rPh sb="45" eb="46">
      <t>サイワ</t>
    </rPh>
    <rPh sb="63" eb="64">
      <t>モト</t>
    </rPh>
    <rPh sb="70" eb="72">
      <t>カイハツ</t>
    </rPh>
    <rPh sb="72" eb="73">
      <t>ナカ</t>
    </rPh>
    <phoneticPr fontId="5"/>
  </si>
  <si>
    <t xml:space="preserve">※扶養内年度限度額は年金額を考慮 </t>
    <rPh sb="1" eb="4">
      <t>フヨウナイ</t>
    </rPh>
    <rPh sb="4" eb="6">
      <t>ネンド</t>
    </rPh>
    <rPh sb="6" eb="9">
      <t>ゲンドガク</t>
    </rPh>
    <rPh sb="10" eb="13">
      <t>ネンキンガク</t>
    </rPh>
    <rPh sb="14" eb="16">
      <t>コウリョ</t>
    </rPh>
    <phoneticPr fontId="5"/>
  </si>
  <si>
    <t>0.5～5万</t>
    <rPh sb="5" eb="6">
      <t>マン</t>
    </rPh>
    <phoneticPr fontId="5"/>
  </si>
  <si>
    <t>※ナンバーはいじらない。黄色セル内のみ操作。</t>
    <rPh sb="12" eb="14">
      <t>キイロ</t>
    </rPh>
    <rPh sb="16" eb="17">
      <t>ナイ</t>
    </rPh>
    <rPh sb="19" eb="21">
      <t>ソウサ</t>
    </rPh>
    <phoneticPr fontId="5"/>
  </si>
  <si>
    <t>※現在サンプルデータを入れています。「yyyy_mm」形式ファイルのみ削除し、各シートの黄色セル内のみ自分用に記入し直し、ダッシュボードシートの天候気圧体調コーナーはマクロボタンでクリアしてから、マニュアル通りにお使いください。</t>
    <rPh sb="1" eb="3">
      <t>ゲンザイ</t>
    </rPh>
    <rPh sb="11" eb="12">
      <t>イ</t>
    </rPh>
    <rPh sb="27" eb="29">
      <t>ケイシキ</t>
    </rPh>
    <rPh sb="35" eb="37">
      <t>サクジョ</t>
    </rPh>
    <rPh sb="39" eb="40">
      <t>カク</t>
    </rPh>
    <rPh sb="44" eb="46">
      <t>キイロ</t>
    </rPh>
    <rPh sb="48" eb="49">
      <t>ナイ</t>
    </rPh>
    <rPh sb="51" eb="53">
      <t>ジブン</t>
    </rPh>
    <rPh sb="53" eb="54">
      <t>ヨウ</t>
    </rPh>
    <rPh sb="55" eb="57">
      <t>キニュウ</t>
    </rPh>
    <rPh sb="58" eb="59">
      <t>ナオ</t>
    </rPh>
    <rPh sb="72" eb="74">
      <t>テンコウ</t>
    </rPh>
    <rPh sb="74" eb="76">
      <t>キアツ</t>
    </rPh>
    <rPh sb="76" eb="78">
      <t>タイチョウ</t>
    </rPh>
    <rPh sb="103" eb="104">
      <t>トオ</t>
    </rPh>
    <rPh sb="107" eb="108">
      <t>ツカ</t>
    </rPh>
    <phoneticPr fontId="5"/>
  </si>
  <si>
    <t>2025/9/20 18:00 追記：体調管理表一年分管理シート追加実装、マニュアル説明文追記</t>
    <rPh sb="16" eb="18">
      <t>ツイキ</t>
    </rPh>
    <rPh sb="19" eb="21">
      <t>タイチョウ</t>
    </rPh>
    <rPh sb="21" eb="24">
      <t>カンリヒョウ</t>
    </rPh>
    <rPh sb="24" eb="27">
      <t>イチネンブン</t>
    </rPh>
    <rPh sb="27" eb="29">
      <t>カンリ</t>
    </rPh>
    <rPh sb="32" eb="34">
      <t>ツイカ</t>
    </rPh>
    <rPh sb="34" eb="36">
      <t>ジッソウ</t>
    </rPh>
    <rPh sb="42" eb="45">
      <t>セツメイブン</t>
    </rPh>
    <rPh sb="45" eb="47">
      <t>ツイキ</t>
    </rPh>
    <phoneticPr fontId="5"/>
  </si>
  <si>
    <t>▲体調管理表トップへ戻る</t>
    <rPh sb="1" eb="6">
      <t>タイチョウカンリヒョウ</t>
    </rPh>
    <rPh sb="10" eb="11">
      <t>モド</t>
    </rPh>
    <phoneticPr fontId="5"/>
  </si>
  <si>
    <t>体調管理表_一年分</t>
    <rPh sb="0" eb="4">
      <t>タイチョウカンリ</t>
    </rPh>
    <rPh sb="4" eb="5">
      <t>ヒョウ</t>
    </rPh>
    <rPh sb="6" eb="9">
      <t>イチネンブン</t>
    </rPh>
    <phoneticPr fontId="5"/>
  </si>
  <si>
    <t>体調管理表_一年分データベース格納表</t>
    <rPh sb="0" eb="4">
      <t>タイチョウカンリ</t>
    </rPh>
    <rPh sb="4" eb="5">
      <t>ヒョウ</t>
    </rPh>
    <rPh sb="6" eb="9">
      <t>イチネンブン</t>
    </rPh>
    <rPh sb="15" eb="18">
      <t>カクノウヒョウ</t>
    </rPh>
    <phoneticPr fontId="5"/>
  </si>
  <si>
    <t>※データを保管したい方はこちら→</t>
    <rPh sb="5" eb="7">
      <t>ホカン</t>
    </rPh>
    <rPh sb="10" eb="11">
      <t>カタ</t>
    </rPh>
    <phoneticPr fontId="5"/>
  </si>
  <si>
    <t>▶ データ格納表へ</t>
    <rPh sb="5" eb="8">
      <t>カクノウヒョウ</t>
    </rPh>
    <phoneticPr fontId="5"/>
  </si>
  <si>
    <t>▼データ格納表へリンク</t>
    <rPh sb="4" eb="6">
      <t>カクノウ</t>
    </rPh>
    <rPh sb="6" eb="7">
      <t>ヒョウ</t>
    </rPh>
    <phoneticPr fontId="5"/>
  </si>
  <si>
    <t>1月</t>
    <rPh sb="1" eb="2">
      <t>ガツ</t>
    </rPh>
    <phoneticPr fontId="5"/>
  </si>
  <si>
    <t>▼リンク</t>
    <phoneticPr fontId="5"/>
  </si>
  <si>
    <t>2月</t>
  </si>
  <si>
    <t>2月</t>
    <rPh sb="1" eb="2">
      <t>ガツ</t>
    </rPh>
    <phoneticPr fontId="5"/>
  </si>
  <si>
    <t>3月</t>
  </si>
  <si>
    <t>3月</t>
    <rPh sb="1" eb="2">
      <t>ガツ</t>
    </rPh>
    <phoneticPr fontId="5"/>
  </si>
  <si>
    <t>4月</t>
  </si>
  <si>
    <t>5月</t>
  </si>
  <si>
    <t>6月</t>
  </si>
  <si>
    <t>7月</t>
  </si>
  <si>
    <t>8月</t>
  </si>
  <si>
    <t>9月</t>
  </si>
  <si>
    <t>10月</t>
  </si>
  <si>
    <t>11月</t>
  </si>
  <si>
    <t>12月</t>
  </si>
  <si>
    <t>4月</t>
    <rPh sb="1" eb="2">
      <t>ガツ</t>
    </rPh>
    <phoneticPr fontId="5"/>
  </si>
  <si>
    <t>5月</t>
    <rPh sb="1" eb="2">
      <t>ガツ</t>
    </rPh>
    <phoneticPr fontId="5"/>
  </si>
  <si>
    <t>6月</t>
    <rPh sb="1" eb="2">
      <t>ガツ</t>
    </rPh>
    <phoneticPr fontId="5"/>
  </si>
  <si>
    <t>7月</t>
    <rPh sb="1" eb="2">
      <t>ガツ</t>
    </rPh>
    <phoneticPr fontId="5"/>
  </si>
  <si>
    <t>8月</t>
    <rPh sb="1" eb="2">
      <t>ガツ</t>
    </rPh>
    <phoneticPr fontId="5"/>
  </si>
  <si>
    <t>9月</t>
    <rPh sb="1" eb="2">
      <t>ガツ</t>
    </rPh>
    <phoneticPr fontId="5"/>
  </si>
  <si>
    <t>10月</t>
    <rPh sb="2" eb="3">
      <t>ガツ</t>
    </rPh>
    <phoneticPr fontId="5"/>
  </si>
  <si>
    <t>11月</t>
    <rPh sb="2" eb="3">
      <t>ガツ</t>
    </rPh>
    <phoneticPr fontId="5"/>
  </si>
  <si>
    <t>12月</t>
    <rPh sb="2" eb="3">
      <t>ガツ</t>
    </rPh>
    <phoneticPr fontId="5"/>
  </si>
  <si>
    <t>▼データ格納表に各月データをペーストして表に反映させてお使いください。黄色セルのみ入力ください。</t>
    <rPh sb="4" eb="6">
      <t>カクノウ</t>
    </rPh>
    <rPh sb="6" eb="7">
      <t>ヒョウ</t>
    </rPh>
    <rPh sb="8" eb="10">
      <t>カクツキ</t>
    </rPh>
    <rPh sb="20" eb="21">
      <t>ヒョウ</t>
    </rPh>
    <rPh sb="22" eb="24">
      <t>ハンエイ</t>
    </rPh>
    <rPh sb="28" eb="29">
      <t>ツカ</t>
    </rPh>
    <rPh sb="35" eb="37">
      <t>キイロ</t>
    </rPh>
    <rPh sb="41" eb="43">
      <t>ニュウリョク</t>
    </rPh>
    <phoneticPr fontId="5"/>
  </si>
  <si>
    <t>▼各項目に書式のみコピーペーストして保管してください。※関数は入力しないように。自動クリア機能はつけません。翌年分は元データファイルをコピーしてお使いください。</t>
    <rPh sb="1" eb="4">
      <t>カクコウモク</t>
    </rPh>
    <rPh sb="5" eb="7">
      <t>ショシキ</t>
    </rPh>
    <rPh sb="18" eb="20">
      <t>ホカン</t>
    </rPh>
    <rPh sb="28" eb="30">
      <t>カンスウ</t>
    </rPh>
    <rPh sb="31" eb="33">
      <t>ニュウリョク</t>
    </rPh>
    <rPh sb="40" eb="42">
      <t>ジドウ</t>
    </rPh>
    <rPh sb="45" eb="47">
      <t>キノウ</t>
    </rPh>
    <rPh sb="54" eb="56">
      <t>ヨクトシ</t>
    </rPh>
    <rPh sb="56" eb="57">
      <t>ブン</t>
    </rPh>
    <rPh sb="58" eb="59">
      <t>モト</t>
    </rPh>
    <rPh sb="73" eb="74">
      <t>ツカ</t>
    </rPh>
    <phoneticPr fontId="5"/>
  </si>
  <si>
    <t>※一年間の体調揺れ幅の確認にお使いください。</t>
    <rPh sb="1" eb="3">
      <t>イチネン</t>
    </rPh>
    <rPh sb="3" eb="4">
      <t>アイダ</t>
    </rPh>
    <rPh sb="5" eb="7">
      <t>タイチョウ</t>
    </rPh>
    <rPh sb="7" eb="8">
      <t>ユ</t>
    </rPh>
    <rPh sb="9" eb="10">
      <t>ハバ</t>
    </rPh>
    <rPh sb="11" eb="13">
      <t>カクニン</t>
    </rPh>
    <rPh sb="15" eb="16">
      <t>ツカ</t>
    </rPh>
    <phoneticPr fontId="5"/>
  </si>
  <si>
    <t>※データが重くなりますので、任意でお使いください。お使いいただく際に表のデータ参照設定をしてください。参考データ：縦軸（日付）横軸（天候・気圧・体調の数値）</t>
    <rPh sb="5" eb="6">
      <t>オモ</t>
    </rPh>
    <rPh sb="14" eb="16">
      <t>ニンイ</t>
    </rPh>
    <rPh sb="18" eb="19">
      <t>ツカ</t>
    </rPh>
    <rPh sb="26" eb="27">
      <t>ツカ</t>
    </rPh>
    <rPh sb="32" eb="33">
      <t>サイ</t>
    </rPh>
    <rPh sb="34" eb="35">
      <t>ヒョウ</t>
    </rPh>
    <rPh sb="39" eb="41">
      <t>サンショウ</t>
    </rPh>
    <rPh sb="41" eb="43">
      <t>セッテイ</t>
    </rPh>
    <rPh sb="51" eb="53">
      <t>サンコウ</t>
    </rPh>
    <rPh sb="57" eb="59">
      <t>タテジク</t>
    </rPh>
    <rPh sb="60" eb="62">
      <t>ヒヅケ</t>
    </rPh>
    <rPh sb="63" eb="65">
      <t>ヨコジク</t>
    </rPh>
    <rPh sb="66" eb="68">
      <t>テンコウ</t>
    </rPh>
    <rPh sb="69" eb="71">
      <t>キアツ</t>
    </rPh>
    <rPh sb="72" eb="74">
      <t>タイチョウ</t>
    </rPh>
    <rPh sb="75" eb="77">
      <t>スウチ</t>
    </rPh>
    <phoneticPr fontId="5"/>
  </si>
  <si>
    <t>▶体調管理シート</t>
    <rPh sb="1" eb="5">
      <t>タイチョウカンリ</t>
    </rPh>
    <phoneticPr fontId="5"/>
  </si>
  <si>
    <t>黄色セルの該当月項目にダッシュボードシート下部に入力してあるA40～I70のデータを月末、マクロクリア機能を使う前に書式のみコピーペーストしてください。</t>
    <rPh sb="0" eb="2">
      <t>キイロ</t>
    </rPh>
    <rPh sb="5" eb="8">
      <t>ガイトウツキ</t>
    </rPh>
    <rPh sb="8" eb="10">
      <t>コウモク</t>
    </rPh>
    <rPh sb="21" eb="23">
      <t>カブ</t>
    </rPh>
    <rPh sb="24" eb="26">
      <t>ニュウリョク</t>
    </rPh>
    <rPh sb="42" eb="44">
      <t>ゲツマツ</t>
    </rPh>
    <rPh sb="51" eb="53">
      <t>キノウ</t>
    </rPh>
    <rPh sb="54" eb="55">
      <t>ツカ</t>
    </rPh>
    <rPh sb="56" eb="57">
      <t>マエ</t>
    </rPh>
    <rPh sb="58" eb="60">
      <t>ショシキ</t>
    </rPh>
    <phoneticPr fontId="5"/>
  </si>
  <si>
    <t>アプリ構築：</t>
    <rPh sb="3" eb="5">
      <t>コウチク</t>
    </rPh>
    <phoneticPr fontId="5"/>
  </si>
  <si>
    <t>※データ連動させてください</t>
    <rPh sb="4" eb="6">
      <t>レンドウ</t>
    </rPh>
    <phoneticPr fontId="5"/>
  </si>
  <si>
    <t>件</t>
    <rPh sb="0" eb="1">
      <t>ケン</t>
    </rPh>
    <phoneticPr fontId="5"/>
  </si>
  <si>
    <t>　案件納品件数</t>
    <rPh sb="1" eb="5">
      <t>アンケンノウヒン</t>
    </rPh>
    <rPh sb="5" eb="7">
      <t>ケンスウ</t>
    </rPh>
    <phoneticPr fontId="5"/>
  </si>
  <si>
    <t>件</t>
    <rPh sb="0" eb="1">
      <t>ケン</t>
    </rPh>
    <phoneticPr fontId="5"/>
  </si>
  <si>
    <t>自動カウント：</t>
    <rPh sb="0" eb="2">
      <t>ジドウ</t>
    </rPh>
    <phoneticPr fontId="5"/>
  </si>
  <si>
    <t>自己カウント：</t>
    <rPh sb="0" eb="2">
      <t>ジコ</t>
    </rPh>
    <phoneticPr fontId="5"/>
  </si>
  <si>
    <t>円</t>
    <rPh sb="0" eb="1">
      <t>エン</t>
    </rPh>
    <phoneticPr fontId="5"/>
  </si>
  <si>
    <t>納品件数</t>
    <rPh sb="0" eb="4">
      <t>ノウヒンケンスウ</t>
    </rPh>
    <phoneticPr fontId="5"/>
  </si>
  <si>
    <t>▼任意記入</t>
    <rPh sb="1" eb="3">
      <t>ニンイ</t>
    </rPh>
    <rPh sb="3" eb="5">
      <t>キニュウ</t>
    </rPh>
    <phoneticPr fontId="5"/>
  </si>
  <si>
    <t>※単価価格は案件ごとに別セルに記載。納品タスク件数をカウントするため。</t>
    <rPh sb="3" eb="5">
      <t>カカク</t>
    </rPh>
    <rPh sb="6" eb="8">
      <t>アンケン</t>
    </rPh>
    <rPh sb="11" eb="12">
      <t>ベツ</t>
    </rPh>
    <rPh sb="15" eb="17">
      <t>キサイ</t>
    </rPh>
    <rPh sb="18" eb="20">
      <t>ノウヒン</t>
    </rPh>
    <rPh sb="23" eb="25">
      <t>ケンスウ</t>
    </rPh>
    <phoneticPr fontId="5"/>
  </si>
  <si>
    <t>円　＝給料</t>
    <rPh sb="3" eb="5">
      <t>キュウリョウ</t>
    </rPh>
    <phoneticPr fontId="5"/>
  </si>
  <si>
    <t>▶東京最低賃金比較</t>
    <rPh sb="1" eb="3">
      <t>トウキョウ</t>
    </rPh>
    <rPh sb="3" eb="7">
      <t>サイテイチンギン</t>
    </rPh>
    <rPh sb="7" eb="9">
      <t>ヒカク</t>
    </rPh>
    <phoneticPr fontId="5"/>
  </si>
  <si>
    <t>サンプルタスク：1</t>
    <phoneticPr fontId="5"/>
  </si>
  <si>
    <t>サンプルタスク：2</t>
    <phoneticPr fontId="5"/>
  </si>
  <si>
    <t>サンプルタスク：3</t>
    <phoneticPr fontId="5"/>
  </si>
  <si>
    <t>管理/会議/自習など雑務</t>
    <rPh sb="0" eb="2">
      <t>カンリ</t>
    </rPh>
    <rPh sb="3" eb="5">
      <t>カイギ</t>
    </rPh>
    <rPh sb="6" eb="8">
      <t>ジシュウ</t>
    </rPh>
    <rPh sb="10" eb="12">
      <t>ザツム</t>
    </rPh>
    <phoneticPr fontId="5"/>
  </si>
  <si>
    <t>単価価格は案件ごとに別セルに記載。納品タスク件数をカウントするため。</t>
    <phoneticPr fontId="5"/>
  </si>
  <si>
    <t>2025/10/4 17:30 追記：基本データシート追記、マニュアル追記</t>
    <rPh sb="16" eb="18">
      <t>ツイキ</t>
    </rPh>
    <rPh sb="19" eb="21">
      <t>キホン</t>
    </rPh>
    <rPh sb="27" eb="29">
      <t>ツイキ</t>
    </rPh>
    <rPh sb="35" eb="37">
      <t>ツイキ</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</si>
</sst>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quot;¥&quot;\-#,##0"/>
    <numFmt numFmtId="6" formatCode="&quot;¥&quot;#,##0;[Red]&quot;¥&quot;\-#,##0"/>
    <numFmt numFmtId="176" formatCode="m/d\(aaa\)"/>
    <numFmt numFmtId="177" formatCode="m&quot;月&quot;d&quot;日(&quot;aaa\)"/>
    <numFmt numFmtId="178" formatCode="h:mm;@"/>
    <numFmt numFmtId="179" formatCode="0\ "/>
    <numFmt numFmtId="180" formatCode="yyyy_mm"/>
    <numFmt numFmtId="181" formatCode="yyyy"/>
    <numFmt numFmtId="182" formatCode="&quot;月&quot;d&quot;日(&quot;aaa\)"/>
    <numFmt numFmtId="183" formatCode="aaa&quot;曜日&quot;"/>
    <numFmt numFmtId="184" formatCode="m"/>
    <numFmt numFmtId="185" formatCode="m/d;@"/>
    <numFmt numFmtId="186" formatCode="h&quot;時&quot;\ mm&quot;分&quot;"/>
    <numFmt numFmtId="187" formatCode="yyyy/m/d&quot;～&quot;yyyy/m/d"/>
    <numFmt numFmtId="188" formatCode="&quot;年&quot;m&quot;月&quot;d&quot;日&quot;"/>
    <numFmt numFmtId="189" formatCode="m/d"/>
  </numFmts>
  <fonts count="54">
    <font>
      <sz val="11"/>
      <color rgb="FF000000"/>
      <name val="游ゴシック"/>
      <family val="2"/>
      <charset val="128"/>
    </font>
    <font>
      <u/>
      <sz val="11"/>
      <color rgb="FF0563C1"/>
      <name val="游ゴシック"/>
      <family val="2"/>
      <charset val="128"/>
    </font>
    <font>
      <b/>
      <sz val="11"/>
      <color rgb="FF000000"/>
      <name val="游ゴシック"/>
      <family val="3"/>
      <charset val="128"/>
    </font>
    <font>
      <b/>
      <sz val="11"/>
      <name val="游ゴシック"/>
      <family val="3"/>
      <charset val="128"/>
    </font>
    <font>
      <sz val="11"/>
      <name val="游ゴシック"/>
      <family val="3"/>
      <charset val="128"/>
    </font>
    <font>
      <sz val="6"/>
      <name val="游ゴシック"/>
      <family val="2"/>
      <charset val="128"/>
    </font>
    <font>
      <b/>
      <sz val="11"/>
      <color rgb="FFFF0000"/>
      <name val="游ゴシック"/>
      <family val="3"/>
      <charset val="128"/>
    </font>
    <font>
      <b/>
      <u val="double"/>
      <sz val="11"/>
      <color rgb="FFFF0000"/>
      <name val="游ゴシック"/>
      <family val="3"/>
      <charset val="128"/>
    </font>
    <font>
      <b/>
      <u val="double"/>
      <sz val="11"/>
      <color rgb="FF000000"/>
      <name val="游ゴシック"/>
      <family val="3"/>
      <charset val="128"/>
    </font>
    <font>
      <b/>
      <sz val="11"/>
      <color theme="0"/>
      <name val="游ゴシック"/>
      <family val="3"/>
      <charset val="128"/>
    </font>
    <font>
      <sz val="11"/>
      <color rgb="FF000000"/>
      <name val="游ゴシック"/>
      <family val="3"/>
      <charset val="128"/>
    </font>
    <font>
      <b/>
      <sz val="16"/>
      <color theme="0"/>
      <name val="游ゴシック"/>
      <family val="3"/>
      <charset val="128"/>
    </font>
    <font>
      <b/>
      <u/>
      <sz val="11"/>
      <color theme="0"/>
      <name val="游ゴシック"/>
      <family val="3"/>
      <charset val="128"/>
    </font>
    <font>
      <b/>
      <u/>
      <sz val="11"/>
      <name val="游ゴシック"/>
      <family val="3"/>
      <charset val="128"/>
    </font>
    <font>
      <sz val="16"/>
      <color rgb="FF000000"/>
      <name val="游ゴシック"/>
      <family val="3"/>
      <charset val="128"/>
    </font>
    <font>
      <b/>
      <sz val="16"/>
      <color theme="0"/>
      <name val="游ゴシック"/>
      <family val="3"/>
      <charset val="128"/>
      <scheme val="minor"/>
    </font>
    <font>
      <sz val="22"/>
      <color theme="0"/>
      <name val="游ゴシック"/>
      <family val="3"/>
      <charset val="128"/>
      <scheme val="minor"/>
    </font>
    <font>
      <sz val="11"/>
      <color theme="0"/>
      <name val="游ゴシック"/>
      <family val="3"/>
      <charset val="128"/>
      <scheme val="minor"/>
    </font>
    <font>
      <b/>
      <sz val="11"/>
      <color theme="0"/>
      <name val="游ゴシック"/>
      <family val="3"/>
      <charset val="128"/>
      <scheme val="minor"/>
    </font>
    <font>
      <sz val="11"/>
      <color rgb="FF000000"/>
      <name val="游ゴシック"/>
      <family val="3"/>
      <charset val="128"/>
      <scheme val="minor"/>
    </font>
    <font>
      <sz val="11"/>
      <name val="游ゴシック"/>
      <family val="3"/>
      <charset val="128"/>
      <scheme val="minor"/>
    </font>
    <font>
      <b/>
      <sz val="11"/>
      <color rgb="FF000000"/>
      <name val="游ゴシック"/>
      <family val="3"/>
      <charset val="128"/>
      <scheme val="minor"/>
    </font>
    <font>
      <b/>
      <sz val="14"/>
      <color theme="0"/>
      <name val="游ゴシック"/>
      <family val="3"/>
      <charset val="128"/>
      <scheme val="minor"/>
    </font>
    <font>
      <b/>
      <sz val="11"/>
      <name val="游ゴシック"/>
      <family val="3"/>
      <charset val="128"/>
      <scheme val="minor"/>
    </font>
    <font>
      <b/>
      <sz val="12"/>
      <color theme="0"/>
      <name val="游ゴシック"/>
      <family val="3"/>
      <charset val="128"/>
      <scheme val="minor"/>
    </font>
    <font>
      <b/>
      <u/>
      <sz val="11"/>
      <name val="游ゴシック"/>
      <family val="3"/>
      <charset val="128"/>
      <scheme val="minor"/>
    </font>
    <font>
      <b/>
      <sz val="11"/>
      <color rgb="FFFF0000"/>
      <name val="游ゴシック"/>
      <family val="3"/>
      <charset val="128"/>
      <scheme val="minor"/>
    </font>
    <font>
      <b/>
      <sz val="11"/>
      <color rgb="FFFFFFFF"/>
      <name val="游ゴシック"/>
      <family val="3"/>
      <charset val="128"/>
      <scheme val="minor"/>
    </font>
    <font>
      <b/>
      <u val="double"/>
      <sz val="11"/>
      <color rgb="FF000000"/>
      <name val="游ゴシック"/>
      <family val="3"/>
      <charset val="128"/>
      <scheme val="minor"/>
    </font>
    <font>
      <b/>
      <u val="double"/>
      <sz val="11"/>
      <name val="游ゴシック"/>
      <family val="3"/>
      <charset val="128"/>
      <scheme val="minor"/>
    </font>
    <font>
      <b/>
      <u val="double"/>
      <sz val="11"/>
      <color rgb="FFFF0000"/>
      <name val="游ゴシック"/>
      <family val="3"/>
      <charset val="128"/>
      <scheme val="minor"/>
    </font>
    <font>
      <b/>
      <sz val="20"/>
      <color theme="0"/>
      <name val="游ゴシック"/>
      <family val="3"/>
      <charset val="128"/>
      <scheme val="minor"/>
    </font>
    <font>
      <b/>
      <sz val="24"/>
      <color theme="0"/>
      <name val="游ゴシック"/>
      <family val="3"/>
      <charset val="128"/>
      <scheme val="minor"/>
    </font>
    <font>
      <b/>
      <sz val="18"/>
      <color theme="0"/>
      <name val="游ゴシック"/>
      <family val="3"/>
      <charset val="128"/>
      <scheme val="minor"/>
    </font>
    <font>
      <b/>
      <u/>
      <sz val="12"/>
      <name val="游ゴシック"/>
      <family val="3"/>
      <charset val="128"/>
    </font>
    <font>
      <b/>
      <u/>
      <sz val="16"/>
      <name val="游ゴシック"/>
      <family val="3"/>
      <charset val="128"/>
    </font>
    <font>
      <b/>
      <u/>
      <sz val="10"/>
      <name val="游ゴシック"/>
      <family val="3"/>
      <charset val="128"/>
      <scheme val="minor"/>
    </font>
    <font>
      <b/>
      <sz val="18"/>
      <color rgb="FF000000"/>
      <name val="游ゴシック"/>
      <family val="3"/>
      <charset val="128"/>
      <scheme val="minor"/>
    </font>
    <font>
      <b/>
      <sz val="11"/>
      <color rgb="FFC00000"/>
      <name val="游ゴシック"/>
      <family val="3"/>
      <charset val="128"/>
    </font>
    <font>
      <b/>
      <sz val="11"/>
      <color rgb="FFC00000"/>
      <name val="游ゴシック"/>
      <family val="3"/>
      <charset val="128"/>
      <scheme val="minor"/>
    </font>
    <font>
      <b/>
      <u/>
      <sz val="11"/>
      <color theme="0"/>
      <name val="游ゴシック"/>
      <family val="3"/>
      <charset val="128"/>
      <scheme val="minor"/>
    </font>
    <font>
      <b/>
      <sz val="9"/>
      <color theme="0"/>
      <name val="游ゴシック"/>
      <family val="3"/>
      <charset val="128"/>
      <scheme val="minor"/>
    </font>
    <font>
      <sz val="9"/>
      <color theme="0"/>
      <name val="游ゴシック"/>
      <family val="3"/>
      <charset val="128"/>
      <scheme val="minor"/>
    </font>
    <font>
      <b/>
      <sz val="14"/>
      <name val="游ゴシック"/>
      <family val="3"/>
      <charset val="128"/>
      <scheme val="minor"/>
    </font>
    <font>
      <sz val="11"/>
      <color theme="4"/>
      <name val="游ゴシック"/>
      <family val="3"/>
      <charset val="128"/>
      <scheme val="minor"/>
    </font>
    <font>
      <b/>
      <u/>
      <sz val="12"/>
      <color theme="4"/>
      <name val="游ゴシック"/>
      <family val="3"/>
      <charset val="128"/>
      <scheme val="minor"/>
    </font>
    <font>
      <b/>
      <u/>
      <sz val="12"/>
      <color theme="4"/>
      <name val="游ゴシック"/>
      <family val="3"/>
      <charset val="128"/>
    </font>
    <font>
      <b/>
      <sz val="11"/>
      <color theme="3"/>
      <name val="游ゴシック"/>
      <family val="3"/>
      <charset val="128"/>
      <scheme val="minor"/>
    </font>
    <font>
      <sz val="11"/>
      <color rgb="FF000000"/>
      <name val="游ゴシック"/>
      <family val="2"/>
      <charset val="128"/>
    </font>
    <font>
      <sz val="11"/>
      <color theme="0"/>
      <name val="游ゴシック"/>
      <family val="3"/>
      <charset val="128"/>
    </font>
    <font>
      <b/>
      <sz val="12"/>
      <name val="游ゴシック"/>
      <family val="3"/>
      <charset val="128"/>
    </font>
    <font>
      <b/>
      <sz val="10"/>
      <name val="游ゴシック"/>
      <family val="3"/>
      <charset val="128"/>
    </font>
    <font>
      <b/>
      <sz val="10"/>
      <name val="游ゴシック"/>
      <family val="3"/>
      <charset val="128"/>
      <scheme val="minor"/>
    </font>
    <font>
      <b/>
      <sz val="12"/>
      <name val="游ゴシック"/>
      <family val="3"/>
      <charset val="128"/>
      <scheme val="minor"/>
    </font>
  </fonts>
  <fills count="17">
    <fill>
      <patternFill patternType="none"/>
    </fill>
    <fill>
      <patternFill patternType="gray125"/>
    </fill>
    <fill>
      <patternFill patternType="solid">
        <fgColor rgb="FFFFFF00"/>
        <bgColor rgb="FFFFFF00"/>
      </patternFill>
    </fill>
    <fill>
      <patternFill patternType="solid">
        <fgColor rgb="FFBDD7EE"/>
        <bgColor rgb="FFCCCCCC"/>
      </patternFill>
    </fill>
    <fill>
      <patternFill patternType="solid">
        <fgColor rgb="FFDEEBF7"/>
        <bgColor rgb="FFF3F3F3"/>
      </patternFill>
    </fill>
    <fill>
      <patternFill patternType="solid">
        <fgColor rgb="FFFFFF00"/>
        <bgColor indexed="64"/>
      </patternFill>
    </fill>
    <fill>
      <patternFill patternType="solid">
        <fgColor theme="4"/>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bgColor rgb="FFFFFF00"/>
      </patternFill>
    </fill>
    <fill>
      <patternFill patternType="solid">
        <fgColor rgb="FFFFFF00"/>
        <bgColor rgb="FFF3F3F3"/>
      </patternFill>
    </fill>
    <fill>
      <patternFill patternType="solid">
        <fgColor theme="9" tint="-0.249977111117893"/>
        <bgColor indexed="64"/>
      </patternFill>
    </fill>
    <fill>
      <patternFill patternType="solid">
        <fgColor theme="9" tint="-0.249977111117893"/>
        <bgColor rgb="FF666699"/>
      </patternFill>
    </fill>
    <fill>
      <patternFill patternType="solid">
        <fgColor rgb="FF00B0F0"/>
        <bgColor indexed="64"/>
      </patternFill>
    </fill>
    <fill>
      <patternFill patternType="solid">
        <fgColor theme="7"/>
        <bgColor indexed="64"/>
      </patternFill>
    </fill>
  </fills>
  <borders count="157">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auto="1"/>
      </left>
      <right/>
      <top/>
      <bottom style="thin">
        <color auto="1"/>
      </bottom>
      <diagonal/>
    </border>
    <border>
      <left/>
      <right/>
      <top/>
      <bottom style="thick">
        <color theme="4" tint="0.79998168889431442"/>
      </bottom>
      <diagonal/>
    </border>
    <border>
      <left/>
      <right/>
      <top style="thick">
        <color theme="4" tint="0.79998168889431442"/>
      </top>
      <bottom style="thick">
        <color theme="4" tint="0.79998168889431442"/>
      </bottom>
      <diagonal/>
    </border>
    <border>
      <left/>
      <right/>
      <top/>
      <bottom style="thick">
        <color theme="3"/>
      </bottom>
      <diagonal/>
    </border>
    <border>
      <left/>
      <right/>
      <top style="thick">
        <color theme="3"/>
      </top>
      <bottom style="thick">
        <color theme="3"/>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theme="1"/>
      </left>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style="thin">
        <color auto="1"/>
      </right>
      <top style="thin">
        <color auto="1"/>
      </top>
      <bottom/>
      <diagonal/>
    </border>
    <border>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style="medium">
        <color theme="1"/>
      </left>
      <right style="thin">
        <color auto="1"/>
      </right>
      <top style="thin">
        <color auto="1"/>
      </top>
      <bottom style="medium">
        <color theme="1"/>
      </bottom>
      <diagonal/>
    </border>
    <border>
      <left style="medium">
        <color indexed="64"/>
      </left>
      <right style="thin">
        <color auto="1"/>
      </right>
      <top style="thin">
        <color auto="1"/>
      </top>
      <bottom style="medium">
        <color theme="1"/>
      </bottom>
      <diagonal/>
    </border>
    <border>
      <left style="medium">
        <color indexed="64"/>
      </left>
      <right/>
      <top/>
      <bottom style="medium">
        <color theme="1"/>
      </bottom>
      <diagonal/>
    </border>
    <border>
      <left style="medium">
        <color theme="1"/>
      </left>
      <right style="thin">
        <color auto="1"/>
      </right>
      <top/>
      <bottom style="thin">
        <color auto="1"/>
      </bottom>
      <diagonal/>
    </border>
    <border>
      <left style="medium">
        <color indexed="64"/>
      </left>
      <right style="thin">
        <color auto="1"/>
      </right>
      <top/>
      <bottom style="thin">
        <color auto="1"/>
      </bottom>
      <diagonal/>
    </border>
    <border>
      <left/>
      <right/>
      <top style="thick">
        <color theme="4" tint="0.79998168889431442"/>
      </top>
      <bottom/>
      <diagonal/>
    </border>
    <border>
      <left style="medium">
        <color theme="4" tint="0.79998168889431442"/>
      </left>
      <right/>
      <top/>
      <bottom/>
      <diagonal/>
    </border>
    <border>
      <left style="thick">
        <color theme="4" tint="0.79998168889431442"/>
      </left>
      <right/>
      <top style="thick">
        <color theme="4" tint="0.79998168889431442"/>
      </top>
      <bottom/>
      <diagonal/>
    </border>
    <border>
      <left/>
      <right style="thick">
        <color theme="4" tint="0.79998168889431442"/>
      </right>
      <top/>
      <bottom/>
      <diagonal/>
    </border>
    <border>
      <left style="thick">
        <color theme="4" tint="0.79998168889431442"/>
      </left>
      <right/>
      <top/>
      <bottom style="thick">
        <color theme="4" tint="0.79998168889431442"/>
      </bottom>
      <diagonal/>
    </border>
    <border>
      <left style="thick">
        <color theme="4" tint="0.79998168889431442"/>
      </left>
      <right/>
      <top/>
      <bottom/>
      <diagonal/>
    </border>
    <border>
      <left style="thick">
        <color theme="4" tint="0.79998168889431442"/>
      </left>
      <right/>
      <top style="thick">
        <color theme="4" tint="0.79998168889431442"/>
      </top>
      <bottom style="thick">
        <color theme="4" tint="0.79998168889431442"/>
      </bottom>
      <diagonal/>
    </border>
    <border>
      <left/>
      <right style="thick">
        <color theme="4" tint="0.79998168889431442"/>
      </right>
      <top/>
      <bottom style="thick">
        <color theme="4" tint="0.79998168889431442"/>
      </bottom>
      <diagonal/>
    </border>
    <border>
      <left/>
      <right style="thick">
        <color theme="4" tint="0.79998168889431442"/>
      </right>
      <top style="thick">
        <color theme="4" tint="0.79998168889431442"/>
      </top>
      <bottom/>
      <diagonal/>
    </border>
    <border>
      <left/>
      <right style="thick">
        <color theme="4" tint="0.79998168889431442"/>
      </right>
      <top style="thick">
        <color theme="4" tint="0.79998168889431442"/>
      </top>
      <bottom style="thick">
        <color theme="4" tint="0.79998168889431442"/>
      </bottom>
      <diagonal/>
    </border>
    <border>
      <left/>
      <right style="thin">
        <color auto="1"/>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
      <left style="thin">
        <color auto="1"/>
      </left>
      <right style="medium">
        <color indexed="64"/>
      </right>
      <top style="thin">
        <color auto="1"/>
      </top>
      <bottom style="thin">
        <color auto="1"/>
      </bottom>
      <diagonal/>
    </border>
    <border>
      <left style="medium">
        <color indexed="64"/>
      </left>
      <right style="thin">
        <color theme="1"/>
      </right>
      <top style="thin">
        <color theme="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medium">
        <color indexed="64"/>
      </bottom>
      <diagonal/>
    </border>
    <border>
      <left/>
      <right/>
      <top style="thick">
        <color theme="3"/>
      </top>
      <bottom style="thick">
        <color theme="4" tint="-0.249977111117893"/>
      </bottom>
      <diagonal/>
    </border>
    <border>
      <left/>
      <right style="thick">
        <color theme="4" tint="0.79998168889431442"/>
      </right>
      <top/>
      <bottom style="thick">
        <color theme="4" tint="-0.249977111117893"/>
      </bottom>
      <diagonal/>
    </border>
    <border>
      <left/>
      <right style="thick">
        <color theme="4" tint="0.79998168889431442"/>
      </right>
      <top style="thick">
        <color theme="4" tint="-0.249977111117893"/>
      </top>
      <bottom style="thick">
        <color theme="4" tint="-0.249977111117893"/>
      </bottom>
      <diagonal/>
    </border>
    <border>
      <left style="medium">
        <color theme="4" tint="-0.249977111117893"/>
      </left>
      <right style="medium">
        <color theme="4" tint="-0.249977111117893"/>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medium">
        <color indexed="64"/>
      </top>
      <bottom/>
      <diagonal/>
    </border>
    <border>
      <left style="thin">
        <color theme="4" tint="-0.249977111117893"/>
      </left>
      <right style="thin">
        <color theme="4" tint="-0.249977111117893"/>
      </right>
      <top/>
      <bottom style="thin">
        <color theme="4" tint="-0.249977111117893"/>
      </bottom>
      <diagonal/>
    </border>
    <border>
      <left style="thin">
        <color theme="4" tint="-0.249977111117893"/>
      </left>
      <right style="medium">
        <color theme="4" tint="-0.249977111117893"/>
      </right>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style="medium">
        <color theme="4" tint="-0.249977111117893"/>
      </right>
      <top style="medium">
        <color theme="1"/>
      </top>
      <bottom/>
      <diagonal/>
    </border>
    <border>
      <left style="medium">
        <color theme="4" tint="-0.249977111117893"/>
      </left>
      <right style="medium">
        <color theme="4" tint="-0.249977111117893"/>
      </right>
      <top style="medium">
        <color theme="1"/>
      </top>
      <bottom style="medium">
        <color theme="4" tint="-0.249977111117893"/>
      </bottom>
      <diagonal/>
    </border>
    <border>
      <left style="medium">
        <color theme="4" tint="-0.249977111117893"/>
      </left>
      <right style="medium">
        <color theme="1"/>
      </right>
      <top style="medium">
        <color theme="4" tint="-0.249977111117893"/>
      </top>
      <bottom style="medium">
        <color theme="1"/>
      </bottom>
      <diagonal/>
    </border>
    <border>
      <left style="medium">
        <color theme="1"/>
      </left>
      <right style="medium">
        <color theme="1"/>
      </right>
      <top style="medium">
        <color theme="4" tint="-0.249977111117893"/>
      </top>
      <bottom style="medium">
        <color theme="1"/>
      </bottom>
      <diagonal/>
    </border>
    <border>
      <left style="medium">
        <color theme="1"/>
      </left>
      <right style="medium">
        <color theme="4" tint="-0.249977111117893"/>
      </right>
      <top style="medium">
        <color theme="4" tint="-0.249977111117893"/>
      </top>
      <bottom style="medium">
        <color theme="1"/>
      </bottom>
      <diagonal/>
    </border>
    <border>
      <left style="medium">
        <color theme="4" tint="-0.249977111117893"/>
      </left>
      <right style="medium">
        <color theme="1"/>
      </right>
      <top style="medium">
        <color theme="1"/>
      </top>
      <bottom/>
      <diagonal/>
    </border>
    <border>
      <left style="medium">
        <color theme="1"/>
      </left>
      <right style="medium">
        <color theme="4" tint="-0.249977111117893"/>
      </right>
      <top/>
      <bottom/>
      <diagonal/>
    </border>
    <border>
      <left style="medium">
        <color theme="4" tint="-0.249977111117893"/>
      </left>
      <right style="medium">
        <color theme="1"/>
      </right>
      <top/>
      <bottom/>
      <diagonal/>
    </border>
    <border>
      <left style="medium">
        <color theme="4" tint="-0.249977111117893"/>
      </left>
      <right style="medium">
        <color theme="1"/>
      </right>
      <top/>
      <bottom style="medium">
        <color theme="4" tint="-0.249977111117893"/>
      </bottom>
      <diagonal/>
    </border>
    <border>
      <left style="medium">
        <color theme="1"/>
      </left>
      <right style="medium">
        <color theme="1"/>
      </right>
      <top/>
      <bottom style="medium">
        <color theme="4" tint="-0.249977111117893"/>
      </bottom>
      <diagonal/>
    </border>
    <border>
      <left/>
      <right style="medium">
        <color theme="1"/>
      </right>
      <top/>
      <bottom style="medium">
        <color theme="4" tint="-0.249977111117893"/>
      </bottom>
      <diagonal/>
    </border>
    <border>
      <left style="medium">
        <color theme="1"/>
      </left>
      <right style="medium">
        <color theme="4" tint="-0.249977111117893"/>
      </right>
      <top/>
      <bottom style="medium">
        <color theme="4"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4" tint="-0.249977111117893"/>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77111117893"/>
      </right>
      <top style="thin">
        <color theme="4" tint="-0.249977111117893"/>
      </top>
      <bottom style="medium">
        <color theme="4" tint="-0.249977111117893"/>
      </bottom>
      <diagonal/>
    </border>
    <border>
      <left style="medium">
        <color theme="1"/>
      </left>
      <right/>
      <top style="medium">
        <color indexed="64"/>
      </top>
      <bottom style="medium">
        <color indexed="64"/>
      </bottom>
      <diagonal/>
    </border>
    <border>
      <left style="medium">
        <color theme="4" tint="0.79998168889431442"/>
      </left>
      <right/>
      <top style="thick">
        <color theme="4" tint="0.79998168889431442"/>
      </top>
      <bottom style="thick">
        <color theme="4" tint="0.79998168889431442"/>
      </bottom>
      <diagonal/>
    </border>
    <border>
      <left style="thin">
        <color theme="1"/>
      </left>
      <right style="thin">
        <color theme="1"/>
      </right>
      <top/>
      <bottom style="medium">
        <color indexed="64"/>
      </bottom>
      <diagonal/>
    </border>
    <border>
      <left style="thin">
        <color theme="1"/>
      </left>
      <right style="medium">
        <color indexed="64"/>
      </right>
      <top style="thin">
        <color theme="1"/>
      </top>
      <bottom style="medium">
        <color indexed="64"/>
      </bottom>
      <diagonal/>
    </border>
    <border>
      <left style="medium">
        <color indexed="64"/>
      </left>
      <right style="thin">
        <color theme="1"/>
      </right>
      <top style="medium">
        <color indexed="64"/>
      </top>
      <bottom/>
      <diagonal/>
    </border>
    <border>
      <left style="thin">
        <color theme="1"/>
      </left>
      <right style="thin">
        <color theme="1"/>
      </right>
      <top style="medium">
        <color indexed="64"/>
      </top>
      <bottom/>
      <diagonal/>
    </border>
    <border>
      <left style="thin">
        <color theme="1"/>
      </left>
      <right style="medium">
        <color indexed="64"/>
      </right>
      <top style="medium">
        <color indexed="64"/>
      </top>
      <bottom/>
      <diagonal/>
    </border>
    <border>
      <left style="medium">
        <color indexed="64"/>
      </left>
      <right style="thin">
        <color theme="1"/>
      </right>
      <top style="medium">
        <color indexed="64"/>
      </top>
      <bottom style="thin">
        <color theme="1"/>
      </bottom>
      <diagonal/>
    </border>
    <border>
      <left style="thin">
        <color theme="1"/>
      </left>
      <right style="thin">
        <color theme="1"/>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medium">
        <color theme="4" tint="-0.249977111117893"/>
      </left>
      <right/>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style="medium">
        <color theme="4" tint="-0.249977111117893"/>
      </left>
      <right/>
      <top style="thin">
        <color theme="4" tint="-0.249977111117893"/>
      </top>
      <bottom style="medium">
        <color theme="4" tint="-0.249977111117893"/>
      </bottom>
      <diagonal/>
    </border>
    <border>
      <left/>
      <right/>
      <top/>
      <bottom style="medium">
        <color theme="4" tint="-0.249977111117893"/>
      </bottom>
      <diagonal/>
    </border>
    <border>
      <left style="medium">
        <color indexed="64"/>
      </left>
      <right style="thin">
        <color theme="4" tint="-0.249977111117893"/>
      </right>
      <top/>
      <bottom style="thin">
        <color theme="4" tint="-0.249977111117893"/>
      </bottom>
      <diagonal/>
    </border>
    <border>
      <left style="thin">
        <color theme="4" tint="-0.249977111117893"/>
      </left>
      <right style="medium">
        <color indexed="64"/>
      </right>
      <top/>
      <bottom style="thin">
        <color theme="4" tint="-0.249977111117893"/>
      </bottom>
      <diagonal/>
    </border>
    <border>
      <left style="medium">
        <color indexed="64"/>
      </left>
      <right style="thin">
        <color theme="4" tint="-0.249977111117893"/>
      </right>
      <top style="thin">
        <color theme="4" tint="-0.249977111117893"/>
      </top>
      <bottom style="thin">
        <color theme="4" tint="-0.249977111117893"/>
      </bottom>
      <diagonal/>
    </border>
    <border>
      <left style="medium">
        <color indexed="64"/>
      </left>
      <right style="thin">
        <color theme="4" tint="-0.249977111117893"/>
      </right>
      <top style="thin">
        <color theme="4" tint="-0.249977111117893"/>
      </top>
      <bottom style="medium">
        <color indexed="64"/>
      </bottom>
      <diagonal/>
    </border>
    <border>
      <left style="thin">
        <color theme="4" tint="-0.249977111117893"/>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right style="medium">
        <color indexed="64"/>
      </right>
      <top/>
      <bottom style="medium">
        <color indexed="64"/>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right style="medium">
        <color theme="1"/>
      </right>
      <top style="medium">
        <color theme="1"/>
      </top>
      <bottom/>
      <diagonal/>
    </border>
    <border>
      <left style="medium">
        <color indexed="64"/>
      </left>
      <right/>
      <top style="thin">
        <color auto="1"/>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theme="1"/>
      </left>
      <right style="thin">
        <color auto="1"/>
      </right>
      <top style="medium">
        <color indexed="64"/>
      </top>
      <bottom style="medium">
        <color indexed="64"/>
      </bottom>
      <diagonal/>
    </border>
    <border>
      <left/>
      <right style="thick">
        <color theme="4"/>
      </right>
      <top/>
      <bottom/>
      <diagonal/>
    </border>
    <border>
      <left style="thick">
        <color theme="4"/>
      </left>
      <right/>
      <top/>
      <bottom/>
      <diagonal/>
    </border>
    <border>
      <left/>
      <right/>
      <top style="medium">
        <color theme="1"/>
      </top>
      <bottom/>
      <diagonal/>
    </border>
    <border>
      <left style="medium">
        <color theme="1"/>
      </left>
      <right style="thin">
        <color auto="1"/>
      </right>
      <top/>
      <bottom style="medium">
        <color theme="1"/>
      </bottom>
      <diagonal/>
    </border>
    <border>
      <left/>
      <right/>
      <top/>
      <bottom style="thick">
        <color theme="4"/>
      </bottom>
      <diagonal/>
    </border>
    <border>
      <left/>
      <right/>
      <top style="thick">
        <color theme="4"/>
      </top>
      <bottom/>
      <diagonal/>
    </border>
    <border>
      <left/>
      <right style="medium">
        <color indexed="64"/>
      </right>
      <top style="medium">
        <color indexed="64"/>
      </top>
      <bottom/>
      <diagonal/>
    </border>
    <border>
      <left/>
      <right style="medium">
        <color theme="1"/>
      </right>
      <top style="medium">
        <color indexed="64"/>
      </top>
      <bottom style="medium">
        <color indexed="64"/>
      </bottom>
      <diagonal/>
    </border>
    <border>
      <left/>
      <right style="thick">
        <color theme="4" tint="0.79998168889431442"/>
      </right>
      <top style="thick">
        <color theme="4"/>
      </top>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medium">
        <color theme="4"/>
      </bottom>
      <diagonal/>
    </border>
    <border>
      <left/>
      <right/>
      <top style="medium">
        <color theme="4"/>
      </top>
      <bottom style="medium">
        <color theme="4"/>
      </bottom>
      <diagonal/>
    </border>
    <border>
      <left style="medium">
        <color theme="1"/>
      </left>
      <right/>
      <top style="medium">
        <color theme="4"/>
      </top>
      <bottom style="medium">
        <color theme="4"/>
      </bottom>
      <diagonal/>
    </border>
    <border>
      <left/>
      <right style="medium">
        <color theme="1"/>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style="medium">
        <color theme="4"/>
      </right>
      <top/>
      <bottom/>
      <diagonal/>
    </border>
    <border>
      <left style="medium">
        <color theme="4"/>
      </left>
      <right style="medium">
        <color theme="4"/>
      </right>
      <top/>
      <bottom style="medium">
        <color theme="4"/>
      </bottom>
      <diagonal/>
    </border>
    <border>
      <left style="medium">
        <color theme="1"/>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style="medium">
        <color indexed="64"/>
      </left>
      <right style="medium">
        <color indexed="64"/>
      </right>
      <top style="medium">
        <color theme="1"/>
      </top>
      <bottom style="medium">
        <color theme="1"/>
      </bottom>
      <diagonal/>
    </border>
    <border>
      <left/>
      <right style="thick">
        <color theme="4" tint="0.79998168889431442"/>
      </right>
      <top style="thick">
        <color theme="4"/>
      </top>
      <bottom style="thick">
        <color theme="4"/>
      </bottom>
      <diagonal/>
    </border>
    <border>
      <left/>
      <right/>
      <top style="thick">
        <color theme="4"/>
      </top>
      <bottom style="thick">
        <color theme="4"/>
      </bottom>
      <diagonal/>
    </border>
    <border>
      <left style="thin">
        <color auto="1"/>
      </left>
      <right/>
      <top/>
      <bottom style="thin">
        <color auto="1"/>
      </bottom>
      <diagonal/>
    </border>
  </borders>
  <cellStyleXfs count="3">
    <xf numFmtId="0" fontId="0" fillId="0" borderId="0">
      <alignment vertical="center"/>
    </xf>
    <xf numFmtId="0" fontId="1" fillId="0" borderId="0" applyBorder="0" applyProtection="0">
      <alignment vertical="center"/>
    </xf>
    <xf numFmtId="6" fontId="48" fillId="0" borderId="0" applyFont="0" applyFill="0" applyBorder="0" applyAlignment="0" applyProtection="0">
      <alignment vertical="center"/>
    </xf>
  </cellStyleXfs>
  <cellXfs count="485">
    <xf numFmtId="0" fontId="0" fillId="0" borderId="0" xfId="0">
      <alignment vertical="center"/>
    </xf>
    <xf numFmtId="0" fontId="2" fillId="0" borderId="5" xfId="0" applyFont="1" applyBorder="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2" fillId="0" borderId="1" xfId="0" applyFont="1" applyBorder="1">
      <alignment vertical="center"/>
    </xf>
    <xf numFmtId="0" fontId="0" fillId="0" borderId="0" xfId="0" applyAlignment="1">
      <alignment vertical="center" wrapText="1"/>
    </xf>
    <xf numFmtId="0" fontId="8" fillId="0" borderId="0" xfId="0" applyFont="1">
      <alignment vertical="center"/>
    </xf>
    <xf numFmtId="0" fontId="0" fillId="6" borderId="0" xfId="0" applyFill="1">
      <alignment vertical="center"/>
    </xf>
    <xf numFmtId="0" fontId="11" fillId="6" borderId="0" xfId="0" applyFont="1" applyFill="1">
      <alignment vertical="center"/>
    </xf>
    <xf numFmtId="0" fontId="13" fillId="0" borderId="0" xfId="1" applyFont="1">
      <alignment vertical="center"/>
    </xf>
    <xf numFmtId="0" fontId="2" fillId="0" borderId="36" xfId="0" applyFont="1" applyBorder="1">
      <alignment vertical="center"/>
    </xf>
    <xf numFmtId="0" fontId="2" fillId="0" borderId="37" xfId="0" applyFont="1" applyBorder="1">
      <alignment vertical="center"/>
    </xf>
    <xf numFmtId="0" fontId="2" fillId="0" borderId="38" xfId="0" applyFont="1" applyBorder="1">
      <alignment vertical="center"/>
    </xf>
    <xf numFmtId="0" fontId="2" fillId="0" borderId="39" xfId="0" applyFont="1" applyBorder="1">
      <alignment vertical="center"/>
    </xf>
    <xf numFmtId="0" fontId="2" fillId="0" borderId="41" xfId="0" applyFont="1" applyBorder="1">
      <alignment vertical="center"/>
    </xf>
    <xf numFmtId="0" fontId="2" fillId="0" borderId="43" xfId="0" applyFont="1" applyBorder="1">
      <alignment vertical="center"/>
    </xf>
    <xf numFmtId="0" fontId="3" fillId="0" borderId="0" xfId="0" applyFont="1">
      <alignment vertical="center"/>
    </xf>
    <xf numFmtId="0" fontId="9" fillId="9" borderId="0" xfId="0" applyFont="1" applyFill="1">
      <alignment vertical="center"/>
    </xf>
    <xf numFmtId="0" fontId="0" fillId="9" borderId="0" xfId="0" applyFill="1">
      <alignment vertical="center"/>
    </xf>
    <xf numFmtId="0" fontId="12" fillId="9" borderId="0" xfId="1" applyFont="1" applyFill="1" applyBorder="1">
      <alignment vertical="center"/>
    </xf>
    <xf numFmtId="49" fontId="9" fillId="9" borderId="0" xfId="0" applyNumberFormat="1" applyFont="1" applyFill="1">
      <alignment vertical="center"/>
    </xf>
    <xf numFmtId="0" fontId="11" fillId="11" borderId="0" xfId="0" applyFont="1" applyFill="1">
      <alignment vertical="center"/>
    </xf>
    <xf numFmtId="185" fontId="2" fillId="0" borderId="35" xfId="0" applyNumberFormat="1" applyFont="1" applyBorder="1" applyAlignment="1">
      <alignment horizontal="right" vertical="center"/>
    </xf>
    <xf numFmtId="185" fontId="2" fillId="0" borderId="34" xfId="0" applyNumberFormat="1" applyFont="1" applyBorder="1" applyAlignment="1">
      <alignment horizontal="right" vertical="center"/>
    </xf>
    <xf numFmtId="185" fontId="2" fillId="0" borderId="44" xfId="0" applyNumberFormat="1" applyFont="1" applyBorder="1" applyAlignment="1">
      <alignment horizontal="right" vertical="center"/>
    </xf>
    <xf numFmtId="0" fontId="2" fillId="0" borderId="35" xfId="0" applyFont="1" applyBorder="1" applyAlignment="1">
      <alignment horizontal="right" vertical="center"/>
    </xf>
    <xf numFmtId="0" fontId="2" fillId="0" borderId="40" xfId="0" applyFont="1" applyBorder="1" applyAlignment="1">
      <alignment horizontal="right" vertical="center"/>
    </xf>
    <xf numFmtId="0" fontId="2" fillId="0" borderId="34" xfId="0" applyFont="1" applyBorder="1" applyAlignment="1">
      <alignment horizontal="right" vertical="center"/>
    </xf>
    <xf numFmtId="0" fontId="2" fillId="0" borderId="42" xfId="0" applyFont="1" applyBorder="1" applyAlignment="1">
      <alignment horizontal="right" vertical="center"/>
    </xf>
    <xf numFmtId="0" fontId="2" fillId="0" borderId="44" xfId="0" applyFont="1" applyBorder="1" applyAlignment="1">
      <alignment horizontal="right" vertical="center"/>
    </xf>
    <xf numFmtId="0" fontId="2" fillId="0" borderId="45" xfId="0" applyFont="1" applyBorder="1" applyAlignment="1">
      <alignment horizontal="right" vertical="center"/>
    </xf>
    <xf numFmtId="0" fontId="15" fillId="6" borderId="0" xfId="0" applyFont="1" applyFill="1">
      <alignment vertical="center"/>
    </xf>
    <xf numFmtId="0" fontId="16" fillId="6" borderId="0" xfId="0" applyFont="1" applyFill="1">
      <alignment vertical="center"/>
    </xf>
    <xf numFmtId="0" fontId="17" fillId="6" borderId="0" xfId="0" applyFont="1" applyFill="1">
      <alignment vertical="center"/>
    </xf>
    <xf numFmtId="0" fontId="18" fillId="6" borderId="0" xfId="0" applyFont="1" applyFill="1">
      <alignment vertical="center"/>
    </xf>
    <xf numFmtId="0" fontId="19" fillId="8" borderId="0" xfId="0" applyFont="1" applyFill="1">
      <alignment vertical="center"/>
    </xf>
    <xf numFmtId="0" fontId="19" fillId="0" borderId="0" xfId="0" applyFont="1">
      <alignment vertical="center"/>
    </xf>
    <xf numFmtId="0" fontId="18" fillId="6" borderId="60" xfId="0" applyFont="1" applyFill="1" applyBorder="1">
      <alignment vertical="center"/>
    </xf>
    <xf numFmtId="0" fontId="21" fillId="6" borderId="60" xfId="0" applyFont="1" applyFill="1" applyBorder="1">
      <alignment vertical="center"/>
    </xf>
    <xf numFmtId="0" fontId="19" fillId="6" borderId="58" xfId="0" applyFont="1" applyFill="1" applyBorder="1">
      <alignment vertical="center"/>
    </xf>
    <xf numFmtId="0" fontId="15" fillId="6" borderId="60" xfId="0" applyFont="1" applyFill="1" applyBorder="1">
      <alignment vertical="center"/>
    </xf>
    <xf numFmtId="0" fontId="17" fillId="6" borderId="58" xfId="0" applyFont="1" applyFill="1" applyBorder="1">
      <alignment vertical="center"/>
    </xf>
    <xf numFmtId="0" fontId="17" fillId="6" borderId="20" xfId="0" applyFont="1" applyFill="1" applyBorder="1">
      <alignment vertical="center"/>
    </xf>
    <xf numFmtId="187" fontId="18" fillId="6" borderId="0" xfId="0" applyNumberFormat="1" applyFont="1" applyFill="1">
      <alignment vertical="center"/>
    </xf>
    <xf numFmtId="0" fontId="18" fillId="6" borderId="58" xfId="0" applyFont="1" applyFill="1" applyBorder="1">
      <alignment vertical="center"/>
    </xf>
    <xf numFmtId="0" fontId="19" fillId="6" borderId="0" xfId="0" applyFont="1" applyFill="1">
      <alignment vertical="center"/>
    </xf>
    <xf numFmtId="0" fontId="17" fillId="6" borderId="60" xfId="0" applyFont="1" applyFill="1" applyBorder="1">
      <alignment vertical="center"/>
    </xf>
    <xf numFmtId="0" fontId="19" fillId="6" borderId="60" xfId="0" applyFont="1" applyFill="1" applyBorder="1">
      <alignment vertical="center"/>
    </xf>
    <xf numFmtId="0" fontId="18" fillId="6" borderId="0" xfId="0" applyFont="1" applyFill="1" applyAlignment="1">
      <alignment horizontal="right" vertical="center"/>
    </xf>
    <xf numFmtId="0" fontId="18" fillId="6" borderId="59" xfId="0" applyFont="1" applyFill="1" applyBorder="1">
      <alignment vertical="center"/>
    </xf>
    <xf numFmtId="0" fontId="18" fillId="6" borderId="20" xfId="0" applyFont="1" applyFill="1" applyBorder="1">
      <alignment vertical="center"/>
    </xf>
    <xf numFmtId="0" fontId="22" fillId="6" borderId="20" xfId="0" applyFont="1" applyFill="1" applyBorder="1">
      <alignment vertical="center"/>
    </xf>
    <xf numFmtId="0" fontId="18" fillId="6" borderId="62" xfId="0" applyFont="1" applyFill="1" applyBorder="1">
      <alignment vertical="center"/>
    </xf>
    <xf numFmtId="0" fontId="23" fillId="6" borderId="0" xfId="0" applyFont="1" applyFill="1">
      <alignment vertical="center"/>
    </xf>
    <xf numFmtId="0" fontId="17" fillId="6" borderId="57" xfId="0" applyFont="1" applyFill="1" applyBorder="1">
      <alignment vertical="center"/>
    </xf>
    <xf numFmtId="0" fontId="19" fillId="6" borderId="20" xfId="0" applyFont="1" applyFill="1" applyBorder="1">
      <alignment vertical="center"/>
    </xf>
    <xf numFmtId="0" fontId="17" fillId="6" borderId="61" xfId="0" applyFont="1" applyFill="1" applyBorder="1">
      <alignment vertical="center"/>
    </xf>
    <xf numFmtId="0" fontId="18" fillId="6" borderId="21" xfId="0" applyFont="1" applyFill="1" applyBorder="1">
      <alignment vertical="center"/>
    </xf>
    <xf numFmtId="0" fontId="22" fillId="6" borderId="21" xfId="0" applyFont="1" applyFill="1" applyBorder="1">
      <alignment vertical="center"/>
    </xf>
    <xf numFmtId="0" fontId="20" fillId="6" borderId="0" xfId="0" applyFont="1" applyFill="1">
      <alignment vertical="center"/>
    </xf>
    <xf numFmtId="0" fontId="19" fillId="6" borderId="62" xfId="0" applyFont="1" applyFill="1" applyBorder="1">
      <alignment vertical="center"/>
    </xf>
    <xf numFmtId="0" fontId="17" fillId="6" borderId="21" xfId="0" applyFont="1" applyFill="1" applyBorder="1">
      <alignment vertical="center"/>
    </xf>
    <xf numFmtId="0" fontId="18" fillId="6" borderId="63" xfId="0" applyFont="1" applyFill="1" applyBorder="1">
      <alignment vertical="center"/>
    </xf>
    <xf numFmtId="0" fontId="19" fillId="6" borderId="63" xfId="0" applyFont="1" applyFill="1" applyBorder="1">
      <alignment vertical="center"/>
    </xf>
    <xf numFmtId="0" fontId="25" fillId="8" borderId="22" xfId="1" applyFont="1" applyFill="1" applyBorder="1">
      <alignment vertical="center"/>
    </xf>
    <xf numFmtId="0" fontId="23" fillId="8" borderId="0" xfId="0" applyFont="1" applyFill="1">
      <alignment vertical="center"/>
    </xf>
    <xf numFmtId="0" fontId="18" fillId="6" borderId="57" xfId="0" applyFont="1" applyFill="1" applyBorder="1">
      <alignment vertical="center"/>
    </xf>
    <xf numFmtId="0" fontId="18" fillId="6" borderId="21" xfId="0" applyFont="1" applyFill="1" applyBorder="1" applyAlignment="1">
      <alignment horizontal="right" vertical="center"/>
    </xf>
    <xf numFmtId="0" fontId="19" fillId="6" borderId="57" xfId="0" applyFont="1" applyFill="1" applyBorder="1">
      <alignment vertical="center"/>
    </xf>
    <xf numFmtId="0" fontId="19" fillId="6" borderId="55" xfId="0" applyFont="1" applyFill="1" applyBorder="1">
      <alignment vertical="center"/>
    </xf>
    <xf numFmtId="0" fontId="21" fillId="6" borderId="63" xfId="0" applyFont="1" applyFill="1" applyBorder="1">
      <alignment vertical="center"/>
    </xf>
    <xf numFmtId="0" fontId="21" fillId="6" borderId="58" xfId="0" applyFont="1" applyFill="1" applyBorder="1">
      <alignment vertical="center"/>
    </xf>
    <xf numFmtId="0" fontId="22" fillId="6" borderId="20" xfId="0" applyFont="1" applyFill="1" applyBorder="1" applyAlignment="1">
      <alignment horizontal="right" vertical="center"/>
    </xf>
    <xf numFmtId="0" fontId="22" fillId="6" borderId="62" xfId="0" applyFont="1" applyFill="1" applyBorder="1" applyAlignment="1">
      <alignment horizontal="left" vertical="center"/>
    </xf>
    <xf numFmtId="0" fontId="17" fillId="6" borderId="55" xfId="0" applyFont="1" applyFill="1" applyBorder="1">
      <alignment vertical="center"/>
    </xf>
    <xf numFmtId="0" fontId="19" fillId="6" borderId="64" xfId="0" applyFont="1" applyFill="1" applyBorder="1">
      <alignment vertical="center"/>
    </xf>
    <xf numFmtId="0" fontId="17" fillId="8" borderId="0" xfId="0" applyFont="1" applyFill="1">
      <alignment vertical="center"/>
    </xf>
    <xf numFmtId="0" fontId="21" fillId="8" borderId="32" xfId="0" applyFont="1" applyFill="1" applyBorder="1" applyAlignment="1">
      <alignment horizontal="right" vertical="center"/>
    </xf>
    <xf numFmtId="184" fontId="21" fillId="8" borderId="32" xfId="0" applyNumberFormat="1" applyFont="1" applyFill="1" applyBorder="1">
      <alignment vertical="center"/>
    </xf>
    <xf numFmtId="181" fontId="21" fillId="8" borderId="32" xfId="0" applyNumberFormat="1" applyFont="1" applyFill="1" applyBorder="1" applyAlignment="1">
      <alignment horizontal="right" vertical="center"/>
    </xf>
    <xf numFmtId="0" fontId="21" fillId="8" borderId="0" xfId="0" applyFont="1" applyFill="1">
      <alignment vertical="center"/>
    </xf>
    <xf numFmtId="0" fontId="21" fillId="8" borderId="24" xfId="0" applyFont="1" applyFill="1" applyBorder="1">
      <alignment vertical="center"/>
    </xf>
    <xf numFmtId="0" fontId="21" fillId="8" borderId="25" xfId="0" applyFont="1" applyFill="1" applyBorder="1">
      <alignment vertical="center"/>
    </xf>
    <xf numFmtId="0" fontId="21" fillId="8" borderId="30" xfId="0" applyFont="1" applyFill="1" applyBorder="1">
      <alignment vertical="center"/>
    </xf>
    <xf numFmtId="0" fontId="21" fillId="8" borderId="26" xfId="0" applyFont="1" applyFill="1" applyBorder="1">
      <alignment vertical="center"/>
    </xf>
    <xf numFmtId="0" fontId="21" fillId="8" borderId="27" xfId="0" applyFont="1" applyFill="1" applyBorder="1">
      <alignment vertical="center"/>
    </xf>
    <xf numFmtId="0" fontId="21" fillId="8" borderId="33" xfId="0" applyFont="1" applyFill="1" applyBorder="1">
      <alignment vertical="center"/>
    </xf>
    <xf numFmtId="177" fontId="21" fillId="8" borderId="0" xfId="0" applyNumberFormat="1" applyFont="1" applyFill="1">
      <alignment vertical="center"/>
    </xf>
    <xf numFmtId="0" fontId="22" fillId="6" borderId="0" xfId="0" applyFont="1" applyFill="1">
      <alignment vertical="center"/>
    </xf>
    <xf numFmtId="14" fontId="22" fillId="6" borderId="0" xfId="0" applyNumberFormat="1" applyFont="1" applyFill="1" applyAlignment="1">
      <alignment horizontal="left" vertical="center"/>
    </xf>
    <xf numFmtId="0" fontId="21" fillId="0" borderId="0" xfId="0" applyFont="1">
      <alignment vertical="center"/>
    </xf>
    <xf numFmtId="0" fontId="21" fillId="0" borderId="0" xfId="0" applyFont="1" applyAlignment="1">
      <alignment horizontal="left" vertical="center"/>
    </xf>
    <xf numFmtId="0" fontId="26" fillId="0" borderId="0" xfId="0" applyFont="1">
      <alignment vertical="center"/>
    </xf>
    <xf numFmtId="0" fontId="21" fillId="4" borderId="1" xfId="0" applyFont="1" applyFill="1" applyBorder="1">
      <alignment vertical="center"/>
    </xf>
    <xf numFmtId="38" fontId="19" fillId="0" borderId="4" xfId="0" applyNumberFormat="1" applyFont="1" applyBorder="1">
      <alignment vertical="center"/>
    </xf>
    <xf numFmtId="0" fontId="19" fillId="0" borderId="19" xfId="0" applyFont="1" applyBorder="1">
      <alignment vertical="center"/>
    </xf>
    <xf numFmtId="38" fontId="21" fillId="4" borderId="1" xfId="0" applyNumberFormat="1" applyFont="1" applyFill="1" applyBorder="1">
      <alignment vertical="center"/>
    </xf>
    <xf numFmtId="0" fontId="21" fillId="0" borderId="5" xfId="0" applyFont="1" applyBorder="1">
      <alignment vertical="center"/>
    </xf>
    <xf numFmtId="0" fontId="21" fillId="0" borderId="0" xfId="0" applyFont="1" applyAlignment="1">
      <alignment horizontal="right" vertical="center"/>
    </xf>
    <xf numFmtId="0" fontId="21" fillId="0" borderId="1" xfId="0" applyFont="1" applyBorder="1">
      <alignment vertical="center"/>
    </xf>
    <xf numFmtId="38" fontId="21" fillId="0" borderId="1" xfId="0" applyNumberFormat="1" applyFont="1" applyBorder="1">
      <alignment vertical="center"/>
    </xf>
    <xf numFmtId="0" fontId="19" fillId="0" borderId="2" xfId="0" applyFont="1" applyBorder="1" applyAlignment="1">
      <alignment horizontal="right" vertical="center"/>
    </xf>
    <xf numFmtId="0" fontId="19" fillId="0" borderId="0" xfId="0" applyFont="1" applyAlignment="1">
      <alignment horizontal="right" vertical="center"/>
    </xf>
    <xf numFmtId="0" fontId="19" fillId="0" borderId="0" xfId="0" applyFont="1" applyAlignment="1">
      <alignment horizontal="left" vertical="center"/>
    </xf>
    <xf numFmtId="0" fontId="19" fillId="0" borderId="0" xfId="0" applyFont="1" applyAlignment="1">
      <alignment horizontal="center" vertical="center"/>
    </xf>
    <xf numFmtId="179" fontId="19" fillId="0" borderId="0" xfId="0" applyNumberFormat="1" applyFont="1">
      <alignment vertical="center"/>
    </xf>
    <xf numFmtId="0" fontId="28" fillId="0" borderId="0" xfId="0" applyFont="1">
      <alignment vertical="center"/>
    </xf>
    <xf numFmtId="0" fontId="21" fillId="0" borderId="48" xfId="0" applyFont="1" applyBorder="1">
      <alignment vertical="center"/>
    </xf>
    <xf numFmtId="0" fontId="21" fillId="0" borderId="53" xfId="0" applyFont="1" applyBorder="1">
      <alignment vertical="center"/>
    </xf>
    <xf numFmtId="0" fontId="21" fillId="0" borderId="54" xfId="0" applyFont="1" applyBorder="1">
      <alignment vertical="center"/>
    </xf>
    <xf numFmtId="0" fontId="21" fillId="0" borderId="19" xfId="0" applyFont="1" applyBorder="1">
      <alignment vertical="center"/>
    </xf>
    <xf numFmtId="0" fontId="21" fillId="0" borderId="31" xfId="0" applyFont="1" applyBorder="1">
      <alignment vertical="center"/>
    </xf>
    <xf numFmtId="0" fontId="21" fillId="0" borderId="50" xfId="0" applyFont="1" applyBorder="1">
      <alignment vertical="center"/>
    </xf>
    <xf numFmtId="0" fontId="21" fillId="0" borderId="51" xfId="0" applyFont="1" applyBorder="1">
      <alignment vertical="center"/>
    </xf>
    <xf numFmtId="0" fontId="21" fillId="0" borderId="52" xfId="0" applyFont="1" applyBorder="1">
      <alignment vertical="center"/>
    </xf>
    <xf numFmtId="0" fontId="15" fillId="6" borderId="48" xfId="0" applyFont="1" applyFill="1" applyBorder="1">
      <alignment vertical="center"/>
    </xf>
    <xf numFmtId="0" fontId="29" fillId="5" borderId="7" xfId="0" applyFont="1" applyFill="1" applyBorder="1">
      <alignment vertical="center"/>
    </xf>
    <xf numFmtId="0" fontId="21" fillId="0" borderId="8" xfId="0" applyFont="1" applyBorder="1">
      <alignment vertical="center"/>
    </xf>
    <xf numFmtId="6" fontId="21" fillId="0" borderId="1" xfId="0" applyNumberFormat="1" applyFont="1" applyBorder="1">
      <alignment vertical="center"/>
    </xf>
    <xf numFmtId="14" fontId="18" fillId="6" borderId="0" xfId="0" applyNumberFormat="1" applyFont="1" applyFill="1">
      <alignment vertical="center"/>
    </xf>
    <xf numFmtId="6" fontId="21" fillId="0" borderId="9" xfId="0" applyNumberFormat="1" applyFont="1" applyBorder="1">
      <alignment vertical="center"/>
    </xf>
    <xf numFmtId="6" fontId="23" fillId="0" borderId="25" xfId="0" applyNumberFormat="1" applyFont="1" applyBorder="1">
      <alignment vertical="center"/>
    </xf>
    <xf numFmtId="6" fontId="23" fillId="0" borderId="9" xfId="0" applyNumberFormat="1" applyFont="1" applyBorder="1">
      <alignment vertical="center"/>
    </xf>
    <xf numFmtId="6" fontId="21" fillId="0" borderId="10" xfId="0" applyNumberFormat="1" applyFont="1" applyBorder="1">
      <alignment vertical="center"/>
    </xf>
    <xf numFmtId="6" fontId="23" fillId="0" borderId="26" xfId="0" applyNumberFormat="1" applyFont="1" applyBorder="1">
      <alignment vertical="center"/>
    </xf>
    <xf numFmtId="6" fontId="23" fillId="0" borderId="10" xfId="0" applyNumberFormat="1" applyFont="1" applyBorder="1">
      <alignment vertical="center"/>
    </xf>
    <xf numFmtId="6" fontId="26" fillId="0" borderId="1" xfId="0" applyNumberFormat="1" applyFont="1" applyBorder="1">
      <alignment vertical="center"/>
    </xf>
    <xf numFmtId="6" fontId="28" fillId="5" borderId="1" xfId="0" applyNumberFormat="1" applyFont="1" applyFill="1" applyBorder="1">
      <alignment vertical="center"/>
    </xf>
    <xf numFmtId="6" fontId="21" fillId="0" borderId="11" xfId="0" applyNumberFormat="1" applyFont="1" applyBorder="1">
      <alignment vertical="center"/>
    </xf>
    <xf numFmtId="6" fontId="23" fillId="0" borderId="27" xfId="0" applyNumberFormat="1" applyFont="1" applyBorder="1">
      <alignment vertical="center"/>
    </xf>
    <xf numFmtId="6" fontId="23" fillId="0" borderId="11" xfId="0" applyNumberFormat="1" applyFont="1" applyBorder="1">
      <alignment vertical="center"/>
    </xf>
    <xf numFmtId="6" fontId="21" fillId="0" borderId="0" xfId="0" applyNumberFormat="1" applyFont="1">
      <alignment vertical="center"/>
    </xf>
    <xf numFmtId="14" fontId="21" fillId="0" borderId="0" xfId="0" applyNumberFormat="1" applyFont="1">
      <alignment vertical="center"/>
    </xf>
    <xf numFmtId="6" fontId="23" fillId="0" borderId="0" xfId="0" applyNumberFormat="1" applyFont="1">
      <alignment vertical="center"/>
    </xf>
    <xf numFmtId="14" fontId="21" fillId="0" borderId="9" xfId="0" applyNumberFormat="1" applyFont="1" applyBorder="1">
      <alignment vertical="center"/>
    </xf>
    <xf numFmtId="6" fontId="21" fillId="0" borderId="16" xfId="0" applyNumberFormat="1" applyFont="1" applyBorder="1">
      <alignment vertical="center"/>
    </xf>
    <xf numFmtId="6" fontId="19" fillId="0" borderId="29" xfId="0" applyNumberFormat="1" applyFont="1" applyBorder="1">
      <alignment vertical="center"/>
    </xf>
    <xf numFmtId="6" fontId="19" fillId="0" borderId="0" xfId="0" applyNumberFormat="1" applyFont="1">
      <alignment vertical="center"/>
    </xf>
    <xf numFmtId="14" fontId="21" fillId="0" borderId="10" xfId="0" applyNumberFormat="1" applyFont="1" applyBorder="1">
      <alignment vertical="center"/>
    </xf>
    <xf numFmtId="6" fontId="21" fillId="0" borderId="17" xfId="0" applyNumberFormat="1" applyFont="1" applyBorder="1">
      <alignment vertical="center"/>
    </xf>
    <xf numFmtId="14" fontId="21" fillId="0" borderId="11" xfId="0" applyNumberFormat="1" applyFont="1" applyBorder="1">
      <alignment vertical="center"/>
    </xf>
    <xf numFmtId="6" fontId="21" fillId="0" borderId="18" xfId="0" applyNumberFormat="1" applyFont="1" applyBorder="1">
      <alignment vertical="center"/>
    </xf>
    <xf numFmtId="0" fontId="21" fillId="0" borderId="16" xfId="0" applyFont="1" applyBorder="1">
      <alignment vertical="center"/>
    </xf>
    <xf numFmtId="0" fontId="19" fillId="0" borderId="29" xfId="0" applyFont="1" applyBorder="1">
      <alignment vertical="center"/>
    </xf>
    <xf numFmtId="0" fontId="21" fillId="0" borderId="17" xfId="0" applyFont="1" applyBorder="1">
      <alignment vertical="center"/>
    </xf>
    <xf numFmtId="0" fontId="21" fillId="0" borderId="18" xfId="0" applyFont="1" applyBorder="1">
      <alignment vertical="center"/>
    </xf>
    <xf numFmtId="0" fontId="19" fillId="0" borderId="48" xfId="0" applyFont="1" applyBorder="1">
      <alignment vertical="center"/>
    </xf>
    <xf numFmtId="0" fontId="19" fillId="0" borderId="49" xfId="0" applyFont="1" applyBorder="1">
      <alignment vertical="center"/>
    </xf>
    <xf numFmtId="14" fontId="21" fillId="0" borderId="16" xfId="0" applyNumberFormat="1" applyFont="1" applyBorder="1">
      <alignment vertical="center"/>
    </xf>
    <xf numFmtId="14" fontId="21" fillId="0" borderId="17" xfId="0" applyNumberFormat="1" applyFont="1" applyBorder="1">
      <alignment vertical="center"/>
    </xf>
    <xf numFmtId="14" fontId="21" fillId="0" borderId="18" xfId="0" applyNumberFormat="1" applyFont="1" applyBorder="1">
      <alignment vertical="center"/>
    </xf>
    <xf numFmtId="0" fontId="31" fillId="6" borderId="60" xfId="0" applyFont="1" applyFill="1" applyBorder="1">
      <alignment vertical="center"/>
    </xf>
    <xf numFmtId="0" fontId="31" fillId="6" borderId="0" xfId="0" applyFont="1" applyFill="1">
      <alignment vertical="center"/>
    </xf>
    <xf numFmtId="0" fontId="32" fillId="6" borderId="0" xfId="0" applyFont="1" applyFill="1">
      <alignment vertical="center"/>
    </xf>
    <xf numFmtId="0" fontId="31" fillId="6" borderId="56" xfId="0" applyFont="1" applyFill="1" applyBorder="1" applyAlignment="1">
      <alignment horizontal="right" vertical="center"/>
    </xf>
    <xf numFmtId="0" fontId="31" fillId="6" borderId="0" xfId="0" applyFont="1" applyFill="1" applyAlignment="1">
      <alignment horizontal="left" vertical="center"/>
    </xf>
    <xf numFmtId="0" fontId="33" fillId="6" borderId="0" xfId="0" applyFont="1" applyFill="1">
      <alignment vertical="center"/>
    </xf>
    <xf numFmtId="6" fontId="21" fillId="7" borderId="1" xfId="0" applyNumberFormat="1" applyFont="1" applyFill="1" applyBorder="1">
      <alignment vertical="center"/>
    </xf>
    <xf numFmtId="0" fontId="10" fillId="0" borderId="15" xfId="0" applyFont="1" applyBorder="1">
      <alignment vertical="center"/>
    </xf>
    <xf numFmtId="0" fontId="10" fillId="0" borderId="8" xfId="0" applyFont="1" applyBorder="1">
      <alignment vertical="center"/>
    </xf>
    <xf numFmtId="0" fontId="10" fillId="0" borderId="65" xfId="0" applyFont="1" applyBorder="1">
      <alignment vertical="center"/>
    </xf>
    <xf numFmtId="0" fontId="10" fillId="0" borderId="0" xfId="0" applyFont="1">
      <alignment vertical="center"/>
    </xf>
    <xf numFmtId="0" fontId="2" fillId="0" borderId="66" xfId="0" applyFont="1" applyBorder="1">
      <alignment vertical="center"/>
    </xf>
    <xf numFmtId="0" fontId="2" fillId="0" borderId="69" xfId="0" applyFont="1" applyBorder="1">
      <alignment vertical="center"/>
    </xf>
    <xf numFmtId="180" fontId="21" fillId="8" borderId="72" xfId="0" applyNumberFormat="1" applyFont="1" applyFill="1" applyBorder="1">
      <alignment vertical="center"/>
    </xf>
    <xf numFmtId="0" fontId="23" fillId="8" borderId="78" xfId="0" applyFont="1" applyFill="1" applyBorder="1">
      <alignment vertical="center"/>
    </xf>
    <xf numFmtId="177" fontId="21" fillId="8" borderId="76" xfId="0" applyNumberFormat="1" applyFont="1" applyFill="1" applyBorder="1">
      <alignment vertical="center"/>
    </xf>
    <xf numFmtId="177" fontId="21" fillId="8" borderId="84" xfId="0" applyNumberFormat="1" applyFont="1" applyFill="1" applyBorder="1">
      <alignment vertical="center"/>
    </xf>
    <xf numFmtId="177" fontId="21" fillId="8" borderId="85" xfId="0" applyNumberFormat="1" applyFont="1" applyFill="1" applyBorder="1">
      <alignment vertical="center"/>
    </xf>
    <xf numFmtId="0" fontId="12" fillId="6" borderId="20" xfId="1" applyFont="1" applyFill="1" applyBorder="1">
      <alignment vertical="center"/>
    </xf>
    <xf numFmtId="0" fontId="21" fillId="8" borderId="87" xfId="0" applyFont="1" applyFill="1" applyBorder="1">
      <alignment vertical="center"/>
    </xf>
    <xf numFmtId="0" fontId="21" fillId="8" borderId="88" xfId="0" applyFont="1" applyFill="1" applyBorder="1">
      <alignment vertical="center"/>
    </xf>
    <xf numFmtId="0" fontId="21" fillId="8" borderId="90" xfId="0" applyFont="1" applyFill="1" applyBorder="1">
      <alignment vertical="center"/>
    </xf>
    <xf numFmtId="0" fontId="21" fillId="8" borderId="93" xfId="0" applyFont="1" applyFill="1" applyBorder="1">
      <alignment vertical="center"/>
    </xf>
    <xf numFmtId="0" fontId="21" fillId="8" borderId="94" xfId="0" applyFont="1" applyFill="1" applyBorder="1">
      <alignment vertical="center"/>
    </xf>
    <xf numFmtId="0" fontId="21" fillId="8" borderId="95" xfId="0" applyFont="1" applyFill="1" applyBorder="1">
      <alignment vertical="center"/>
    </xf>
    <xf numFmtId="181" fontId="24" fillId="6" borderId="56" xfId="0" applyNumberFormat="1" applyFont="1" applyFill="1" applyBorder="1" applyAlignment="1">
      <alignment horizontal="right" vertical="center"/>
    </xf>
    <xf numFmtId="0" fontId="25" fillId="8" borderId="0" xfId="1" applyFont="1" applyFill="1" applyBorder="1">
      <alignment vertical="center"/>
    </xf>
    <xf numFmtId="0" fontId="33" fillId="6" borderId="96" xfId="0" applyFont="1" applyFill="1" applyBorder="1">
      <alignment vertical="center"/>
    </xf>
    <xf numFmtId="0" fontId="19" fillId="6" borderId="97" xfId="0" applyFont="1" applyFill="1" applyBorder="1">
      <alignment vertical="center"/>
    </xf>
    <xf numFmtId="0" fontId="18" fillId="6" borderId="97" xfId="0" applyFont="1" applyFill="1" applyBorder="1">
      <alignment vertical="center"/>
    </xf>
    <xf numFmtId="0" fontId="19" fillId="6" borderId="4" xfId="0" applyFont="1" applyFill="1" applyBorder="1">
      <alignment vertical="center"/>
    </xf>
    <xf numFmtId="0" fontId="21" fillId="8" borderId="1" xfId="0" applyFont="1" applyFill="1" applyBorder="1" applyAlignment="1">
      <alignment horizontal="right" vertical="center"/>
    </xf>
    <xf numFmtId="0" fontId="19" fillId="8" borderId="68" xfId="0" applyFont="1" applyFill="1" applyBorder="1">
      <alignment vertical="center"/>
    </xf>
    <xf numFmtId="0" fontId="19" fillId="8" borderId="71" xfId="0" applyFont="1" applyFill="1" applyBorder="1">
      <alignment vertical="center"/>
    </xf>
    <xf numFmtId="0" fontId="18" fillId="6" borderId="0" xfId="0" applyFont="1" applyFill="1" applyAlignment="1">
      <alignment horizontal="left" vertical="center"/>
    </xf>
    <xf numFmtId="0" fontId="15" fillId="6" borderId="96" xfId="0" applyFont="1" applyFill="1" applyBorder="1">
      <alignment vertical="center"/>
    </xf>
    <xf numFmtId="0" fontId="17" fillId="6" borderId="97" xfId="0" applyFont="1" applyFill="1" applyBorder="1">
      <alignment vertical="center"/>
    </xf>
    <xf numFmtId="0" fontId="18" fillId="10" borderId="97" xfId="0" applyFont="1" applyFill="1" applyBorder="1">
      <alignment vertical="center"/>
    </xf>
    <xf numFmtId="0" fontId="17" fillId="10" borderId="97" xfId="0" applyFont="1" applyFill="1" applyBorder="1">
      <alignment vertical="center"/>
    </xf>
    <xf numFmtId="0" fontId="18" fillId="10" borderId="101" xfId="0" applyFont="1" applyFill="1" applyBorder="1">
      <alignment vertical="center"/>
    </xf>
    <xf numFmtId="0" fontId="25" fillId="10" borderId="97" xfId="0" applyFont="1" applyFill="1" applyBorder="1">
      <alignment vertical="center"/>
    </xf>
    <xf numFmtId="0" fontId="19" fillId="10" borderId="97" xfId="0" applyFont="1" applyFill="1" applyBorder="1">
      <alignment vertical="center"/>
    </xf>
    <xf numFmtId="0" fontId="17" fillId="6" borderId="4" xfId="0" applyFont="1" applyFill="1" applyBorder="1">
      <alignment vertical="center"/>
    </xf>
    <xf numFmtId="0" fontId="21" fillId="7" borderId="1" xfId="0" applyFont="1" applyFill="1" applyBorder="1">
      <alignment vertical="center"/>
    </xf>
    <xf numFmtId="0" fontId="19" fillId="6" borderId="96" xfId="0" applyFont="1" applyFill="1" applyBorder="1">
      <alignment vertical="center"/>
    </xf>
    <xf numFmtId="0" fontId="19" fillId="6" borderId="21" xfId="0" applyFont="1" applyFill="1" applyBorder="1">
      <alignment vertical="center"/>
    </xf>
    <xf numFmtId="0" fontId="21" fillId="6" borderId="20" xfId="0" applyFont="1" applyFill="1" applyBorder="1">
      <alignment vertical="center"/>
    </xf>
    <xf numFmtId="0" fontId="20" fillId="6" borderId="62" xfId="0" applyFont="1" applyFill="1" applyBorder="1">
      <alignment vertical="center"/>
    </xf>
    <xf numFmtId="0" fontId="24" fillId="6" borderId="20" xfId="0" applyFont="1" applyFill="1" applyBorder="1">
      <alignment vertical="center"/>
    </xf>
    <xf numFmtId="0" fontId="20" fillId="6" borderId="55" xfId="0" applyFont="1" applyFill="1" applyBorder="1">
      <alignment vertical="center"/>
    </xf>
    <xf numFmtId="186" fontId="24" fillId="6" borderId="20" xfId="0" applyNumberFormat="1" applyFont="1" applyFill="1" applyBorder="1" applyAlignment="1">
      <alignment horizontal="left" vertical="center"/>
    </xf>
    <xf numFmtId="0" fontId="24" fillId="6" borderId="21" xfId="0" applyFont="1" applyFill="1" applyBorder="1" applyAlignment="1">
      <alignment horizontal="right" vertical="center"/>
    </xf>
    <xf numFmtId="188" fontId="24" fillId="6" borderId="20" xfId="0" applyNumberFormat="1" applyFont="1" applyFill="1" applyBorder="1" applyAlignment="1">
      <alignment horizontal="left" vertical="center"/>
    </xf>
    <xf numFmtId="183" fontId="24" fillId="6" borderId="102" xfId="0" applyNumberFormat="1" applyFont="1" applyFill="1" applyBorder="1" applyAlignment="1">
      <alignment horizontal="right" vertical="center"/>
    </xf>
    <xf numFmtId="6" fontId="23" fillId="0" borderId="28" xfId="0" applyNumberFormat="1" applyFont="1" applyBorder="1">
      <alignment vertical="center"/>
    </xf>
    <xf numFmtId="6" fontId="23" fillId="0" borderId="29" xfId="0" applyNumberFormat="1" applyFont="1" applyBorder="1">
      <alignment vertical="center"/>
    </xf>
    <xf numFmtId="6" fontId="23" fillId="0" borderId="31" xfId="0" applyNumberFormat="1" applyFont="1" applyBorder="1">
      <alignment vertical="center"/>
    </xf>
    <xf numFmtId="0" fontId="21" fillId="8" borderId="1" xfId="0" applyFont="1" applyFill="1" applyBorder="1" applyAlignment="1">
      <alignment horizontal="left" vertical="center"/>
    </xf>
    <xf numFmtId="185" fontId="2" fillId="0" borderId="67" xfId="0" applyNumberFormat="1" applyFont="1" applyBorder="1" applyAlignment="1">
      <alignment horizontal="right" vertical="center"/>
    </xf>
    <xf numFmtId="185" fontId="2" fillId="0" borderId="103" xfId="0" applyNumberFormat="1" applyFont="1" applyBorder="1" applyAlignment="1">
      <alignment horizontal="right" vertical="center"/>
    </xf>
    <xf numFmtId="185" fontId="2" fillId="0" borderId="104" xfId="0" applyNumberFormat="1" applyFont="1" applyBorder="1" applyAlignment="1">
      <alignment horizontal="right" vertical="center"/>
    </xf>
    <xf numFmtId="0" fontId="2" fillId="0" borderId="105" xfId="0" applyFont="1" applyBorder="1">
      <alignment vertical="center"/>
    </xf>
    <xf numFmtId="0" fontId="2" fillId="0" borderId="106" xfId="0" applyFont="1" applyBorder="1">
      <alignment vertical="center"/>
    </xf>
    <xf numFmtId="0" fontId="2" fillId="0" borderId="107" xfId="0" applyFont="1" applyBorder="1">
      <alignment vertical="center"/>
    </xf>
    <xf numFmtId="0" fontId="2" fillId="0" borderId="108" xfId="0" applyFont="1" applyBorder="1">
      <alignment vertical="center"/>
    </xf>
    <xf numFmtId="185" fontId="2" fillId="0" borderId="109" xfId="0" applyNumberFormat="1" applyFont="1" applyBorder="1" applyAlignment="1">
      <alignment horizontal="right" vertical="center"/>
    </xf>
    <xf numFmtId="185" fontId="2" fillId="0" borderId="110" xfId="0" applyNumberFormat="1" applyFont="1" applyBorder="1" applyAlignment="1">
      <alignment horizontal="right" vertical="center"/>
    </xf>
    <xf numFmtId="0" fontId="21" fillId="8" borderId="11" xfId="0" applyFont="1" applyFill="1" applyBorder="1" applyAlignment="1">
      <alignment horizontal="left" vertical="center"/>
    </xf>
    <xf numFmtId="0" fontId="21" fillId="8" borderId="96" xfId="0" applyFont="1" applyFill="1" applyBorder="1" applyAlignment="1">
      <alignment horizontal="right" vertical="center"/>
    </xf>
    <xf numFmtId="0" fontId="19" fillId="8" borderId="111" xfId="0" applyFont="1" applyFill="1" applyBorder="1">
      <alignment vertical="center"/>
    </xf>
    <xf numFmtId="0" fontId="19" fillId="8" borderId="112" xfId="0" applyFont="1" applyFill="1" applyBorder="1">
      <alignment vertical="center"/>
    </xf>
    <xf numFmtId="0" fontId="19" fillId="8" borderId="113" xfId="0" applyFont="1" applyFill="1" applyBorder="1">
      <alignment vertical="center"/>
    </xf>
    <xf numFmtId="0" fontId="19" fillId="5" borderId="115" xfId="0" applyFont="1" applyFill="1" applyBorder="1">
      <alignment vertical="center"/>
    </xf>
    <xf numFmtId="0" fontId="19" fillId="8" borderId="116" xfId="0" applyFont="1" applyFill="1" applyBorder="1">
      <alignment vertical="center"/>
    </xf>
    <xf numFmtId="0" fontId="19" fillId="5" borderId="117" xfId="0" applyFont="1" applyFill="1" applyBorder="1">
      <alignment vertical="center"/>
    </xf>
    <xf numFmtId="0" fontId="19" fillId="5" borderId="118" xfId="0" applyFont="1" applyFill="1" applyBorder="1">
      <alignment vertical="center"/>
    </xf>
    <xf numFmtId="0" fontId="19" fillId="8" borderId="119" xfId="0" applyFont="1" applyFill="1" applyBorder="1">
      <alignment vertical="center"/>
    </xf>
    <xf numFmtId="0" fontId="19" fillId="5" borderId="120" xfId="0" applyFont="1" applyFill="1" applyBorder="1">
      <alignment vertical="center"/>
    </xf>
    <xf numFmtId="0" fontId="19" fillId="5" borderId="13" xfId="0" applyFont="1" applyFill="1" applyBorder="1">
      <alignment vertical="center"/>
    </xf>
    <xf numFmtId="0" fontId="19" fillId="5" borderId="54" xfId="0" applyFont="1" applyFill="1" applyBorder="1">
      <alignment vertical="center"/>
    </xf>
    <xf numFmtId="0" fontId="19" fillId="8" borderId="121" xfId="0" applyFont="1" applyFill="1" applyBorder="1">
      <alignment vertical="center"/>
    </xf>
    <xf numFmtId="0" fontId="24" fillId="6" borderId="20" xfId="0" applyFont="1" applyFill="1" applyBorder="1" applyAlignment="1">
      <alignment horizontal="left" vertical="center"/>
    </xf>
    <xf numFmtId="0" fontId="24" fillId="6" borderId="0" xfId="0" applyFont="1" applyFill="1" applyAlignment="1">
      <alignment horizontal="left" vertical="center"/>
    </xf>
    <xf numFmtId="0" fontId="18" fillId="6" borderId="59" xfId="0" applyFont="1" applyFill="1" applyBorder="1" applyAlignment="1">
      <alignment horizontal="center" vertical="center"/>
    </xf>
    <xf numFmtId="0" fontId="18" fillId="6" borderId="61" xfId="0" applyFont="1" applyFill="1" applyBorder="1" applyAlignment="1">
      <alignment horizontal="center" vertical="center"/>
    </xf>
    <xf numFmtId="0" fontId="18" fillId="6" borderId="21" xfId="0" applyFont="1" applyFill="1" applyBorder="1" applyAlignment="1">
      <alignment horizontal="center" vertical="center"/>
    </xf>
    <xf numFmtId="0" fontId="30" fillId="8" borderId="0" xfId="0" applyFont="1" applyFill="1">
      <alignment vertical="center"/>
    </xf>
    <xf numFmtId="0" fontId="38" fillId="0" borderId="0" xfId="0" applyFont="1">
      <alignment vertical="center"/>
    </xf>
    <xf numFmtId="0" fontId="39" fillId="0" borderId="0" xfId="0" applyFont="1">
      <alignment vertical="center"/>
    </xf>
    <xf numFmtId="0" fontId="20" fillId="0" borderId="0" xfId="0" applyFont="1">
      <alignment vertical="center"/>
    </xf>
    <xf numFmtId="0" fontId="4" fillId="0" borderId="0" xfId="0" applyFont="1">
      <alignment vertical="center"/>
    </xf>
    <xf numFmtId="38" fontId="22" fillId="6" borderId="20" xfId="0" applyNumberFormat="1" applyFont="1" applyFill="1" applyBorder="1">
      <alignment vertical="center"/>
    </xf>
    <xf numFmtId="0" fontId="19" fillId="5" borderId="3" xfId="0" applyFont="1" applyFill="1" applyBorder="1" applyAlignment="1">
      <alignment horizontal="right" vertical="center"/>
    </xf>
    <xf numFmtId="0" fontId="19" fillId="5" borderId="2" xfId="0" applyFont="1" applyFill="1" applyBorder="1" applyAlignment="1">
      <alignment horizontal="right" vertical="center"/>
    </xf>
    <xf numFmtId="0" fontId="19" fillId="5" borderId="2" xfId="0" applyFont="1" applyFill="1" applyBorder="1">
      <alignment vertical="center"/>
    </xf>
    <xf numFmtId="178" fontId="19" fillId="5" borderId="0" xfId="0" applyNumberFormat="1" applyFont="1" applyFill="1" applyAlignment="1">
      <alignment horizontal="right" vertical="center"/>
    </xf>
    <xf numFmtId="38" fontId="21" fillId="12" borderId="1" xfId="0" applyNumberFormat="1" applyFont="1" applyFill="1" applyBorder="1">
      <alignment vertical="center"/>
    </xf>
    <xf numFmtId="178" fontId="19" fillId="5" borderId="70" xfId="0" applyNumberFormat="1" applyFont="1" applyFill="1" applyBorder="1">
      <alignment vertical="center"/>
    </xf>
    <xf numFmtId="178" fontId="19" fillId="0" borderId="70" xfId="0" applyNumberFormat="1" applyFont="1" applyBorder="1">
      <alignment vertical="center"/>
    </xf>
    <xf numFmtId="0" fontId="19" fillId="0" borderId="71" xfId="0" applyFont="1" applyBorder="1" applyAlignment="1">
      <alignment horizontal="right" vertical="center"/>
    </xf>
    <xf numFmtId="0" fontId="21" fillId="3" borderId="12" xfId="0" applyFont="1" applyFill="1" applyBorder="1" applyAlignment="1">
      <alignment horizontal="right" vertical="center"/>
    </xf>
    <xf numFmtId="0" fontId="19" fillId="0" borderId="125" xfId="0" applyFont="1" applyBorder="1" applyAlignment="1">
      <alignment horizontal="right" vertical="center"/>
    </xf>
    <xf numFmtId="0" fontId="21" fillId="3" borderId="13" xfId="0" applyFont="1" applyFill="1" applyBorder="1" applyAlignment="1">
      <alignment horizontal="right" vertical="center"/>
    </xf>
    <xf numFmtId="0" fontId="19" fillId="0" borderId="126" xfId="0" applyFont="1" applyBorder="1">
      <alignment vertical="center"/>
    </xf>
    <xf numFmtId="0" fontId="23" fillId="7" borderId="46" xfId="0" applyFont="1" applyFill="1" applyBorder="1">
      <alignment vertical="center"/>
    </xf>
    <xf numFmtId="0" fontId="40" fillId="6" borderId="28" xfId="1" applyFont="1" applyFill="1" applyBorder="1">
      <alignment vertical="center"/>
    </xf>
    <xf numFmtId="0" fontId="17" fillId="6" borderId="127" xfId="0" applyFont="1" applyFill="1" applyBorder="1">
      <alignment vertical="center"/>
    </xf>
    <xf numFmtId="176" fontId="19" fillId="0" borderId="12" xfId="0" applyNumberFormat="1" applyFont="1" applyBorder="1">
      <alignment vertical="center"/>
    </xf>
    <xf numFmtId="176" fontId="19" fillId="0" borderId="123" xfId="0" applyNumberFormat="1" applyFont="1" applyBorder="1">
      <alignment vertical="center"/>
    </xf>
    <xf numFmtId="176" fontId="19" fillId="0" borderId="124" xfId="0" applyNumberFormat="1" applyFont="1" applyBorder="1">
      <alignment vertical="center"/>
    </xf>
    <xf numFmtId="0" fontId="19" fillId="0" borderId="13" xfId="0" applyFont="1" applyBorder="1">
      <alignment vertical="center"/>
    </xf>
    <xf numFmtId="0" fontId="19" fillId="0" borderId="70" xfId="0" applyFont="1" applyBorder="1">
      <alignment vertical="center"/>
    </xf>
    <xf numFmtId="0" fontId="19" fillId="0" borderId="71" xfId="0" applyFont="1" applyBorder="1">
      <alignment vertical="center"/>
    </xf>
    <xf numFmtId="0" fontId="19" fillId="4" borderId="12" xfId="0" applyFont="1" applyFill="1" applyBorder="1" applyAlignment="1">
      <alignment horizontal="center" vertical="center"/>
    </xf>
    <xf numFmtId="0" fontId="19" fillId="4" borderId="123" xfId="0" applyFont="1" applyFill="1" applyBorder="1" applyAlignment="1">
      <alignment horizontal="center" vertical="center"/>
    </xf>
    <xf numFmtId="0" fontId="19" fillId="4" borderId="125" xfId="0" applyFont="1" applyFill="1" applyBorder="1" applyAlignment="1">
      <alignment horizontal="center" vertical="center"/>
    </xf>
    <xf numFmtId="0" fontId="19" fillId="4" borderId="107" xfId="0" applyFont="1" applyFill="1" applyBorder="1" applyAlignment="1">
      <alignment horizontal="center" vertical="center"/>
    </xf>
    <xf numFmtId="0" fontId="19" fillId="5" borderId="128" xfId="0" applyFont="1" applyFill="1" applyBorder="1" applyAlignment="1">
      <alignment horizontal="right" vertical="center"/>
    </xf>
    <xf numFmtId="0" fontId="19" fillId="5" borderId="129" xfId="0" applyFont="1" applyFill="1" applyBorder="1" applyAlignment="1">
      <alignment horizontal="left" vertical="center" indent="1"/>
    </xf>
    <xf numFmtId="0" fontId="19" fillId="5" borderId="14" xfId="0" applyFont="1" applyFill="1" applyBorder="1" applyAlignment="1">
      <alignment horizontal="left" vertical="center" indent="1"/>
    </xf>
    <xf numFmtId="0" fontId="19" fillId="5" borderId="130" xfId="0" applyFont="1" applyFill="1" applyBorder="1" applyAlignment="1">
      <alignment horizontal="right" vertical="center"/>
    </xf>
    <xf numFmtId="0" fontId="19" fillId="0" borderId="70" xfId="0" applyFont="1" applyBorder="1" applyAlignment="1">
      <alignment horizontal="right" vertical="center"/>
    </xf>
    <xf numFmtId="0" fontId="19" fillId="5" borderId="70" xfId="0" applyFont="1" applyFill="1" applyBorder="1" applyAlignment="1">
      <alignment horizontal="right" vertical="center"/>
    </xf>
    <xf numFmtId="0" fontId="19" fillId="5" borderId="126" xfId="0" applyFont="1" applyFill="1" applyBorder="1" applyAlignment="1">
      <alignment horizontal="right" vertical="center"/>
    </xf>
    <xf numFmtId="0" fontId="19" fillId="5" borderId="70" xfId="0" applyFont="1" applyFill="1" applyBorder="1">
      <alignment vertical="center"/>
    </xf>
    <xf numFmtId="0" fontId="19" fillId="5" borderId="132" xfId="0" applyFont="1" applyFill="1" applyBorder="1" applyAlignment="1">
      <alignment horizontal="left" vertical="center" indent="1"/>
    </xf>
    <xf numFmtId="0" fontId="19" fillId="5" borderId="129" xfId="0" applyFont="1" applyFill="1" applyBorder="1">
      <alignment vertical="center"/>
    </xf>
    <xf numFmtId="0" fontId="19" fillId="5" borderId="14" xfId="0" applyFont="1" applyFill="1" applyBorder="1">
      <alignment vertical="center"/>
    </xf>
    <xf numFmtId="0" fontId="19" fillId="5" borderId="132" xfId="0" applyFont="1" applyFill="1" applyBorder="1">
      <alignment vertical="center"/>
    </xf>
    <xf numFmtId="0" fontId="41" fillId="6" borderId="0" xfId="0" applyFont="1" applyFill="1">
      <alignment vertical="center"/>
    </xf>
    <xf numFmtId="0" fontId="42" fillId="6" borderId="0" xfId="0" applyFont="1" applyFill="1">
      <alignment vertical="center"/>
    </xf>
    <xf numFmtId="0" fontId="43" fillId="5" borderId="21" xfId="0" applyFont="1" applyFill="1" applyBorder="1">
      <alignment vertical="center"/>
    </xf>
    <xf numFmtId="0" fontId="20" fillId="5" borderId="21" xfId="0" applyFont="1" applyFill="1" applyBorder="1">
      <alignment vertical="center"/>
    </xf>
    <xf numFmtId="0" fontId="37" fillId="7" borderId="96" xfId="0" applyFont="1" applyFill="1" applyBorder="1">
      <alignment vertical="center"/>
    </xf>
    <xf numFmtId="0" fontId="19" fillId="7" borderId="97" xfId="0" applyFont="1" applyFill="1" applyBorder="1">
      <alignment vertical="center"/>
    </xf>
    <xf numFmtId="0" fontId="36" fillId="7" borderId="4" xfId="1" applyFont="1" applyFill="1" applyBorder="1">
      <alignment vertical="center"/>
    </xf>
    <xf numFmtId="0" fontId="19" fillId="7" borderId="1" xfId="0" applyFont="1" applyFill="1" applyBorder="1">
      <alignment vertical="center"/>
    </xf>
    <xf numFmtId="0" fontId="21" fillId="7" borderId="114" xfId="0" applyFont="1" applyFill="1" applyBorder="1" applyAlignment="1">
      <alignment horizontal="left" vertical="center"/>
    </xf>
    <xf numFmtId="0" fontId="21" fillId="7" borderId="11" xfId="0" applyFont="1" applyFill="1" applyBorder="1" applyAlignment="1">
      <alignment horizontal="left" vertical="center"/>
    </xf>
    <xf numFmtId="0" fontId="21" fillId="7" borderId="96" xfId="0" applyFont="1" applyFill="1" applyBorder="1" applyAlignment="1">
      <alignment horizontal="left" vertical="center"/>
    </xf>
    <xf numFmtId="0" fontId="21" fillId="7" borderId="1" xfId="0" applyFont="1" applyFill="1" applyBorder="1" applyAlignment="1">
      <alignment horizontal="left" vertical="center"/>
    </xf>
    <xf numFmtId="0" fontId="21" fillId="7" borderId="24" xfId="0" applyFont="1" applyFill="1" applyBorder="1">
      <alignment vertical="center"/>
    </xf>
    <xf numFmtId="0" fontId="21" fillId="7" borderId="25" xfId="0" applyFont="1" applyFill="1" applyBorder="1">
      <alignment vertical="center"/>
    </xf>
    <xf numFmtId="0" fontId="21" fillId="7" borderId="26" xfId="0" applyFont="1" applyFill="1" applyBorder="1">
      <alignment vertical="center"/>
    </xf>
    <xf numFmtId="0" fontId="21" fillId="7" borderId="27" xfId="0" applyFont="1" applyFill="1" applyBorder="1">
      <alignment vertical="center"/>
    </xf>
    <xf numFmtId="0" fontId="21" fillId="7" borderId="86" xfId="0" applyFont="1" applyFill="1" applyBorder="1">
      <alignment vertical="center"/>
    </xf>
    <xf numFmtId="0" fontId="21" fillId="7" borderId="89" xfId="0" applyFont="1" applyFill="1" applyBorder="1">
      <alignment vertical="center"/>
    </xf>
    <xf numFmtId="0" fontId="21" fillId="7" borderId="91" xfId="0" applyFont="1" applyFill="1" applyBorder="1">
      <alignment vertical="center"/>
    </xf>
    <xf numFmtId="0" fontId="21" fillId="7" borderId="92" xfId="0" applyFont="1" applyFill="1" applyBorder="1">
      <alignment vertical="center"/>
    </xf>
    <xf numFmtId="0" fontId="21" fillId="7" borderId="87" xfId="0" applyFont="1" applyFill="1" applyBorder="1">
      <alignment vertical="center"/>
    </xf>
    <xf numFmtId="0" fontId="21" fillId="7" borderId="93" xfId="0" applyFont="1" applyFill="1" applyBorder="1">
      <alignment vertical="center"/>
    </xf>
    <xf numFmtId="0" fontId="44" fillId="8" borderId="0" xfId="0" applyFont="1" applyFill="1">
      <alignment vertical="center"/>
    </xf>
    <xf numFmtId="0" fontId="45" fillId="8" borderId="22" xfId="1" applyFont="1" applyFill="1" applyBorder="1">
      <alignment vertical="center"/>
    </xf>
    <xf numFmtId="0" fontId="44" fillId="8" borderId="74" xfId="0" applyFont="1" applyFill="1" applyBorder="1">
      <alignment vertical="center"/>
    </xf>
    <xf numFmtId="0" fontId="46" fillId="8" borderId="23" xfId="1" applyFont="1" applyFill="1" applyBorder="1">
      <alignment vertical="center"/>
    </xf>
    <xf numFmtId="0" fontId="44" fillId="8" borderId="23" xfId="0" applyFont="1" applyFill="1" applyBorder="1">
      <alignment vertical="center"/>
    </xf>
    <xf numFmtId="0" fontId="44" fillId="8" borderId="75" xfId="0" applyFont="1" applyFill="1" applyBorder="1">
      <alignment vertical="center"/>
    </xf>
    <xf numFmtId="0" fontId="46" fillId="8" borderId="73" xfId="1" applyFont="1" applyFill="1" applyBorder="1">
      <alignment vertical="center"/>
    </xf>
    <xf numFmtId="0" fontId="43" fillId="8" borderId="0" xfId="0" applyFont="1" applyFill="1">
      <alignment vertical="center"/>
    </xf>
    <xf numFmtId="0" fontId="21" fillId="7" borderId="7" xfId="0" applyFont="1" applyFill="1" applyBorder="1">
      <alignment vertical="center"/>
    </xf>
    <xf numFmtId="0" fontId="21" fillId="7" borderId="133" xfId="0" applyFont="1" applyFill="1" applyBorder="1">
      <alignment vertical="center"/>
    </xf>
    <xf numFmtId="0" fontId="19" fillId="8" borderId="97" xfId="0" applyFont="1" applyFill="1" applyBorder="1">
      <alignment vertical="center"/>
    </xf>
    <xf numFmtId="0" fontId="26" fillId="8" borderId="97" xfId="0" applyFont="1" applyFill="1" applyBorder="1">
      <alignment vertical="center"/>
    </xf>
    <xf numFmtId="0" fontId="19" fillId="8" borderId="134" xfId="0" applyFont="1" applyFill="1" applyBorder="1">
      <alignment vertical="center"/>
    </xf>
    <xf numFmtId="0" fontId="21" fillId="8" borderId="97" xfId="0" applyFont="1" applyFill="1" applyBorder="1">
      <alignment vertical="center"/>
    </xf>
    <xf numFmtId="0" fontId="47" fillId="8" borderId="135" xfId="0" applyFont="1" applyFill="1" applyBorder="1">
      <alignment vertical="center"/>
    </xf>
    <xf numFmtId="0" fontId="21" fillId="0" borderId="136" xfId="0" applyFont="1" applyBorder="1">
      <alignment vertical="center"/>
    </xf>
    <xf numFmtId="0" fontId="21" fillId="7" borderId="137" xfId="0" applyFont="1" applyFill="1" applyBorder="1">
      <alignment vertical="center"/>
    </xf>
    <xf numFmtId="0" fontId="21" fillId="7" borderId="31" xfId="0" applyFont="1" applyFill="1" applyBorder="1">
      <alignment vertical="center"/>
    </xf>
    <xf numFmtId="0" fontId="21" fillId="2" borderId="1" xfId="0" applyFont="1" applyFill="1" applyBorder="1" applyAlignment="1">
      <alignment horizontal="right" vertical="center"/>
    </xf>
    <xf numFmtId="0" fontId="21" fillId="5" borderId="1" xfId="0" applyFont="1" applyFill="1" applyBorder="1">
      <alignment vertical="center"/>
    </xf>
    <xf numFmtId="0" fontId="23" fillId="5" borderId="21" xfId="0" applyFont="1" applyFill="1" applyBorder="1" applyAlignment="1">
      <alignment horizontal="left" vertical="center"/>
    </xf>
    <xf numFmtId="3" fontId="43" fillId="5" borderId="0" xfId="0" applyNumberFormat="1" applyFont="1" applyFill="1">
      <alignment vertical="center"/>
    </xf>
    <xf numFmtId="0" fontId="23" fillId="5" borderId="20" xfId="0" applyFont="1" applyFill="1" applyBorder="1">
      <alignment vertical="center"/>
    </xf>
    <xf numFmtId="0" fontId="20" fillId="5" borderId="0" xfId="0" applyFont="1" applyFill="1">
      <alignment vertical="center"/>
    </xf>
    <xf numFmtId="0" fontId="20" fillId="5" borderId="20" xfId="0" applyFont="1" applyFill="1" applyBorder="1">
      <alignment vertical="center"/>
    </xf>
    <xf numFmtId="0" fontId="20" fillId="5" borderId="62" xfId="0" applyFont="1" applyFill="1" applyBorder="1">
      <alignment vertical="center"/>
    </xf>
    <xf numFmtId="0" fontId="19" fillId="8" borderId="139" xfId="0" applyFont="1" applyFill="1" applyBorder="1">
      <alignment vertical="center"/>
    </xf>
    <xf numFmtId="0" fontId="17" fillId="8" borderId="139" xfId="0" applyFont="1" applyFill="1" applyBorder="1">
      <alignment vertical="center"/>
    </xf>
    <xf numFmtId="0" fontId="17" fillId="6" borderId="138" xfId="0" applyFont="1" applyFill="1" applyBorder="1">
      <alignment vertical="center"/>
    </xf>
    <xf numFmtId="0" fontId="12" fillId="6" borderId="60" xfId="1" applyFont="1" applyFill="1" applyBorder="1">
      <alignment vertical="center"/>
    </xf>
    <xf numFmtId="0" fontId="2" fillId="0" borderId="4" xfId="0" applyFont="1" applyBorder="1">
      <alignment vertical="center"/>
    </xf>
    <xf numFmtId="189" fontId="2" fillId="0" borderId="96" xfId="0" applyNumberFormat="1" applyFont="1" applyBorder="1">
      <alignment vertical="center"/>
    </xf>
    <xf numFmtId="0" fontId="13" fillId="8" borderId="0" xfId="1" applyFont="1" applyFill="1">
      <alignment vertical="center"/>
    </xf>
    <xf numFmtId="0" fontId="21" fillId="0" borderId="96" xfId="0" applyFont="1" applyBorder="1">
      <alignment vertical="center"/>
    </xf>
    <xf numFmtId="0" fontId="21" fillId="7" borderId="101" xfId="0" applyFont="1" applyFill="1" applyBorder="1">
      <alignment vertical="center"/>
    </xf>
    <xf numFmtId="6" fontId="19" fillId="0" borderId="96" xfId="0" applyNumberFormat="1" applyFont="1" applyBorder="1">
      <alignment vertical="center"/>
    </xf>
    <xf numFmtId="6" fontId="19" fillId="0" borderId="97" xfId="0" applyNumberFormat="1" applyFont="1" applyBorder="1">
      <alignment vertical="center"/>
    </xf>
    <xf numFmtId="6" fontId="19" fillId="0" borderId="4" xfId="0" applyNumberFormat="1" applyFont="1" applyBorder="1">
      <alignment vertical="center"/>
    </xf>
    <xf numFmtId="0" fontId="21" fillId="0" borderId="110" xfId="0" applyFont="1" applyBorder="1">
      <alignment vertical="center"/>
    </xf>
    <xf numFmtId="0" fontId="21" fillId="0" borderId="122" xfId="0" applyFont="1" applyBorder="1">
      <alignment vertical="center"/>
    </xf>
    <xf numFmtId="0" fontId="35" fillId="7" borderId="96" xfId="1" applyFont="1" applyFill="1" applyBorder="1">
      <alignment vertical="center"/>
    </xf>
    <xf numFmtId="0" fontId="17" fillId="7" borderId="96" xfId="0" applyFont="1" applyFill="1" applyBorder="1">
      <alignment vertical="center"/>
    </xf>
    <xf numFmtId="0" fontId="0" fillId="7" borderId="97" xfId="0" applyFill="1" applyBorder="1">
      <alignment vertical="center"/>
    </xf>
    <xf numFmtId="0" fontId="0" fillId="7" borderId="4" xfId="0" applyFill="1" applyBorder="1">
      <alignment vertical="center"/>
    </xf>
    <xf numFmtId="0" fontId="13" fillId="7" borderId="96" xfId="1" applyFont="1" applyFill="1" applyBorder="1">
      <alignment vertical="center"/>
    </xf>
    <xf numFmtId="0" fontId="17" fillId="7" borderId="97" xfId="0" applyFont="1" applyFill="1" applyBorder="1">
      <alignment vertical="center"/>
    </xf>
    <xf numFmtId="0" fontId="20" fillId="7" borderId="4" xfId="0" applyFont="1" applyFill="1" applyBorder="1">
      <alignment vertical="center"/>
    </xf>
    <xf numFmtId="0" fontId="34" fillId="7" borderId="48" xfId="1" applyFont="1" applyFill="1" applyBorder="1">
      <alignment vertical="center"/>
    </xf>
    <xf numFmtId="0" fontId="14" fillId="7" borderId="47" xfId="0" applyFont="1" applyFill="1" applyBorder="1">
      <alignment vertical="center"/>
    </xf>
    <xf numFmtId="0" fontId="12" fillId="6" borderId="48" xfId="1" applyFont="1" applyFill="1" applyBorder="1">
      <alignment vertical="center"/>
    </xf>
    <xf numFmtId="0" fontId="49" fillId="6" borderId="49" xfId="0" applyFont="1" applyFill="1" applyBorder="1">
      <alignment vertical="center"/>
    </xf>
    <xf numFmtId="0" fontId="49" fillId="6" borderId="47" xfId="0" applyFont="1" applyFill="1" applyBorder="1">
      <alignment vertical="center"/>
    </xf>
    <xf numFmtId="38" fontId="26" fillId="13" borderId="1" xfId="0" applyNumberFormat="1" applyFont="1" applyFill="1" applyBorder="1">
      <alignment vertical="center"/>
    </xf>
    <xf numFmtId="0" fontId="21" fillId="7" borderId="96" xfId="0" applyFont="1" applyFill="1" applyBorder="1">
      <alignment vertical="center"/>
    </xf>
    <xf numFmtId="0" fontId="19" fillId="0" borderId="1" xfId="0" applyFont="1" applyBorder="1">
      <alignment vertical="center"/>
    </xf>
    <xf numFmtId="0" fontId="12" fillId="15" borderId="0" xfId="1" applyFont="1" applyFill="1">
      <alignment vertical="center"/>
    </xf>
    <xf numFmtId="0" fontId="21" fillId="0" borderId="2" xfId="0" applyFont="1" applyBorder="1">
      <alignment vertical="center"/>
    </xf>
    <xf numFmtId="0" fontId="21" fillId="5" borderId="2" xfId="0" applyFont="1" applyFill="1" applyBorder="1">
      <alignment vertical="center"/>
    </xf>
    <xf numFmtId="49" fontId="21" fillId="5" borderId="2" xfId="0" applyNumberFormat="1" applyFont="1" applyFill="1" applyBorder="1">
      <alignment vertical="center"/>
    </xf>
    <xf numFmtId="0" fontId="0" fillId="8" borderId="0" xfId="0" applyFill="1">
      <alignment vertical="center"/>
    </xf>
    <xf numFmtId="0" fontId="6" fillId="8" borderId="0" xfId="0" applyFont="1" applyFill="1">
      <alignment vertical="center"/>
    </xf>
    <xf numFmtId="0" fontId="14" fillId="7" borderId="141" xfId="0" applyFont="1" applyFill="1" applyBorder="1">
      <alignment vertical="center"/>
    </xf>
    <xf numFmtId="0" fontId="11" fillId="7" borderId="4" xfId="0" applyFont="1" applyFill="1" applyBorder="1">
      <alignment vertical="center"/>
    </xf>
    <xf numFmtId="0" fontId="34" fillId="7" borderId="96" xfId="1" applyFont="1" applyFill="1" applyBorder="1">
      <alignment vertical="center"/>
    </xf>
    <xf numFmtId="0" fontId="11" fillId="11" borderId="96" xfId="0" applyFont="1" applyFill="1" applyBorder="1">
      <alignment vertical="center"/>
    </xf>
    <xf numFmtId="0" fontId="11" fillId="6" borderId="97" xfId="0" applyFont="1" applyFill="1" applyBorder="1">
      <alignment vertical="center"/>
    </xf>
    <xf numFmtId="0" fontId="0" fillId="6" borderId="97" xfId="0" applyFill="1" applyBorder="1">
      <alignment vertical="center"/>
    </xf>
    <xf numFmtId="0" fontId="0" fillId="6" borderId="4" xfId="0" applyFill="1" applyBorder="1">
      <alignment vertical="center"/>
    </xf>
    <xf numFmtId="0" fontId="18" fillId="6" borderId="97" xfId="0" applyFont="1" applyFill="1" applyBorder="1" applyAlignment="1">
      <alignment horizontal="left" vertical="center"/>
    </xf>
    <xf numFmtId="0" fontId="12" fillId="6" borderId="97" xfId="1" applyFont="1" applyFill="1" applyBorder="1">
      <alignment vertical="center"/>
    </xf>
    <xf numFmtId="0" fontId="23" fillId="5" borderId="0" xfId="0" applyFont="1" applyFill="1">
      <alignment vertical="center"/>
    </xf>
    <xf numFmtId="0" fontId="51" fillId="5" borderId="0" xfId="1" applyFont="1" applyFill="1" applyBorder="1" applyAlignment="1">
      <alignment horizontal="right" vertical="center"/>
    </xf>
    <xf numFmtId="0" fontId="52" fillId="5" borderId="0" xfId="0" applyFont="1" applyFill="1">
      <alignment vertical="center"/>
    </xf>
    <xf numFmtId="0" fontId="52" fillId="5" borderId="0" xfId="0" applyFont="1" applyFill="1" applyAlignment="1">
      <alignment horizontal="right" vertical="center"/>
    </xf>
    <xf numFmtId="0" fontId="23" fillId="5" borderId="0" xfId="0" applyFont="1" applyFill="1" applyAlignment="1">
      <alignment horizontal="left" vertical="center"/>
    </xf>
    <xf numFmtId="0" fontId="20" fillId="5" borderId="142" xfId="0" applyFont="1" applyFill="1" applyBorder="1">
      <alignment vertical="center"/>
    </xf>
    <xf numFmtId="0" fontId="52" fillId="5" borderId="139" xfId="0" applyFont="1" applyFill="1" applyBorder="1">
      <alignment vertical="center"/>
    </xf>
    <xf numFmtId="0" fontId="51" fillId="5" borderId="139" xfId="1" applyFont="1" applyFill="1" applyBorder="1" applyAlignment="1">
      <alignment horizontal="right" vertical="center"/>
    </xf>
    <xf numFmtId="0" fontId="50" fillId="5" borderId="138" xfId="1" applyFont="1" applyFill="1" applyBorder="1">
      <alignment vertical="center"/>
    </xf>
    <xf numFmtId="0" fontId="53" fillId="5" borderId="0" xfId="0" applyFont="1" applyFill="1">
      <alignment vertical="center"/>
    </xf>
    <xf numFmtId="0" fontId="11" fillId="11" borderId="144" xfId="0" applyFont="1" applyFill="1" applyBorder="1">
      <alignment vertical="center"/>
    </xf>
    <xf numFmtId="0" fontId="11" fillId="6" borderId="145" xfId="0" applyFont="1" applyFill="1" applyBorder="1">
      <alignment vertical="center"/>
    </xf>
    <xf numFmtId="0" fontId="34" fillId="7" borderId="146" xfId="1" applyFont="1" applyFill="1" applyBorder="1">
      <alignment vertical="center"/>
    </xf>
    <xf numFmtId="0" fontId="14" fillId="7" borderId="147" xfId="0" applyFont="1" applyFill="1" applyBorder="1">
      <alignment vertical="center"/>
    </xf>
    <xf numFmtId="0" fontId="11" fillId="7" borderId="145" xfId="0" applyFont="1" applyFill="1" applyBorder="1">
      <alignment vertical="center"/>
    </xf>
    <xf numFmtId="0" fontId="0" fillId="6" borderId="145" xfId="0" applyFill="1" applyBorder="1">
      <alignment vertical="center"/>
    </xf>
    <xf numFmtId="0" fontId="0" fillId="6" borderId="148" xfId="0" applyFill="1" applyBorder="1">
      <alignment vertical="center"/>
    </xf>
    <xf numFmtId="0" fontId="2" fillId="0" borderId="143" xfId="0" applyFont="1" applyBorder="1">
      <alignment vertical="center"/>
    </xf>
    <xf numFmtId="0" fontId="19" fillId="5" borderId="34" xfId="0" applyFont="1" applyFill="1" applyBorder="1">
      <alignment vertical="center"/>
    </xf>
    <xf numFmtId="177" fontId="21" fillId="5" borderId="41" xfId="0" applyNumberFormat="1" applyFont="1" applyFill="1" applyBorder="1">
      <alignment vertical="center"/>
    </xf>
    <xf numFmtId="177" fontId="21" fillId="5" borderId="43" xfId="0" applyNumberFormat="1" applyFont="1" applyFill="1" applyBorder="1">
      <alignment vertical="center"/>
    </xf>
    <xf numFmtId="0" fontId="19" fillId="5" borderId="44" xfId="0" applyFont="1" applyFill="1" applyBorder="1">
      <alignment vertical="center"/>
    </xf>
    <xf numFmtId="177" fontId="21" fillId="5" borderId="39" xfId="0" applyNumberFormat="1" applyFont="1" applyFill="1" applyBorder="1">
      <alignment vertical="center"/>
    </xf>
    <xf numFmtId="0" fontId="19" fillId="5" borderId="35" xfId="0" applyFont="1" applyFill="1" applyBorder="1">
      <alignment vertical="center"/>
    </xf>
    <xf numFmtId="0" fontId="21" fillId="7" borderId="151" xfId="0" applyFont="1" applyFill="1" applyBorder="1" applyAlignment="1">
      <alignment horizontal="right" vertical="center"/>
    </xf>
    <xf numFmtId="0" fontId="21" fillId="7" borderId="152" xfId="0" applyFont="1" applyFill="1" applyBorder="1" applyAlignment="1">
      <alignment horizontal="right" vertical="center"/>
    </xf>
    <xf numFmtId="0" fontId="21" fillId="7" borderId="152" xfId="0" applyFont="1" applyFill="1" applyBorder="1" applyAlignment="1">
      <alignment horizontal="left" vertical="center"/>
    </xf>
    <xf numFmtId="0" fontId="21" fillId="7" borderId="153" xfId="0" applyFont="1" applyFill="1" applyBorder="1" applyAlignment="1">
      <alignment horizontal="left" vertical="center"/>
    </xf>
    <xf numFmtId="0" fontId="13" fillId="0" borderId="149" xfId="1" applyFont="1" applyBorder="1">
      <alignment vertical="center"/>
    </xf>
    <xf numFmtId="0" fontId="13" fillId="0" borderId="150" xfId="1" applyFont="1" applyBorder="1">
      <alignment vertical="center"/>
    </xf>
    <xf numFmtId="0" fontId="13" fillId="7" borderId="0" xfId="1" applyFont="1" applyFill="1">
      <alignment vertical="center"/>
    </xf>
    <xf numFmtId="0" fontId="0" fillId="16" borderId="0" xfId="0" applyFill="1">
      <alignment vertical="center"/>
    </xf>
    <xf numFmtId="0" fontId="6" fillId="16" borderId="0" xfId="0" applyFont="1" applyFill="1">
      <alignment vertical="center"/>
    </xf>
    <xf numFmtId="0" fontId="2" fillId="0" borderId="0" xfId="0" applyFont="1" applyAlignment="1">
      <alignment horizontal="right" vertical="center"/>
    </xf>
    <xf numFmtId="0" fontId="2" fillId="5" borderId="1" xfId="0" applyFont="1" applyFill="1" applyBorder="1">
      <alignment vertical="center"/>
    </xf>
    <xf numFmtId="0" fontId="20" fillId="5" borderId="58" xfId="0" applyFont="1" applyFill="1" applyBorder="1">
      <alignment vertical="center"/>
    </xf>
    <xf numFmtId="0" fontId="2" fillId="7" borderId="1" xfId="0" applyFont="1" applyFill="1" applyBorder="1">
      <alignment vertical="center"/>
    </xf>
    <xf numFmtId="0" fontId="19" fillId="4" borderId="156" xfId="0" applyFont="1" applyFill="1" applyBorder="1" applyAlignment="1">
      <alignment horizontal="center" vertical="center"/>
    </xf>
    <xf numFmtId="179" fontId="21" fillId="0" borderId="0" xfId="0" applyNumberFormat="1" applyFont="1">
      <alignment vertical="center"/>
    </xf>
    <xf numFmtId="0" fontId="21" fillId="4" borderId="11" xfId="0" applyFont="1" applyFill="1" applyBorder="1">
      <alignment vertical="center"/>
    </xf>
    <xf numFmtId="0" fontId="13" fillId="0" borderId="143" xfId="1" applyFont="1" applyBorder="1">
      <alignment vertical="center"/>
    </xf>
    <xf numFmtId="38" fontId="21" fillId="12" borderId="9" xfId="0" applyNumberFormat="1" applyFont="1" applyFill="1" applyBorder="1">
      <alignment vertical="center"/>
    </xf>
    <xf numFmtId="0" fontId="21" fillId="0" borderId="143" xfId="0" applyFont="1" applyBorder="1">
      <alignment vertical="center"/>
    </xf>
    <xf numFmtId="0" fontId="21" fillId="0" borderId="5" xfId="0" applyFont="1" applyBorder="1" applyAlignment="1">
      <alignment horizontal="right" vertical="center"/>
    </xf>
    <xf numFmtId="0" fontId="19" fillId="0" borderId="5" xfId="0" applyFont="1" applyBorder="1" applyAlignment="1">
      <alignment horizontal="right" vertical="center"/>
    </xf>
    <xf numFmtId="0" fontId="38" fillId="0" borderId="16" xfId="0" applyFont="1" applyBorder="1" applyAlignment="1">
      <alignment horizontal="left" vertical="center"/>
    </xf>
    <xf numFmtId="0" fontId="38" fillId="0" borderId="78" xfId="0" applyFont="1" applyBorder="1" applyAlignment="1">
      <alignment horizontal="left" vertical="center"/>
    </xf>
    <xf numFmtId="0" fontId="38" fillId="0" borderId="140" xfId="0" applyFont="1" applyBorder="1" applyAlignment="1">
      <alignment horizontal="left" vertical="center"/>
    </xf>
    <xf numFmtId="0" fontId="38" fillId="0" borderId="18" xfId="0" applyFont="1" applyBorder="1" applyAlignment="1">
      <alignment horizontal="left" vertical="center"/>
    </xf>
    <xf numFmtId="0" fontId="38" fillId="0" borderId="72" xfId="0" applyFont="1" applyBorder="1" applyAlignment="1">
      <alignment horizontal="left" vertical="center"/>
    </xf>
    <xf numFmtId="0" fontId="38" fillId="0" borderId="122" xfId="0" applyFont="1" applyBorder="1" applyAlignment="1">
      <alignment horizontal="left" vertical="center"/>
    </xf>
    <xf numFmtId="0" fontId="2" fillId="0" borderId="35" xfId="0" applyFont="1" applyBorder="1" applyAlignment="1">
      <alignment horizontal="left" vertical="center"/>
    </xf>
    <xf numFmtId="0" fontId="2" fillId="0" borderId="103" xfId="0" applyFont="1" applyBorder="1" applyAlignment="1">
      <alignment horizontal="left" vertical="center"/>
    </xf>
    <xf numFmtId="6" fontId="26" fillId="6" borderId="17" xfId="0" applyNumberFormat="1" applyFont="1" applyFill="1" applyBorder="1" applyAlignment="1">
      <alignment horizontal="right" vertical="center"/>
    </xf>
    <xf numFmtId="6" fontId="26" fillId="6" borderId="0" xfId="0" applyNumberFormat="1" applyFont="1" applyFill="1" applyAlignment="1">
      <alignment horizontal="right" vertical="center"/>
    </xf>
    <xf numFmtId="0" fontId="2" fillId="0" borderId="106" xfId="0" applyFont="1" applyBorder="1" applyAlignment="1">
      <alignment horizontal="left" vertical="center"/>
    </xf>
    <xf numFmtId="0" fontId="2" fillId="0" borderId="109" xfId="0" applyFont="1" applyBorder="1" applyAlignment="1">
      <alignment horizontal="left" vertical="center"/>
    </xf>
    <xf numFmtId="0" fontId="19" fillId="5" borderId="34" xfId="0" applyFont="1" applyFill="1" applyBorder="1" applyAlignment="1">
      <alignment horizontal="left" vertical="center"/>
    </xf>
    <xf numFmtId="0" fontId="19" fillId="5" borderId="42" xfId="0" applyFont="1" applyFill="1" applyBorder="1" applyAlignment="1">
      <alignment horizontal="left" vertical="center"/>
    </xf>
    <xf numFmtId="0" fontId="19" fillId="5" borderId="44" xfId="0" applyFont="1" applyFill="1" applyBorder="1" applyAlignment="1">
      <alignment horizontal="left" vertical="center"/>
    </xf>
    <xf numFmtId="0" fontId="19" fillId="5" borderId="45" xfId="0" applyFont="1" applyFill="1" applyBorder="1" applyAlignment="1">
      <alignment horizontal="left" vertical="center"/>
    </xf>
    <xf numFmtId="0" fontId="21" fillId="7" borderId="49" xfId="0" applyFont="1" applyFill="1" applyBorder="1" applyAlignment="1">
      <alignment horizontal="left" vertical="center"/>
    </xf>
    <xf numFmtId="0" fontId="21" fillId="7" borderId="47" xfId="0" applyFont="1" applyFill="1" applyBorder="1" applyAlignment="1">
      <alignment horizontal="left" vertical="center"/>
    </xf>
    <xf numFmtId="0" fontId="19" fillId="5" borderId="35" xfId="0" applyFont="1" applyFill="1" applyBorder="1" applyAlignment="1">
      <alignment horizontal="left" vertical="center"/>
    </xf>
    <xf numFmtId="0" fontId="19" fillId="5" borderId="40" xfId="0" applyFont="1" applyFill="1" applyBorder="1" applyAlignment="1">
      <alignment horizontal="left" vertical="center"/>
    </xf>
    <xf numFmtId="0" fontId="2" fillId="0" borderId="34" xfId="0" applyFont="1" applyBorder="1" applyAlignment="1">
      <alignment horizontal="left" vertical="center"/>
    </xf>
    <xf numFmtId="0" fontId="2" fillId="0" borderId="44" xfId="0" applyFont="1" applyBorder="1" applyAlignment="1">
      <alignment horizontal="left" vertical="center"/>
    </xf>
    <xf numFmtId="5" fontId="18" fillId="13" borderId="17" xfId="0" applyNumberFormat="1" applyFont="1" applyFill="1" applyBorder="1" applyAlignment="1">
      <alignment horizontal="right" vertical="center"/>
    </xf>
    <xf numFmtId="5" fontId="18" fillId="13" borderId="0" xfId="0" applyNumberFormat="1" applyFont="1" applyFill="1" applyAlignment="1">
      <alignment horizontal="right" vertical="center"/>
    </xf>
    <xf numFmtId="0" fontId="2" fillId="0" borderId="37" xfId="0" applyFont="1" applyBorder="1" applyAlignment="1">
      <alignment horizontal="left" vertical="center"/>
    </xf>
    <xf numFmtId="179" fontId="19" fillId="0" borderId="6" xfId="0" applyNumberFormat="1" applyFont="1" applyBorder="1" applyAlignment="1">
      <alignment horizontal="left" vertical="center" indent="1"/>
    </xf>
    <xf numFmtId="179" fontId="19" fillId="0" borderId="131" xfId="0" applyNumberFormat="1" applyFont="1" applyBorder="1" applyAlignment="1">
      <alignment horizontal="left" vertical="center" indent="1"/>
    </xf>
    <xf numFmtId="177" fontId="19" fillId="0" borderId="13" xfId="0" applyNumberFormat="1" applyFont="1" applyBorder="1">
      <alignment vertical="center"/>
    </xf>
    <xf numFmtId="177" fontId="19" fillId="0" borderId="70" xfId="0" applyNumberFormat="1" applyFont="1" applyBorder="1">
      <alignment vertical="center"/>
    </xf>
    <xf numFmtId="0" fontId="19" fillId="4" borderId="123"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123"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121" xfId="0" applyFont="1" applyFill="1" applyBorder="1" applyAlignment="1">
      <alignment horizontal="center" vertical="center"/>
    </xf>
    <xf numFmtId="0" fontId="20" fillId="3" borderId="124" xfId="0" applyFont="1" applyFill="1" applyBorder="1" applyAlignment="1">
      <alignment horizontal="center" vertical="center"/>
    </xf>
    <xf numFmtId="38" fontId="27" fillId="14" borderId="17" xfId="0" applyNumberFormat="1" applyFont="1" applyFill="1" applyBorder="1" applyAlignment="1">
      <alignment horizontal="right" vertical="center"/>
    </xf>
    <xf numFmtId="38" fontId="27" fillId="14" borderId="0" xfId="0" applyNumberFormat="1" applyFont="1" applyFill="1" applyAlignment="1">
      <alignment horizontal="right" vertical="center"/>
    </xf>
    <xf numFmtId="0" fontId="21" fillId="0" borderId="0" xfId="0" applyFont="1" applyAlignment="1">
      <alignment horizontal="left" vertical="center"/>
    </xf>
    <xf numFmtId="0" fontId="19" fillId="5" borderId="96" xfId="0" applyFont="1" applyFill="1" applyBorder="1" applyAlignment="1">
      <alignment horizontal="left" vertical="center"/>
    </xf>
    <xf numFmtId="0" fontId="19" fillId="5" borderId="97" xfId="0" applyFont="1" applyFill="1" applyBorder="1" applyAlignment="1">
      <alignment horizontal="left" vertical="center"/>
    </xf>
    <xf numFmtId="0" fontId="19" fillId="5" borderId="4" xfId="0" applyFont="1" applyFill="1" applyBorder="1" applyAlignment="1">
      <alignment horizontal="left" vertical="center"/>
    </xf>
    <xf numFmtId="6" fontId="19" fillId="5" borderId="96" xfId="2" applyFont="1" applyFill="1" applyBorder="1" applyAlignment="1">
      <alignment horizontal="left" vertical="center"/>
    </xf>
    <xf numFmtId="6" fontId="19" fillId="5" borderId="97" xfId="2" applyFont="1" applyFill="1" applyBorder="1" applyAlignment="1">
      <alignment horizontal="left" vertical="center"/>
    </xf>
    <xf numFmtId="6" fontId="19" fillId="5" borderId="4" xfId="2" applyFont="1" applyFill="1" applyBorder="1" applyAlignment="1">
      <alignment horizontal="left" vertical="center"/>
    </xf>
    <xf numFmtId="179" fontId="19" fillId="5" borderId="96" xfId="0" applyNumberFormat="1" applyFont="1" applyFill="1" applyBorder="1" applyAlignment="1">
      <alignment horizontal="left" vertical="center"/>
    </xf>
    <xf numFmtId="179" fontId="19" fillId="5" borderId="97" xfId="0" applyNumberFormat="1" applyFont="1" applyFill="1" applyBorder="1" applyAlignment="1">
      <alignment horizontal="left" vertical="center"/>
    </xf>
    <xf numFmtId="179" fontId="19" fillId="5" borderId="4" xfId="0" applyNumberFormat="1" applyFont="1" applyFill="1" applyBorder="1" applyAlignment="1">
      <alignment horizontal="left" vertical="center"/>
    </xf>
    <xf numFmtId="0" fontId="18" fillId="6" borderId="61" xfId="0" applyFont="1" applyFill="1" applyBorder="1" applyAlignment="1">
      <alignment horizontal="right" vertical="center"/>
    </xf>
    <xf numFmtId="0" fontId="18" fillId="6" borderId="21" xfId="0" applyFont="1" applyFill="1" applyBorder="1" applyAlignment="1">
      <alignment horizontal="right" vertical="center"/>
    </xf>
    <xf numFmtId="0" fontId="21" fillId="7" borderId="96" xfId="0" applyFont="1" applyFill="1" applyBorder="1" applyAlignment="1">
      <alignment horizontal="left" vertical="center"/>
    </xf>
    <xf numFmtId="0" fontId="21" fillId="7" borderId="97" xfId="0" applyFont="1" applyFill="1" applyBorder="1" applyAlignment="1">
      <alignment horizontal="left" vertical="center"/>
    </xf>
    <xf numFmtId="0" fontId="21" fillId="7" borderId="4" xfId="0" applyFont="1" applyFill="1" applyBorder="1" applyAlignment="1">
      <alignment horizontal="left" vertical="center"/>
    </xf>
    <xf numFmtId="0" fontId="19" fillId="5" borderId="99" xfId="0" applyFont="1" applyFill="1" applyBorder="1" applyAlignment="1">
      <alignment horizontal="left" vertical="center"/>
    </xf>
    <xf numFmtId="0" fontId="19" fillId="5" borderId="77" xfId="0" applyFont="1" applyFill="1" applyBorder="1" applyAlignment="1">
      <alignment horizontal="left" vertical="center"/>
    </xf>
    <xf numFmtId="0" fontId="19" fillId="5" borderId="81" xfId="0" applyFont="1" applyFill="1" applyBorder="1" applyAlignment="1">
      <alignment horizontal="left" vertical="center"/>
    </xf>
    <xf numFmtId="0" fontId="19" fillId="5" borderId="100" xfId="0" applyFont="1" applyFill="1" applyBorder="1" applyAlignment="1">
      <alignment horizontal="left" vertical="center"/>
    </xf>
    <xf numFmtId="0" fontId="19" fillId="5" borderId="82" xfId="0" applyFont="1" applyFill="1" applyBorder="1" applyAlignment="1">
      <alignment horizontal="left" vertical="center"/>
    </xf>
    <xf numFmtId="0" fontId="19" fillId="5" borderId="83" xfId="0" applyFont="1" applyFill="1" applyBorder="1" applyAlignment="1">
      <alignment horizontal="left" vertical="center"/>
    </xf>
    <xf numFmtId="0" fontId="18" fillId="6" borderId="59" xfId="0" applyFont="1" applyFill="1" applyBorder="1" applyAlignment="1">
      <alignment horizontal="right" vertical="center"/>
    </xf>
    <xf numFmtId="0" fontId="18" fillId="6" borderId="20" xfId="0" applyFont="1" applyFill="1" applyBorder="1" applyAlignment="1">
      <alignment horizontal="right" vertical="center"/>
    </xf>
    <xf numFmtId="0" fontId="21" fillId="8" borderId="0" xfId="0" applyFont="1" applyFill="1" applyAlignment="1">
      <alignment horizontal="right" vertical="center"/>
    </xf>
    <xf numFmtId="182" fontId="21" fillId="8" borderId="32" xfId="0" applyNumberFormat="1" applyFont="1" applyFill="1" applyBorder="1" applyAlignment="1">
      <alignment horizontal="left" vertical="center"/>
    </xf>
    <xf numFmtId="0" fontId="19" fillId="5" borderId="98" xfId="0" applyFont="1" applyFill="1" applyBorder="1" applyAlignment="1">
      <alignment horizontal="left" vertical="center"/>
    </xf>
    <xf numFmtId="0" fontId="19" fillId="5" borderId="79" xfId="0" applyFont="1" applyFill="1" applyBorder="1" applyAlignment="1">
      <alignment horizontal="left" vertical="center"/>
    </xf>
    <xf numFmtId="0" fontId="19" fillId="5" borderId="80" xfId="0" applyFont="1" applyFill="1" applyBorder="1" applyAlignment="1">
      <alignment horizontal="left" vertical="center"/>
    </xf>
    <xf numFmtId="0" fontId="23" fillId="5" borderId="155" xfId="0" applyFont="1" applyFill="1" applyBorder="1" applyAlignment="1">
      <alignment horizontal="left" vertical="center"/>
    </xf>
    <xf numFmtId="0" fontId="23" fillId="5" borderId="154" xfId="0" applyFont="1" applyFill="1" applyBorder="1" applyAlignment="1">
      <alignment horizontal="left" vertical="center"/>
    </xf>
  </cellXfs>
  <cellStyles count="3">
    <cellStyle name="ハイパーリンク" xfId="1" builtinId="8"/>
    <cellStyle name="通貨" xfId="2" builtinId="7"/>
    <cellStyle name="標準" xfId="0" builtinId="0"/>
  </cellStyles>
  <dxfs count="142">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3F3F3"/>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472C4"/>
      <rgbColor rgb="FF33CCCC"/>
      <rgbColor rgb="FF99CC00"/>
      <rgbColor rgb="FFFFCC00"/>
      <rgbColor rgb="FFFF9900"/>
      <rgbColor rgb="FFFF40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日付</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A$33:$A$63,体調管理!$A$67:$A$97,体調管理!$A$101:$A$131,体調管理!$A$135:$A$165,体調管理!$A$169:$A$199,体調管理!$A$203:$A$233,体調管理!$A$237:$A$267,体調管理!$A$271:$A$301,体調管理!$A$305:$A$335,体調管理!$A$339:$A$369,体調管理!$A$373:$A$403,体調管理!$A$407:$A$437)</c:f>
              <c:numCache>
                <c:formatCode>m"月"d"日("aaa\)</c:formatCode>
                <c:ptCount val="372"/>
              </c:numCache>
            </c:numRef>
          </c:val>
          <c:smooth val="0"/>
          <c:extLst>
            <c:ext xmlns:c16="http://schemas.microsoft.com/office/drawing/2014/chart" uri="{C3380CC4-5D6E-409C-BE32-E72D297353CC}">
              <c16:uniqueId val="{00000001-EFEB-4259-B309-9D84580D1311}"/>
            </c:ext>
          </c:extLst>
        </c:ser>
        <c:ser>
          <c:idx val="1"/>
          <c:order val="1"/>
          <c:tx>
            <c:v>天候</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val>
          <c:smooth val="0"/>
          <c:extLst>
            <c:ext xmlns:c16="http://schemas.microsoft.com/office/drawing/2014/chart" uri="{C3380CC4-5D6E-409C-BE32-E72D297353CC}">
              <c16:uniqueId val="{00000002-EFEB-4259-B309-9D84580D1311}"/>
            </c:ext>
          </c:extLst>
        </c:ser>
        <c:ser>
          <c:idx val="2"/>
          <c:order val="2"/>
          <c:tx>
            <c:v>気圧</c:v>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solidFill>
                    <a:latin typeface="+mn-lt"/>
                    <a:ea typeface="+mn-ea"/>
                    <a:cs typeface="+mn-cs"/>
                  </a:defRPr>
                </a:pPr>
                <a:endParaRPr lang="ja-JP"/>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体調管理!$C$33:$C$63,体調管理!$C$67:$C$97,体調管理!$C$101:$C$131,体調管理!$C$135:$C$165,体調管理!$C$169:$C$199,体調管理!$C$203:$C$233,体調管理!$C$237:$C$267,体調管理!$C$271:$C$301,体調管理!$C$305:$C$335,体調管理!$C$339:$C$369,体調管理!$C$373:$C$403,体調管理!$C$407:$C$437)</c:f>
              <c:numCache>
                <c:formatCode>General</c:formatCode>
                <c:ptCount val="372"/>
              </c:numCache>
            </c:numRef>
          </c:cat>
          <c:val>
            <c:numRef>
              <c:f>(体調管理!$E$33:$E$63,体調管理!$E$67:$E$97,体調管理!$E$101:$E$131,体調管理!$E$135:$E$165,体調管理!$E$169:$E$199,体調管理!$E$203:$E$233,体調管理!$E$237:$E$267,体調管理!$E$271:$E$301,体調管理!$E$305:$E$335,体調管理!$E$339:$E$369,体調管理!$E$373:$E$403,体調管理!$E$407:$E$437)</c:f>
              <c:numCache>
                <c:formatCode>General</c:formatCode>
                <c:ptCount val="372"/>
              </c:numCache>
            </c:numRef>
          </c:val>
          <c:smooth val="0"/>
          <c:extLst>
            <c:ext xmlns:c16="http://schemas.microsoft.com/office/drawing/2014/chart" uri="{C3380CC4-5D6E-409C-BE32-E72D297353CC}">
              <c16:uniqueId val="{00000003-EFEB-4259-B309-9D84580D1311}"/>
            </c:ext>
          </c:extLst>
        </c:ser>
        <c:dLbls>
          <c:dLblPos val="t"/>
          <c:showLegendKey val="0"/>
          <c:showVal val="1"/>
          <c:showCatName val="0"/>
          <c:showSerName val="0"/>
          <c:showPercent val="0"/>
          <c:showBubbleSize val="0"/>
        </c:dLbls>
        <c:smooth val="0"/>
        <c:axId val="1052216592"/>
        <c:axId val="1052220912"/>
      </c:lineChart>
      <c:catAx>
        <c:axId val="1052216592"/>
        <c:scaling>
          <c:orientation val="minMax"/>
        </c:scaling>
        <c:delete val="0"/>
        <c:axPos val="b"/>
        <c:title>
          <c:tx>
            <c:rich>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ja-JP" altLang="en-US" b="1"/>
                  <a:t>日付</a:t>
                </a:r>
              </a:p>
            </c:rich>
          </c:tx>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ja-JP"/>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crossAx val="1052220912"/>
        <c:crosses val="autoZero"/>
        <c:auto val="1"/>
        <c:lblAlgn val="ctr"/>
        <c:lblOffset val="100"/>
        <c:noMultiLvlLbl val="0"/>
      </c:catAx>
      <c:valAx>
        <c:axId val="1052220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r>
                  <a:rPr lang="ja-JP" altLang="en-US" b="1"/>
                  <a:t>天候・気圧・体調</a:t>
                </a:r>
              </a:p>
            </c:rich>
          </c:tx>
          <c:overlay val="0"/>
          <c:spPr>
            <a:noFill/>
            <a:ln>
              <a:noFill/>
            </a:ln>
            <a:effectLst/>
          </c:spPr>
          <c:txPr>
            <a:bodyPr rot="-5400000" spcFirstLastPara="1" vertOverflow="ellipsis" vert="horz" wrap="square" anchor="ctr" anchorCtr="1"/>
            <a:lstStyle/>
            <a:p>
              <a:pPr>
                <a:defRPr sz="1000" b="0" i="0" u="none" strike="noStrike" kern="1200" baseline="0">
                  <a:ln>
                    <a:noFill/>
                  </a:ln>
                  <a:solidFill>
                    <a:schemeClr val="tx1"/>
                  </a:solidFill>
                  <a:latin typeface="+mn-lt"/>
                  <a:ea typeface="+mn-ea"/>
                  <a:cs typeface="+mn-cs"/>
                </a:defRPr>
              </a:pPr>
              <a:endParaRPr lang="ja-JP"/>
            </a:p>
          </c:txPr>
        </c:title>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crossAx val="105221659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900" b="0" i="0" u="none" strike="noStrike" kern="1200" baseline="0">
                <a:ln>
                  <a:noFill/>
                </a:ln>
                <a:solidFill>
                  <a:schemeClr val="tx1"/>
                </a:solidFill>
                <a:latin typeface="+mn-lt"/>
                <a:ea typeface="+mn-ea"/>
                <a:cs typeface="+mn-cs"/>
              </a:defRPr>
            </a:pPr>
            <a:endParaRPr lang="ja-JP"/>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ln>
            <a:noFill/>
          </a:ln>
          <a:solidFill>
            <a:schemeClr val="tx1"/>
          </a:solidFill>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052C-48A8-9C93-7BCA88D753F2}"/>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052C-48A8-9C93-7BCA88D753F2}"/>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052C-48A8-9C93-7BCA88D753F2}"/>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052C-48A8-9C93-7BCA88D753F2}"/>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052C-48A8-9C93-7BCA88D753F2}"/>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1AB7-4C18-908C-E4059079A428}"/>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1AB7-4C18-908C-E4059079A428}"/>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1AB7-4C18-908C-E4059079A428}"/>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1AB7-4C18-908C-E4059079A428}"/>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1AB7-4C18-908C-E4059079A428}"/>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AC1A-480D-8DA6-B751669D235D}"/>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AC1A-480D-8DA6-B751669D235D}"/>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AC1A-480D-8DA6-B751669D235D}"/>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AC1A-480D-8DA6-B751669D235D}"/>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AC1A-480D-8DA6-B751669D235D}"/>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8389-455D-8572-36CE7D8F7F58}"/>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8389-455D-8572-36CE7D8F7F58}"/>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8389-455D-8572-36CE7D8F7F58}"/>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8389-455D-8572-36CE7D8F7F58}"/>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8389-455D-8572-36CE7D8F7F58}"/>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2A05-47AF-BB1B-63C3143A72B0}"/>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2A05-47AF-BB1B-63C3143A72B0}"/>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2A05-47AF-BB1B-63C3143A72B0}"/>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2A05-47AF-BB1B-63C3143A72B0}"/>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2A05-47AF-BB1B-63C3143A72B0}"/>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20E0-43CC-A8A3-0E6CD82EB5AD}"/>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20E0-43CC-A8A3-0E6CD82EB5AD}"/>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20E0-43CC-A8A3-0E6CD82EB5AD}"/>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20E0-43CC-A8A3-0E6CD82EB5AD}"/>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20E0-43CC-A8A3-0E6CD82EB5AD}"/>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0A3-453F-8183-A422072F1B06}"/>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0A3-453F-8183-A422072F1B06}"/>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90A3-453F-8183-A422072F1B06}"/>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90A3-453F-8183-A422072F1B06}"/>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90A3-453F-8183-A422072F1B06}"/>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250-409F-B40A-60A9E213AC18}"/>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250-409F-B40A-60A9E213AC18}"/>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6250-409F-B40A-60A9E213AC18}"/>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6250-409F-B40A-60A9E213AC18}"/>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6250-409F-B40A-60A9E213AC18}"/>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C0B2-443D-B892-9A3B479A9239}"/>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C0B2-443D-B892-9A3B479A9239}"/>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C0B2-443D-B892-9A3B479A9239}"/>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C0B2-443D-B892-9A3B479A9239}"/>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C0B2-443D-B892-9A3B479A9239}"/>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0426-4C56-AE89-3BA7804CB192}"/>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0426-4C56-AE89-3BA7804CB192}"/>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0426-4C56-AE89-3BA7804CB192}"/>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0426-4C56-AE89-3BA7804CB192}"/>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0426-4C56-AE89-3BA7804CB192}"/>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9449-41E1-9D78-E85932401488}"/>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449-41E1-9D78-E85932401488}"/>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9449-41E1-9D78-E85932401488}"/>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9449-41E1-9D78-E85932401488}"/>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9449-41E1-9D78-E85932401488}"/>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4BB3-4678-A3F7-4AD89820CC31}"/>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BB3-4678-A3F7-4AD89820CC31}"/>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4BB3-4678-A3F7-4AD89820CC31}"/>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4BB3-4678-A3F7-4AD89820CC31}"/>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4BB3-4678-A3F7-4AD89820CC31}"/>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259736224560894E-3"/>
          <c:y val="0.14797767554336608"/>
          <c:w val="0.85300879943198593"/>
          <c:h val="0.7883143118346162"/>
        </c:manualLayout>
      </c:layout>
      <c:doughnutChart>
        <c:varyColors val="1"/>
        <c:ser>
          <c:idx val="0"/>
          <c:order val="0"/>
          <c:tx>
            <c:v>作業時間</c:v>
          </c:tx>
          <c:spPr>
            <a:solidFill>
              <a:schemeClr val="bg1"/>
            </a:solidFill>
            <a:ln>
              <a:solidFill>
                <a:schemeClr val="tx2"/>
              </a:solidFill>
            </a:ln>
          </c:spPr>
          <c:dPt>
            <c:idx val="0"/>
            <c:bubble3D val="0"/>
            <c:spPr>
              <a:solidFill>
                <a:schemeClr val="bg1"/>
              </a:solidFill>
              <a:ln w="19050">
                <a:solidFill>
                  <a:schemeClr val="tx2"/>
                </a:solidFill>
              </a:ln>
              <a:effectLst/>
            </c:spPr>
            <c:extLst>
              <c:ext xmlns:c16="http://schemas.microsoft.com/office/drawing/2014/chart" uri="{C3380CC4-5D6E-409C-BE32-E72D297353CC}">
                <c16:uniqueId val="{00000001-23B1-42D6-86DA-4CB3B6BDD8E1}"/>
              </c:ext>
            </c:extLst>
          </c:dPt>
          <c:dPt>
            <c:idx val="1"/>
            <c:bubble3D val="0"/>
            <c:spPr>
              <a:solidFill>
                <a:schemeClr val="bg1"/>
              </a:solidFill>
              <a:ln w="19050">
                <a:solidFill>
                  <a:schemeClr val="tx2"/>
                </a:solidFill>
              </a:ln>
              <a:effectLst/>
            </c:spPr>
            <c:extLst>
              <c:ext xmlns:c16="http://schemas.microsoft.com/office/drawing/2014/chart" uri="{C3380CC4-5D6E-409C-BE32-E72D297353CC}">
                <c16:uniqueId val="{00000003-23B1-42D6-86DA-4CB3B6BDD8E1}"/>
              </c:ext>
            </c:extLst>
          </c:dPt>
          <c:dPt>
            <c:idx val="2"/>
            <c:bubble3D val="0"/>
            <c:spPr>
              <a:solidFill>
                <a:schemeClr val="bg1"/>
              </a:solidFill>
              <a:ln w="19050">
                <a:solidFill>
                  <a:schemeClr val="tx2"/>
                </a:solidFill>
              </a:ln>
              <a:effectLst/>
            </c:spPr>
            <c:extLst>
              <c:ext xmlns:c16="http://schemas.microsoft.com/office/drawing/2014/chart" uri="{C3380CC4-5D6E-409C-BE32-E72D297353CC}">
                <c16:uniqueId val="{00000005-23B1-42D6-86DA-4CB3B6BDD8E1}"/>
              </c:ext>
            </c:extLst>
          </c:dPt>
          <c:dPt>
            <c:idx val="3"/>
            <c:bubble3D val="0"/>
            <c:spPr>
              <a:solidFill>
                <a:schemeClr val="bg1"/>
              </a:solidFill>
              <a:ln w="19050">
                <a:solidFill>
                  <a:schemeClr val="tx2"/>
                </a:solidFill>
              </a:ln>
              <a:effectLst/>
            </c:spPr>
            <c:extLst>
              <c:ext xmlns:c16="http://schemas.microsoft.com/office/drawing/2014/chart" uri="{C3380CC4-5D6E-409C-BE32-E72D297353CC}">
                <c16:uniqueId val="{00000007-23B1-42D6-86DA-4CB3B6BDD8E1}"/>
              </c:ext>
            </c:extLst>
          </c:dPt>
          <c:dPt>
            <c:idx val="4"/>
            <c:bubble3D val="0"/>
            <c:spPr>
              <a:solidFill>
                <a:schemeClr val="bg1"/>
              </a:solidFill>
              <a:ln w="19050">
                <a:solidFill>
                  <a:schemeClr val="tx2"/>
                </a:solidFill>
              </a:ln>
              <a:effectLst/>
            </c:spPr>
            <c:extLst>
              <c:ext xmlns:c16="http://schemas.microsoft.com/office/drawing/2014/chart" uri="{C3380CC4-5D6E-409C-BE32-E72D297353CC}">
                <c16:uniqueId val="{00000009-23B1-42D6-86DA-4CB3B6BDD8E1}"/>
              </c:ext>
            </c:extLst>
          </c:dPt>
          <c:dPt>
            <c:idx val="5"/>
            <c:bubble3D val="0"/>
            <c:spPr>
              <a:solidFill>
                <a:schemeClr val="bg1"/>
              </a:solidFill>
              <a:ln w="19050">
                <a:solidFill>
                  <a:schemeClr val="tx2"/>
                </a:solidFill>
              </a:ln>
              <a:effectLst/>
            </c:spPr>
            <c:extLst>
              <c:ext xmlns:c16="http://schemas.microsoft.com/office/drawing/2014/chart" uri="{C3380CC4-5D6E-409C-BE32-E72D297353CC}">
                <c16:uniqueId val="{0000000B-23B1-42D6-86DA-4CB3B6BDD8E1}"/>
              </c:ext>
            </c:extLst>
          </c:dPt>
          <c:dPt>
            <c:idx val="6"/>
            <c:bubble3D val="0"/>
            <c:spPr>
              <a:solidFill>
                <a:schemeClr val="bg1"/>
              </a:solidFill>
              <a:ln w="19050">
                <a:solidFill>
                  <a:schemeClr val="tx2"/>
                </a:solidFill>
              </a:ln>
              <a:effectLst/>
            </c:spPr>
            <c:extLst>
              <c:ext xmlns:c16="http://schemas.microsoft.com/office/drawing/2014/chart" uri="{C3380CC4-5D6E-409C-BE32-E72D297353CC}">
                <c16:uniqueId val="{0000000D-23B1-42D6-86DA-4CB3B6BDD8E1}"/>
              </c:ext>
            </c:extLst>
          </c:dPt>
          <c:dPt>
            <c:idx val="7"/>
            <c:bubble3D val="0"/>
            <c:spPr>
              <a:solidFill>
                <a:schemeClr val="bg1"/>
              </a:solidFill>
              <a:ln w="19050">
                <a:solidFill>
                  <a:schemeClr val="tx2"/>
                </a:solidFill>
              </a:ln>
              <a:effectLst/>
            </c:spPr>
            <c:extLst>
              <c:ext xmlns:c16="http://schemas.microsoft.com/office/drawing/2014/chart" uri="{C3380CC4-5D6E-409C-BE32-E72D297353CC}">
                <c16:uniqueId val="{0000000F-23B1-42D6-86DA-4CB3B6BDD8E1}"/>
              </c:ext>
            </c:extLst>
          </c:dPt>
          <c:dPt>
            <c:idx val="8"/>
            <c:bubble3D val="0"/>
            <c:spPr>
              <a:solidFill>
                <a:schemeClr val="bg1"/>
              </a:solidFill>
              <a:ln w="19050">
                <a:solidFill>
                  <a:schemeClr val="tx2"/>
                </a:solidFill>
              </a:ln>
              <a:effectLst/>
            </c:spPr>
            <c:extLst>
              <c:ext xmlns:c16="http://schemas.microsoft.com/office/drawing/2014/chart" uri="{C3380CC4-5D6E-409C-BE32-E72D297353CC}">
                <c16:uniqueId val="{00000011-23B1-42D6-86DA-4CB3B6BDD8E1}"/>
              </c:ext>
            </c:extLst>
          </c:dPt>
          <c:dPt>
            <c:idx val="9"/>
            <c:bubble3D val="0"/>
            <c:spPr>
              <a:solidFill>
                <a:schemeClr val="bg1"/>
              </a:solidFill>
              <a:ln w="19050">
                <a:solidFill>
                  <a:schemeClr val="tx2"/>
                </a:solidFill>
              </a:ln>
              <a:effectLst/>
            </c:spPr>
            <c:extLst>
              <c:ext xmlns:c16="http://schemas.microsoft.com/office/drawing/2014/chart" uri="{C3380CC4-5D6E-409C-BE32-E72D297353CC}">
                <c16:uniqueId val="{00000013-23B1-42D6-86DA-4CB3B6BDD8E1}"/>
              </c:ext>
            </c:extLst>
          </c:dPt>
          <c:dPt>
            <c:idx val="10"/>
            <c:bubble3D val="0"/>
            <c:spPr>
              <a:solidFill>
                <a:schemeClr val="bg1"/>
              </a:solidFill>
              <a:ln w="19050">
                <a:solidFill>
                  <a:schemeClr val="tx2"/>
                </a:solidFill>
              </a:ln>
              <a:effectLst/>
            </c:spPr>
            <c:extLst>
              <c:ext xmlns:c16="http://schemas.microsoft.com/office/drawing/2014/chart" uri="{C3380CC4-5D6E-409C-BE32-E72D297353CC}">
                <c16:uniqueId val="{00000015-23B1-42D6-86DA-4CB3B6BDD8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売上工数管理!$E$51:$O$51</c:f>
              <c:numCache>
                <c:formatCode>General</c:formatCode>
                <c:ptCount val="11"/>
                <c:pt idx="0">
                  <c:v>1</c:v>
                </c:pt>
                <c:pt idx="1">
                  <c:v>0</c:v>
                </c:pt>
                <c:pt idx="2">
                  <c:v>0</c:v>
                </c:pt>
                <c:pt idx="3">
                  <c:v>5</c:v>
                </c:pt>
                <c:pt idx="4">
                  <c:v>2</c:v>
                </c:pt>
                <c:pt idx="5">
                  <c:v>0</c:v>
                </c:pt>
                <c:pt idx="6">
                  <c:v>0</c:v>
                </c:pt>
                <c:pt idx="7">
                  <c:v>0</c:v>
                </c:pt>
                <c:pt idx="8">
                  <c:v>0</c:v>
                </c:pt>
                <c:pt idx="9">
                  <c:v>0</c:v>
                </c:pt>
                <c:pt idx="10">
                  <c:v>0</c:v>
                </c:pt>
              </c:numCache>
            </c:numRef>
          </c:cat>
          <c:val>
            <c:numRef>
              <c:f>売上工数管理!$E$51:$O$51</c:f>
              <c:numCache>
                <c:formatCode>General</c:formatCode>
                <c:ptCount val="11"/>
                <c:pt idx="0">
                  <c:v>1</c:v>
                </c:pt>
                <c:pt idx="1">
                  <c:v>0</c:v>
                </c:pt>
                <c:pt idx="2">
                  <c:v>0</c:v>
                </c:pt>
                <c:pt idx="3">
                  <c:v>5</c:v>
                </c:pt>
                <c:pt idx="4">
                  <c:v>2</c:v>
                </c:pt>
                <c:pt idx="5">
                  <c:v>0</c:v>
                </c:pt>
                <c:pt idx="6">
                  <c:v>0</c:v>
                </c:pt>
                <c:pt idx="7">
                  <c:v>0</c:v>
                </c:pt>
                <c:pt idx="8">
                  <c:v>0</c:v>
                </c:pt>
                <c:pt idx="9">
                  <c:v>0</c:v>
                </c:pt>
                <c:pt idx="10">
                  <c:v>0</c:v>
                </c:pt>
              </c:numCache>
            </c:numRef>
          </c:val>
          <c:extLst>
            <c:ext xmlns:c16="http://schemas.microsoft.com/office/drawing/2014/chart" uri="{C3380CC4-5D6E-409C-BE32-E72D297353CC}">
              <c16:uniqueId val="{00000015-AC60-458C-961D-8D554624420D}"/>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dLbls>
          <c:dLblPos val="ctr"/>
          <c:showLegendKey val="0"/>
          <c:showVal val="1"/>
          <c:showCatName val="0"/>
          <c:showSerName val="0"/>
          <c:showPercent val="0"/>
          <c:showBubbleSize val="0"/>
        </c:dLbls>
        <c:gapWidth val="150"/>
        <c:overlap val="100"/>
        <c:axId val="1788788320"/>
        <c:axId val="1788788800"/>
      </c:barChart>
      <c:catAx>
        <c:axId val="1788788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800"/>
        <c:crosses val="autoZero"/>
        <c:auto val="1"/>
        <c:lblAlgn val="ctr"/>
        <c:lblOffset val="100"/>
        <c:noMultiLvlLbl val="0"/>
      </c:catAx>
      <c:valAx>
        <c:axId val="1788788800"/>
        <c:scaling>
          <c:orientation val="minMax"/>
        </c:scaling>
        <c:delete val="0"/>
        <c:axPos val="l"/>
        <c:majorGridlines>
          <c:spPr>
            <a:ln w="25400" cap="sq" cmpd="sng" algn="ctr">
              <a:solidFill>
                <a:schemeClr val="accent1">
                  <a:lumMod val="20000"/>
                  <a:lumOff val="80000"/>
                </a:schemeClr>
              </a:solidFill>
              <a:miter lim="800000"/>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22341599823388"/>
          <c:y val="4.0204678362573097E-2"/>
          <c:w val="0.77615914833075772"/>
          <c:h val="0.57096974720265226"/>
        </c:manualLayout>
      </c:layout>
      <c:barChart>
        <c:barDir val="col"/>
        <c:grouping val="clustered"/>
        <c:varyColors val="0"/>
        <c:ser>
          <c:idx val="0"/>
          <c:order val="0"/>
          <c:tx>
            <c:v>案件名</c:v>
          </c:tx>
          <c:spPr>
            <a:solidFill>
              <a:schemeClr val="accent1"/>
            </a:solidFill>
            <a:ln>
              <a:noFill/>
            </a:ln>
            <a:effectLst/>
          </c:spPr>
          <c:invertIfNegative val="0"/>
          <c:cat>
            <c:strRef>
              <c:f>売上工数管理!$E$20:$O$20</c:f>
              <c:strCache>
                <c:ptCount val="11"/>
                <c:pt idx="0">
                  <c:v>管理/会議/自習など雑務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売上工数管理!$E$20:$O$20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FE4-461F-9372-D21724D531A5}"/>
            </c:ext>
          </c:extLst>
        </c:ser>
        <c:ser>
          <c:idx val="1"/>
          <c:order val="1"/>
          <c:tx>
            <c:v>単価売上額合計</c:v>
          </c:tx>
          <c:spPr>
            <a:solidFill>
              <a:schemeClr val="accent2"/>
            </a:solidFill>
            <a:ln>
              <a:noFill/>
            </a:ln>
            <a:effectLst/>
          </c:spPr>
          <c:invertIfNegative val="0"/>
          <c:cat>
            <c:strRef>
              <c:f>売上工数管理!$E$20:$O$20</c:f>
              <c:strCache>
                <c:ptCount val="11"/>
                <c:pt idx="0">
                  <c:v>管理/会議/自習など雑務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売上工数管理!$E$33:$O$33</c:f>
              <c:numCache>
                <c:formatCode>"¥"#,##0_);[Red]\("¥"#,##0\)</c:formatCode>
                <c:ptCount val="11"/>
                <c:pt idx="0">
                  <c:v>0</c:v>
                </c:pt>
                <c:pt idx="1">
                  <c:v>0</c:v>
                </c:pt>
                <c:pt idx="2">
                  <c:v>0</c:v>
                </c:pt>
                <c:pt idx="3">
                  <c:v>80000</c:v>
                </c:pt>
                <c:pt idx="4">
                  <c:v>8000</c:v>
                </c:pt>
                <c:pt idx="5">
                  <c:v>0</c:v>
                </c:pt>
                <c:pt idx="6">
                  <c:v>0</c:v>
                </c:pt>
                <c:pt idx="7">
                  <c:v>0</c:v>
                </c:pt>
                <c:pt idx="8">
                  <c:v>0</c:v>
                </c:pt>
                <c:pt idx="9">
                  <c:v>0</c:v>
                </c:pt>
                <c:pt idx="10">
                  <c:v>0</c:v>
                </c:pt>
              </c:numCache>
            </c:numRef>
          </c:val>
          <c:extLst>
            <c:ext xmlns:c16="http://schemas.microsoft.com/office/drawing/2014/chart" uri="{C3380CC4-5D6E-409C-BE32-E72D297353CC}">
              <c16:uniqueId val="{00000001-4FE4-461F-9372-D21724D531A5}"/>
            </c:ext>
          </c:extLst>
        </c:ser>
        <c:dLbls>
          <c:showLegendKey val="0"/>
          <c:showVal val="0"/>
          <c:showCatName val="0"/>
          <c:showSerName val="0"/>
          <c:showPercent val="0"/>
          <c:showBubbleSize val="0"/>
        </c:dLbls>
        <c:gapWidth val="219"/>
        <c:overlap val="-27"/>
        <c:axId val="649504783"/>
        <c:axId val="649505743"/>
      </c:barChart>
      <c:catAx>
        <c:axId val="64950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5743"/>
        <c:crosses val="autoZero"/>
        <c:auto val="1"/>
        <c:lblAlgn val="ctr"/>
        <c:lblOffset val="100"/>
        <c:noMultiLvlLbl val="0"/>
      </c:catAx>
      <c:valAx>
        <c:axId val="649505743"/>
        <c:scaling>
          <c:orientation val="minMax"/>
          <c:max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4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4B78-4A1C-9676-E5E9016FF409}"/>
            </c:ext>
          </c:extLst>
        </c:ser>
        <c:ser>
          <c:idx val="1"/>
          <c:order val="1"/>
          <c:tx>
            <c:v>作業量</c:v>
          </c:tx>
          <c:spPr>
            <a:solidFill>
              <a:schemeClr val="accent2"/>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ダッシュボード!$B$40:$B$70</c:f>
              <c:numCache>
                <c:formatCode>General</c:formatCode>
                <c:ptCount val="31"/>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B78-4A1C-9676-E5E9016FF409}"/>
            </c:ext>
          </c:extLst>
        </c:ser>
        <c:ser>
          <c:idx val="2"/>
          <c:order val="2"/>
          <c:tx>
            <c:v>天候</c:v>
          </c:tx>
          <c:spPr>
            <a:solidFill>
              <a:schemeClr val="accent3"/>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ダッシュボード!$C$40:$C$70</c:f>
              <c:numCache>
                <c:formatCode>General</c:formatCode>
                <c:ptCount val="31"/>
                <c:pt idx="0">
                  <c:v>1</c:v>
                </c:pt>
                <c:pt idx="1">
                  <c:v>2</c:v>
                </c:pt>
                <c:pt idx="2">
                  <c:v>1</c:v>
                </c:pt>
                <c:pt idx="3">
                  <c:v>1</c:v>
                </c:pt>
                <c:pt idx="4">
                  <c:v>2</c:v>
                </c:pt>
                <c:pt idx="5">
                  <c:v>2</c:v>
                </c:pt>
                <c:pt idx="6">
                  <c:v>2</c:v>
                </c:pt>
                <c:pt idx="7">
                  <c:v>3</c:v>
                </c:pt>
                <c:pt idx="8">
                  <c:v>3</c:v>
                </c:pt>
                <c:pt idx="9">
                  <c:v>2</c:v>
                </c:pt>
                <c:pt idx="10">
                  <c:v>1</c:v>
                </c:pt>
                <c:pt idx="11">
                  <c:v>1</c:v>
                </c:pt>
                <c:pt idx="12">
                  <c:v>2</c:v>
                </c:pt>
                <c:pt idx="13">
                  <c:v>1</c:v>
                </c:pt>
                <c:pt idx="14">
                  <c:v>5</c:v>
                </c:pt>
                <c:pt idx="15">
                  <c:v>5</c:v>
                </c:pt>
                <c:pt idx="16">
                  <c:v>3</c:v>
                </c:pt>
                <c:pt idx="17">
                  <c:v>3</c:v>
                </c:pt>
                <c:pt idx="18">
                  <c:v>2</c:v>
                </c:pt>
                <c:pt idx="19">
                  <c:v>3</c:v>
                </c:pt>
                <c:pt idx="20">
                  <c:v>2</c:v>
                </c:pt>
                <c:pt idx="21">
                  <c:v>1</c:v>
                </c:pt>
                <c:pt idx="22">
                  <c:v>1</c:v>
                </c:pt>
                <c:pt idx="23">
                  <c:v>1</c:v>
                </c:pt>
                <c:pt idx="24">
                  <c:v>2</c:v>
                </c:pt>
                <c:pt idx="25">
                  <c:v>1</c:v>
                </c:pt>
                <c:pt idx="26">
                  <c:v>3</c:v>
                </c:pt>
                <c:pt idx="27">
                  <c:v>2</c:v>
                </c:pt>
                <c:pt idx="28">
                  <c:v>1</c:v>
                </c:pt>
                <c:pt idx="29">
                  <c:v>1</c:v>
                </c:pt>
              </c:numCache>
            </c:numRef>
          </c:val>
          <c:extLst>
            <c:ext xmlns:c16="http://schemas.microsoft.com/office/drawing/2014/chart" uri="{C3380CC4-5D6E-409C-BE32-E72D297353CC}">
              <c16:uniqueId val="{00000002-4B78-4A1C-9676-E5E9016FF409}"/>
            </c:ext>
          </c:extLst>
        </c:ser>
        <c:ser>
          <c:idx val="3"/>
          <c:order val="3"/>
          <c:tx>
            <c:v>気圧</c:v>
          </c:tx>
          <c:spPr>
            <a:solidFill>
              <a:schemeClr val="accent4"/>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ダッシュボード!$E$40:$E$70</c:f>
              <c:numCache>
                <c:formatCode>General</c:formatCode>
                <c:ptCount val="31"/>
                <c:pt idx="0">
                  <c:v>1</c:v>
                </c:pt>
                <c:pt idx="1">
                  <c:v>1</c:v>
                </c:pt>
                <c:pt idx="2">
                  <c:v>2</c:v>
                </c:pt>
                <c:pt idx="3">
                  <c:v>1</c:v>
                </c:pt>
                <c:pt idx="4">
                  <c:v>3</c:v>
                </c:pt>
                <c:pt idx="5">
                  <c:v>3</c:v>
                </c:pt>
                <c:pt idx="6">
                  <c:v>3</c:v>
                </c:pt>
                <c:pt idx="7">
                  <c:v>3</c:v>
                </c:pt>
                <c:pt idx="8">
                  <c:v>2</c:v>
                </c:pt>
                <c:pt idx="9">
                  <c:v>3</c:v>
                </c:pt>
                <c:pt idx="10">
                  <c:v>1</c:v>
                </c:pt>
                <c:pt idx="11">
                  <c:v>1</c:v>
                </c:pt>
                <c:pt idx="12">
                  <c:v>1</c:v>
                </c:pt>
                <c:pt idx="13">
                  <c:v>1</c:v>
                </c:pt>
                <c:pt idx="14">
                  <c:v>3</c:v>
                </c:pt>
                <c:pt idx="15">
                  <c:v>3</c:v>
                </c:pt>
                <c:pt idx="16">
                  <c:v>3</c:v>
                </c:pt>
                <c:pt idx="17">
                  <c:v>2</c:v>
                </c:pt>
                <c:pt idx="18">
                  <c:v>2</c:v>
                </c:pt>
                <c:pt idx="19">
                  <c:v>3</c:v>
                </c:pt>
                <c:pt idx="20">
                  <c:v>2</c:v>
                </c:pt>
                <c:pt idx="21">
                  <c:v>1</c:v>
                </c:pt>
                <c:pt idx="22">
                  <c:v>1</c:v>
                </c:pt>
                <c:pt idx="23">
                  <c:v>1</c:v>
                </c:pt>
                <c:pt idx="24">
                  <c:v>2</c:v>
                </c:pt>
                <c:pt idx="25">
                  <c:v>1</c:v>
                </c:pt>
                <c:pt idx="26">
                  <c:v>2</c:v>
                </c:pt>
                <c:pt idx="27">
                  <c:v>3</c:v>
                </c:pt>
                <c:pt idx="28">
                  <c:v>1</c:v>
                </c:pt>
                <c:pt idx="29">
                  <c:v>1</c:v>
                </c:pt>
              </c:numCache>
            </c:numRef>
          </c:val>
          <c:extLst>
            <c:ext xmlns:c16="http://schemas.microsoft.com/office/drawing/2014/chart" uri="{C3380CC4-5D6E-409C-BE32-E72D297353CC}">
              <c16:uniqueId val="{00000003-4B78-4A1C-9676-E5E9016FF409}"/>
            </c:ext>
          </c:extLst>
        </c:ser>
        <c:ser>
          <c:idx val="4"/>
          <c:order val="4"/>
          <c:tx>
            <c:v>体調</c:v>
          </c:tx>
          <c:spPr>
            <a:solidFill>
              <a:schemeClr val="accent5"/>
            </a:solidFill>
            <a:ln>
              <a:noFill/>
            </a:ln>
            <a:effectLst/>
          </c:spPr>
          <c:invertIfNegative val="0"/>
          <c:cat>
            <c:numRef>
              <c:f>ダッシュボード!$A$40:$A$70</c:f>
              <c:numCache>
                <c:formatCode>m"月"d"日("aaa\)</c:formatCode>
                <c:ptCount val="31"/>
                <c:pt idx="0">
                  <c:v>45931</c:v>
                </c:pt>
                <c:pt idx="1">
                  <c:v>45932</c:v>
                </c:pt>
                <c:pt idx="2">
                  <c:v>45933</c:v>
                </c:pt>
                <c:pt idx="3">
                  <c:v>45934</c:v>
                </c:pt>
                <c:pt idx="4">
                  <c:v>45935</c:v>
                </c:pt>
                <c:pt idx="5">
                  <c:v>45936</c:v>
                </c:pt>
                <c:pt idx="6">
                  <c:v>45937</c:v>
                </c:pt>
                <c:pt idx="7">
                  <c:v>45938</c:v>
                </c:pt>
                <c:pt idx="8">
                  <c:v>45939</c:v>
                </c:pt>
                <c:pt idx="9">
                  <c:v>45940</c:v>
                </c:pt>
                <c:pt idx="10">
                  <c:v>45941</c:v>
                </c:pt>
                <c:pt idx="11">
                  <c:v>45942</c:v>
                </c:pt>
                <c:pt idx="12">
                  <c:v>45943</c:v>
                </c:pt>
                <c:pt idx="13">
                  <c:v>45944</c:v>
                </c:pt>
                <c:pt idx="14">
                  <c:v>45945</c:v>
                </c:pt>
                <c:pt idx="15">
                  <c:v>45946</c:v>
                </c:pt>
                <c:pt idx="16">
                  <c:v>45947</c:v>
                </c:pt>
                <c:pt idx="17">
                  <c:v>45948</c:v>
                </c:pt>
                <c:pt idx="18">
                  <c:v>45949</c:v>
                </c:pt>
                <c:pt idx="19">
                  <c:v>45950</c:v>
                </c:pt>
                <c:pt idx="20">
                  <c:v>45951</c:v>
                </c:pt>
                <c:pt idx="21">
                  <c:v>45952</c:v>
                </c:pt>
                <c:pt idx="22">
                  <c:v>45953</c:v>
                </c:pt>
                <c:pt idx="23">
                  <c:v>45954</c:v>
                </c:pt>
                <c:pt idx="24">
                  <c:v>45955</c:v>
                </c:pt>
                <c:pt idx="25">
                  <c:v>45956</c:v>
                </c:pt>
                <c:pt idx="26">
                  <c:v>45957</c:v>
                </c:pt>
                <c:pt idx="27">
                  <c:v>45958</c:v>
                </c:pt>
                <c:pt idx="28">
                  <c:v>45959</c:v>
                </c:pt>
                <c:pt idx="29">
                  <c:v>45960</c:v>
                </c:pt>
                <c:pt idx="30">
                  <c:v>45961</c:v>
                </c:pt>
              </c:numCache>
            </c:numRef>
          </c:cat>
          <c:val>
            <c:numRef>
              <c:f>ダッシュボード!$G$40:$G$70</c:f>
              <c:numCache>
                <c:formatCode>General</c:formatCode>
                <c:ptCount val="31"/>
                <c:pt idx="0">
                  <c:v>1</c:v>
                </c:pt>
                <c:pt idx="1">
                  <c:v>2</c:v>
                </c:pt>
                <c:pt idx="2">
                  <c:v>2</c:v>
                </c:pt>
                <c:pt idx="3">
                  <c:v>3</c:v>
                </c:pt>
                <c:pt idx="4">
                  <c:v>3</c:v>
                </c:pt>
                <c:pt idx="5">
                  <c:v>4</c:v>
                </c:pt>
                <c:pt idx="6">
                  <c:v>5</c:v>
                </c:pt>
                <c:pt idx="7">
                  <c:v>5</c:v>
                </c:pt>
                <c:pt idx="8">
                  <c:v>4</c:v>
                </c:pt>
                <c:pt idx="9">
                  <c:v>3</c:v>
                </c:pt>
                <c:pt idx="10">
                  <c:v>2</c:v>
                </c:pt>
                <c:pt idx="11">
                  <c:v>2</c:v>
                </c:pt>
                <c:pt idx="12">
                  <c:v>2</c:v>
                </c:pt>
                <c:pt idx="13">
                  <c:v>3</c:v>
                </c:pt>
                <c:pt idx="14">
                  <c:v>2</c:v>
                </c:pt>
                <c:pt idx="15">
                  <c:v>5</c:v>
                </c:pt>
                <c:pt idx="16">
                  <c:v>4</c:v>
                </c:pt>
                <c:pt idx="17">
                  <c:v>3</c:v>
                </c:pt>
                <c:pt idx="18">
                  <c:v>4</c:v>
                </c:pt>
                <c:pt idx="19">
                  <c:v>5</c:v>
                </c:pt>
                <c:pt idx="20">
                  <c:v>3</c:v>
                </c:pt>
                <c:pt idx="21">
                  <c:v>2</c:v>
                </c:pt>
                <c:pt idx="22">
                  <c:v>2</c:v>
                </c:pt>
                <c:pt idx="23">
                  <c:v>3</c:v>
                </c:pt>
                <c:pt idx="24">
                  <c:v>2</c:v>
                </c:pt>
                <c:pt idx="25">
                  <c:v>2</c:v>
                </c:pt>
                <c:pt idx="26">
                  <c:v>3</c:v>
                </c:pt>
                <c:pt idx="27">
                  <c:v>2</c:v>
                </c:pt>
                <c:pt idx="28">
                  <c:v>2</c:v>
                </c:pt>
                <c:pt idx="29">
                  <c:v>2</c:v>
                </c:pt>
              </c:numCache>
            </c:numRef>
          </c:val>
          <c:extLst>
            <c:ext xmlns:c16="http://schemas.microsoft.com/office/drawing/2014/chart" uri="{C3380CC4-5D6E-409C-BE32-E72D297353CC}">
              <c16:uniqueId val="{00000004-4B78-4A1C-9676-E5E9016FF409}"/>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609600</xdr:colOff>
      <xdr:row>6</xdr:row>
      <xdr:rowOff>68580</xdr:rowOff>
    </xdr:from>
    <xdr:to>
      <xdr:col>20</xdr:col>
      <xdr:colOff>114300</xdr:colOff>
      <xdr:row>25</xdr:row>
      <xdr:rowOff>30480</xdr:rowOff>
    </xdr:to>
    <xdr:graphicFrame macro="">
      <xdr:nvGraphicFramePr>
        <xdr:cNvPr id="2" name="グラフ 1">
          <a:extLst>
            <a:ext uri="{FF2B5EF4-FFF2-40B4-BE49-F238E27FC236}">
              <a16:creationId xmlns:a16="http://schemas.microsoft.com/office/drawing/2014/main" id="{9B7F3933-F91F-46D4-6371-9440EE6524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xdr:colOff>
      <xdr:row>48</xdr:row>
      <xdr:rowOff>22860</xdr:rowOff>
    </xdr:from>
    <xdr:to>
      <xdr:col>20</xdr:col>
      <xdr:colOff>76200</xdr:colOff>
      <xdr:row>62</xdr:row>
      <xdr:rowOff>129540</xdr:rowOff>
    </xdr:to>
    <xdr:graphicFrame macro="">
      <xdr:nvGraphicFramePr>
        <xdr:cNvPr id="3" name="グラフ 2">
          <a:extLst>
            <a:ext uri="{FF2B5EF4-FFF2-40B4-BE49-F238E27FC236}">
              <a16:creationId xmlns:a16="http://schemas.microsoft.com/office/drawing/2014/main" id="{460ADE4A-C9E5-4BCE-A5F6-C9433005D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82</xdr:row>
      <xdr:rowOff>0</xdr:rowOff>
    </xdr:from>
    <xdr:to>
      <xdr:col>20</xdr:col>
      <xdr:colOff>60960</xdr:colOff>
      <xdr:row>96</xdr:row>
      <xdr:rowOff>106680</xdr:rowOff>
    </xdr:to>
    <xdr:graphicFrame macro="">
      <xdr:nvGraphicFramePr>
        <xdr:cNvPr id="4" name="グラフ 3">
          <a:extLst>
            <a:ext uri="{FF2B5EF4-FFF2-40B4-BE49-F238E27FC236}">
              <a16:creationId xmlns:a16="http://schemas.microsoft.com/office/drawing/2014/main" id="{A1C67DFF-3F0A-43A3-9ED2-CFF9D80D40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116</xdr:row>
      <xdr:rowOff>0</xdr:rowOff>
    </xdr:from>
    <xdr:to>
      <xdr:col>20</xdr:col>
      <xdr:colOff>60960</xdr:colOff>
      <xdr:row>130</xdr:row>
      <xdr:rowOff>106680</xdr:rowOff>
    </xdr:to>
    <xdr:graphicFrame macro="">
      <xdr:nvGraphicFramePr>
        <xdr:cNvPr id="5" name="グラフ 4">
          <a:extLst>
            <a:ext uri="{FF2B5EF4-FFF2-40B4-BE49-F238E27FC236}">
              <a16:creationId xmlns:a16="http://schemas.microsoft.com/office/drawing/2014/main" id="{C67F0F4A-67ED-48AE-904A-F9BF435140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150</xdr:row>
      <xdr:rowOff>0</xdr:rowOff>
    </xdr:from>
    <xdr:to>
      <xdr:col>20</xdr:col>
      <xdr:colOff>60960</xdr:colOff>
      <xdr:row>164</xdr:row>
      <xdr:rowOff>106680</xdr:rowOff>
    </xdr:to>
    <xdr:graphicFrame macro="">
      <xdr:nvGraphicFramePr>
        <xdr:cNvPr id="6" name="グラフ 5">
          <a:extLst>
            <a:ext uri="{FF2B5EF4-FFF2-40B4-BE49-F238E27FC236}">
              <a16:creationId xmlns:a16="http://schemas.microsoft.com/office/drawing/2014/main" id="{35E09060-FE88-4102-A708-180D2B226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184</xdr:row>
      <xdr:rowOff>0</xdr:rowOff>
    </xdr:from>
    <xdr:to>
      <xdr:col>20</xdr:col>
      <xdr:colOff>60960</xdr:colOff>
      <xdr:row>198</xdr:row>
      <xdr:rowOff>106680</xdr:rowOff>
    </xdr:to>
    <xdr:graphicFrame macro="">
      <xdr:nvGraphicFramePr>
        <xdr:cNvPr id="7" name="グラフ 6">
          <a:extLst>
            <a:ext uri="{FF2B5EF4-FFF2-40B4-BE49-F238E27FC236}">
              <a16:creationId xmlns:a16="http://schemas.microsoft.com/office/drawing/2014/main" id="{773BFCD4-2FFC-460C-8FF4-BE108277F9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218</xdr:row>
      <xdr:rowOff>0</xdr:rowOff>
    </xdr:from>
    <xdr:to>
      <xdr:col>20</xdr:col>
      <xdr:colOff>60960</xdr:colOff>
      <xdr:row>232</xdr:row>
      <xdr:rowOff>106680</xdr:rowOff>
    </xdr:to>
    <xdr:graphicFrame macro="">
      <xdr:nvGraphicFramePr>
        <xdr:cNvPr id="8" name="グラフ 7">
          <a:extLst>
            <a:ext uri="{FF2B5EF4-FFF2-40B4-BE49-F238E27FC236}">
              <a16:creationId xmlns:a16="http://schemas.microsoft.com/office/drawing/2014/main" id="{43FC2E9E-E114-4BD9-872E-A161CD73E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252</xdr:row>
      <xdr:rowOff>0</xdr:rowOff>
    </xdr:from>
    <xdr:to>
      <xdr:col>20</xdr:col>
      <xdr:colOff>60960</xdr:colOff>
      <xdr:row>266</xdr:row>
      <xdr:rowOff>106680</xdr:rowOff>
    </xdr:to>
    <xdr:graphicFrame macro="">
      <xdr:nvGraphicFramePr>
        <xdr:cNvPr id="9" name="グラフ 8">
          <a:extLst>
            <a:ext uri="{FF2B5EF4-FFF2-40B4-BE49-F238E27FC236}">
              <a16:creationId xmlns:a16="http://schemas.microsoft.com/office/drawing/2014/main" id="{A01459C1-1D84-4980-84A8-2DA1DFDF55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286</xdr:row>
      <xdr:rowOff>0</xdr:rowOff>
    </xdr:from>
    <xdr:to>
      <xdr:col>20</xdr:col>
      <xdr:colOff>60960</xdr:colOff>
      <xdr:row>300</xdr:row>
      <xdr:rowOff>106680</xdr:rowOff>
    </xdr:to>
    <xdr:graphicFrame macro="">
      <xdr:nvGraphicFramePr>
        <xdr:cNvPr id="10" name="グラフ 9">
          <a:extLst>
            <a:ext uri="{FF2B5EF4-FFF2-40B4-BE49-F238E27FC236}">
              <a16:creationId xmlns:a16="http://schemas.microsoft.com/office/drawing/2014/main" id="{5F476B27-6871-4630-846C-167F83EBB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320</xdr:row>
      <xdr:rowOff>0</xdr:rowOff>
    </xdr:from>
    <xdr:to>
      <xdr:col>20</xdr:col>
      <xdr:colOff>60960</xdr:colOff>
      <xdr:row>334</xdr:row>
      <xdr:rowOff>106680</xdr:rowOff>
    </xdr:to>
    <xdr:graphicFrame macro="">
      <xdr:nvGraphicFramePr>
        <xdr:cNvPr id="11" name="グラフ 10">
          <a:extLst>
            <a:ext uri="{FF2B5EF4-FFF2-40B4-BE49-F238E27FC236}">
              <a16:creationId xmlns:a16="http://schemas.microsoft.com/office/drawing/2014/main" id="{A63406B5-154D-440A-9684-E379CEC3BF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0</xdr:colOff>
      <xdr:row>354</xdr:row>
      <xdr:rowOff>0</xdr:rowOff>
    </xdr:from>
    <xdr:to>
      <xdr:col>20</xdr:col>
      <xdr:colOff>60960</xdr:colOff>
      <xdr:row>368</xdr:row>
      <xdr:rowOff>106680</xdr:rowOff>
    </xdr:to>
    <xdr:graphicFrame macro="">
      <xdr:nvGraphicFramePr>
        <xdr:cNvPr id="12" name="グラフ 11">
          <a:extLst>
            <a:ext uri="{FF2B5EF4-FFF2-40B4-BE49-F238E27FC236}">
              <a16:creationId xmlns:a16="http://schemas.microsoft.com/office/drawing/2014/main" id="{97A4B998-8401-4A52-A6E1-C18EF69017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388</xdr:row>
      <xdr:rowOff>0</xdr:rowOff>
    </xdr:from>
    <xdr:to>
      <xdr:col>20</xdr:col>
      <xdr:colOff>60960</xdr:colOff>
      <xdr:row>402</xdr:row>
      <xdr:rowOff>106680</xdr:rowOff>
    </xdr:to>
    <xdr:graphicFrame macro="">
      <xdr:nvGraphicFramePr>
        <xdr:cNvPr id="13" name="グラフ 12">
          <a:extLst>
            <a:ext uri="{FF2B5EF4-FFF2-40B4-BE49-F238E27FC236}">
              <a16:creationId xmlns:a16="http://schemas.microsoft.com/office/drawing/2014/main" id="{8F83FD2C-97EA-4082-A914-B64C51B66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0</xdr:colOff>
      <xdr:row>422</xdr:row>
      <xdr:rowOff>0</xdr:rowOff>
    </xdr:from>
    <xdr:to>
      <xdr:col>20</xdr:col>
      <xdr:colOff>60960</xdr:colOff>
      <xdr:row>436</xdr:row>
      <xdr:rowOff>106680</xdr:rowOff>
    </xdr:to>
    <xdr:graphicFrame macro="">
      <xdr:nvGraphicFramePr>
        <xdr:cNvPr id="14" name="グラフ 13">
          <a:extLst>
            <a:ext uri="{FF2B5EF4-FFF2-40B4-BE49-F238E27FC236}">
              <a16:creationId xmlns:a16="http://schemas.microsoft.com/office/drawing/2014/main" id="{8153F325-3CC5-4ADA-AF62-CAE1250A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8</xdr:col>
      <xdr:colOff>243840</xdr:colOff>
      <xdr:row>2</xdr:row>
      <xdr:rowOff>137160</xdr:rowOff>
    </xdr:from>
    <xdr:to>
      <xdr:col>12</xdr:col>
      <xdr:colOff>266700</xdr:colOff>
      <xdr:row>13</xdr:row>
      <xdr:rowOff>167640</xdr:rowOff>
    </xdr:to>
    <xdr:graphicFrame macro="">
      <xdr:nvGraphicFramePr>
        <xdr:cNvPr id="8" name="グラフ 7">
          <a:extLst>
            <a:ext uri="{FF2B5EF4-FFF2-40B4-BE49-F238E27FC236}">
              <a16:creationId xmlns:a16="http://schemas.microsoft.com/office/drawing/2014/main" id="{EF31F418-8128-5EDF-D065-605A028C7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171450</xdr:colOff>
      <xdr:row>17</xdr:row>
      <xdr:rowOff>114300</xdr:rowOff>
    </xdr:from>
    <xdr:to>
      <xdr:col>8</xdr:col>
      <xdr:colOff>571500</xdr:colOff>
      <xdr:row>32</xdr:row>
      <xdr:rowOff>83820</xdr:rowOff>
    </xdr:to>
    <xdr:graphicFrame macro="">
      <xdr:nvGraphicFramePr>
        <xdr:cNvPr id="11" name="グラフ 10">
          <a:extLst>
            <a:ext uri="{FF2B5EF4-FFF2-40B4-BE49-F238E27FC236}">
              <a16:creationId xmlns:a16="http://schemas.microsoft.com/office/drawing/2014/main" id="{33F5A196-C8C6-6724-8634-0756D4CFE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35</xdr:row>
      <xdr:rowOff>91440</xdr:rowOff>
    </xdr:from>
    <xdr:to>
      <xdr:col>15</xdr:col>
      <xdr:colOff>533400</xdr:colOff>
      <xdr:row>35</xdr:row>
      <xdr:rowOff>434340</xdr:rowOff>
    </xdr:to>
    <xdr:sp macro="[0]!手動入力内容クリア" textlink="">
      <xdr:nvSpPr>
        <xdr:cNvPr id="14" name="正方形/長方形 13">
          <a:extLst>
            <a:ext uri="{FF2B5EF4-FFF2-40B4-BE49-F238E27FC236}">
              <a16:creationId xmlns:a16="http://schemas.microsoft.com/office/drawing/2014/main" id="{7564CF29-1C16-7519-257F-B0A7411BCA1D}"/>
            </a:ext>
          </a:extLst>
        </xdr:cNvPr>
        <xdr:cNvSpPr/>
      </xdr:nvSpPr>
      <xdr:spPr>
        <a:xfrm>
          <a:off x="9502140" y="9707880"/>
          <a:ext cx="187452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手動入力内容クリア</a:t>
          </a:r>
        </a:p>
      </xdr:txBody>
    </xdr:sp>
    <xdr:clientData/>
  </xdr:twoCellAnchor>
  <xdr:twoCellAnchor>
    <xdr:from>
      <xdr:col>0</xdr:col>
      <xdr:colOff>106680</xdr:colOff>
      <xdr:row>4</xdr:row>
      <xdr:rowOff>152400</xdr:rowOff>
    </xdr:from>
    <xdr:to>
      <xdr:col>2</xdr:col>
      <xdr:colOff>502920</xdr:colOff>
      <xdr:row>6</xdr:row>
      <xdr:rowOff>129540</xdr:rowOff>
    </xdr:to>
    <xdr:sp macro="[0]!本日のセルへ移動" textlink="">
      <xdr:nvSpPr>
        <xdr:cNvPr id="3" name="正方形/長方形 2">
          <a:extLst>
            <a:ext uri="{FF2B5EF4-FFF2-40B4-BE49-F238E27FC236}">
              <a16:creationId xmlns:a16="http://schemas.microsoft.com/office/drawing/2014/main" id="{AD527424-DA22-4B5E-866B-ED7637FD4F0B}"/>
            </a:ext>
          </a:extLst>
        </xdr:cNvPr>
        <xdr:cNvSpPr/>
      </xdr:nvSpPr>
      <xdr:spPr>
        <a:xfrm>
          <a:off x="106680" y="1356360"/>
          <a:ext cx="2339340" cy="44196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a:t>
          </a:r>
          <a:r>
            <a:rPr kumimoji="1" lang="ja-JP" altLang="en-US" sz="1600" b="1">
              <a:solidFill>
                <a:sysClr val="windowText" lastClr="000000"/>
              </a:solidFill>
            </a:rPr>
            <a:t>▶ 本日のシートへ移動</a:t>
          </a:r>
        </a:p>
      </xdr:txBody>
    </xdr:sp>
    <xdr:clientData/>
  </xdr:twoCellAnchor>
  <xdr:twoCellAnchor>
    <xdr:from>
      <xdr:col>3</xdr:col>
      <xdr:colOff>472440</xdr:colOff>
      <xdr:row>18</xdr:row>
      <xdr:rowOff>121920</xdr:rowOff>
    </xdr:from>
    <xdr:to>
      <xdr:col>9</xdr:col>
      <xdr:colOff>297180</xdr:colOff>
      <xdr:row>31</xdr:row>
      <xdr:rowOff>114300</xdr:rowOff>
    </xdr:to>
    <xdr:graphicFrame macro="">
      <xdr:nvGraphicFramePr>
        <xdr:cNvPr id="4" name="グラフ 3">
          <a:extLst>
            <a:ext uri="{FF2B5EF4-FFF2-40B4-BE49-F238E27FC236}">
              <a16:creationId xmlns:a16="http://schemas.microsoft.com/office/drawing/2014/main" id="{9F1919A3-2C40-E31F-B18A-9FB3536F1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232410</xdr:colOff>
      <xdr:row>19</xdr:row>
      <xdr:rowOff>152400</xdr:rowOff>
    </xdr:from>
    <xdr:to>
      <xdr:col>21</xdr:col>
      <xdr:colOff>457200</xdr:colOff>
      <xdr:row>32</xdr:row>
      <xdr:rowOff>60960</xdr:rowOff>
    </xdr:to>
    <xdr:graphicFrame macro="">
      <xdr:nvGraphicFramePr>
        <xdr:cNvPr id="2" name="グラフ 1">
          <a:extLst>
            <a:ext uri="{FF2B5EF4-FFF2-40B4-BE49-F238E27FC236}">
              <a16:creationId xmlns:a16="http://schemas.microsoft.com/office/drawing/2014/main" id="{5A128134-7FBA-BCD6-2630-BCB9F1B2E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zutool.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60C95-4ED4-41C6-BE18-A461BD543523}">
  <sheetPr codeName="Sheet9">
    <tabColor rgb="FFFFC000"/>
  </sheetPr>
  <dimension ref="A1:U99"/>
  <sheetViews>
    <sheetView tabSelected="1" workbookViewId="0">
      <selection activeCell="A2" sqref="A2"/>
    </sheetView>
  </sheetViews>
  <sheetFormatPr defaultRowHeight="18"/>
  <cols>
    <col min="1" max="1" width="113.3984375" customWidth="1"/>
  </cols>
  <sheetData>
    <row r="1" spans="1:21" ht="40.950000000000003" customHeight="1" thickBot="1">
      <c r="A1" s="116" t="s">
        <v>294</v>
      </c>
      <c r="B1" s="343" t="str">
        <f>HYPERLINK("#ダッシュボード!A2","　▶ ダッシュボードへ")</f>
        <v>　▶ ダッシュボードへ</v>
      </c>
      <c r="C1" s="344"/>
      <c r="D1" s="345"/>
      <c r="E1" s="346"/>
      <c r="F1" s="8"/>
      <c r="G1" s="8"/>
      <c r="H1" s="8"/>
      <c r="I1" s="8"/>
      <c r="J1" s="8"/>
      <c r="K1" s="8"/>
      <c r="L1" s="8"/>
      <c r="M1" s="8"/>
      <c r="N1" s="8"/>
      <c r="O1" s="8"/>
      <c r="P1" s="8"/>
      <c r="Q1" s="8"/>
      <c r="R1" s="8"/>
      <c r="S1" s="8"/>
      <c r="T1" s="8"/>
      <c r="U1" s="8"/>
    </row>
    <row r="3" spans="1:21">
      <c r="A3" t="s">
        <v>296</v>
      </c>
    </row>
    <row r="4" spans="1:21">
      <c r="A4" t="s">
        <v>320</v>
      </c>
    </row>
    <row r="5" spans="1:21">
      <c r="A5" t="s">
        <v>297</v>
      </c>
    </row>
    <row r="6" spans="1:21">
      <c r="A6" t="s">
        <v>181</v>
      </c>
    </row>
    <row r="7" spans="1:21">
      <c r="A7" s="239" t="s">
        <v>246</v>
      </c>
    </row>
    <row r="8" spans="1:21">
      <c r="A8" s="239" t="s">
        <v>283</v>
      </c>
    </row>
    <row r="9" spans="1:21">
      <c r="A9" s="239" t="s">
        <v>326</v>
      </c>
    </row>
    <row r="10" spans="1:21">
      <c r="A10" s="239"/>
    </row>
    <row r="11" spans="1:21">
      <c r="A11" s="239" t="s">
        <v>199</v>
      </c>
    </row>
    <row r="12" spans="1:21">
      <c r="A12" s="239" t="s">
        <v>200</v>
      </c>
    </row>
    <row r="13" spans="1:21">
      <c r="A13" s="239" t="s">
        <v>214</v>
      </c>
    </row>
    <row r="14" spans="1:21">
      <c r="A14" s="239" t="s">
        <v>215</v>
      </c>
    </row>
    <row r="16" spans="1:21">
      <c r="A16" s="10" t="s">
        <v>182</v>
      </c>
    </row>
    <row r="17" spans="1:1">
      <c r="A17" t="s">
        <v>185</v>
      </c>
    </row>
    <row r="18" spans="1:1">
      <c r="A18" t="s">
        <v>186</v>
      </c>
    </row>
    <row r="19" spans="1:1">
      <c r="A19" t="s">
        <v>268</v>
      </c>
    </row>
    <row r="20" spans="1:1">
      <c r="A20" t="s">
        <v>269</v>
      </c>
    </row>
    <row r="21" spans="1:1">
      <c r="A21" t="s">
        <v>187</v>
      </c>
    </row>
    <row r="22" spans="1:1">
      <c r="A22" t="s">
        <v>188</v>
      </c>
    </row>
    <row r="23" spans="1:1">
      <c r="A23" t="s">
        <v>277</v>
      </c>
    </row>
    <row r="24" spans="1:1">
      <c r="A24" t="s">
        <v>189</v>
      </c>
    </row>
    <row r="25" spans="1:1">
      <c r="A25" t="s">
        <v>192</v>
      </c>
    </row>
    <row r="26" spans="1:1">
      <c r="A26" t="s">
        <v>190</v>
      </c>
    </row>
    <row r="27" spans="1:1">
      <c r="A27" t="s">
        <v>191</v>
      </c>
    </row>
    <row r="29" spans="1:1">
      <c r="A29" t="s">
        <v>193</v>
      </c>
    </row>
    <row r="30" spans="1:1">
      <c r="A30" t="s">
        <v>194</v>
      </c>
    </row>
    <row r="32" spans="1:1">
      <c r="A32" t="s">
        <v>195</v>
      </c>
    </row>
    <row r="33" spans="1:1">
      <c r="A33" t="s">
        <v>197</v>
      </c>
    </row>
    <row r="34" spans="1:1">
      <c r="A34" s="10" t="s">
        <v>204</v>
      </c>
    </row>
    <row r="35" spans="1:1">
      <c r="A35" t="s">
        <v>198</v>
      </c>
    </row>
    <row r="36" spans="1:1">
      <c r="A36" s="239" t="s">
        <v>201</v>
      </c>
    </row>
    <row r="37" spans="1:1">
      <c r="A37" s="239" t="s">
        <v>202</v>
      </c>
    </row>
    <row r="39" spans="1:1">
      <c r="A39" s="10" t="s">
        <v>203</v>
      </c>
    </row>
    <row r="40" spans="1:1">
      <c r="A40" t="s">
        <v>205</v>
      </c>
    </row>
    <row r="42" spans="1:1">
      <c r="A42" s="10" t="s">
        <v>206</v>
      </c>
    </row>
    <row r="43" spans="1:1">
      <c r="A43" t="s">
        <v>207</v>
      </c>
    </row>
    <row r="44" spans="1:1">
      <c r="A44" t="s">
        <v>208</v>
      </c>
    </row>
    <row r="46" spans="1:1">
      <c r="A46" s="10" t="s">
        <v>209</v>
      </c>
    </row>
    <row r="47" spans="1:1">
      <c r="A47" t="s">
        <v>210</v>
      </c>
    </row>
    <row r="49" spans="1:1">
      <c r="A49" s="10" t="s">
        <v>211</v>
      </c>
    </row>
    <row r="50" spans="1:1">
      <c r="A50" s="240" t="s">
        <v>212</v>
      </c>
    </row>
    <row r="51" spans="1:1">
      <c r="A51" s="240" t="s">
        <v>213</v>
      </c>
    </row>
    <row r="52" spans="1:1">
      <c r="A52" s="240" t="s">
        <v>247</v>
      </c>
    </row>
    <row r="53" spans="1:1">
      <c r="A53" s="240" t="s">
        <v>216</v>
      </c>
    </row>
    <row r="54" spans="1:1">
      <c r="A54" s="241" t="s">
        <v>272</v>
      </c>
    </row>
    <row r="55" spans="1:1">
      <c r="A55" s="241" t="s">
        <v>224</v>
      </c>
    </row>
    <row r="56" spans="1:1">
      <c r="A56" s="240" t="s">
        <v>273</v>
      </c>
    </row>
    <row r="57" spans="1:1" ht="17.399999999999999" customHeight="1">
      <c r="A57" s="241" t="s">
        <v>217</v>
      </c>
    </row>
    <row r="58" spans="1:1">
      <c r="A58" s="242" t="s">
        <v>321</v>
      </c>
    </row>
    <row r="59" spans="1:1">
      <c r="A59" s="242" t="s">
        <v>218</v>
      </c>
    </row>
    <row r="60" spans="1:1">
      <c r="A60" s="242" t="s">
        <v>219</v>
      </c>
    </row>
    <row r="61" spans="1:1">
      <c r="A61" s="242" t="s">
        <v>220</v>
      </c>
    </row>
    <row r="62" spans="1:1">
      <c r="A62" s="242" t="s">
        <v>221</v>
      </c>
    </row>
    <row r="63" spans="1:1">
      <c r="A63" s="242" t="s">
        <v>222</v>
      </c>
    </row>
    <row r="64" spans="1:1">
      <c r="A64" s="242" t="s">
        <v>223</v>
      </c>
    </row>
    <row r="65" spans="1:1">
      <c r="A65" s="242" t="s">
        <v>227</v>
      </c>
    </row>
    <row r="66" spans="1:1">
      <c r="A66" s="242" t="s">
        <v>226</v>
      </c>
    </row>
    <row r="67" spans="1:1">
      <c r="A67" s="242" t="s">
        <v>225</v>
      </c>
    </row>
    <row r="68" spans="1:1">
      <c r="A68" s="242" t="s">
        <v>228</v>
      </c>
    </row>
    <row r="69" spans="1:1">
      <c r="A69" s="242" t="s">
        <v>229</v>
      </c>
    </row>
    <row r="70" spans="1:1">
      <c r="A70" s="242" t="s">
        <v>381</v>
      </c>
    </row>
    <row r="71" spans="1:1">
      <c r="A71" s="242" t="s">
        <v>230</v>
      </c>
    </row>
    <row r="72" spans="1:1">
      <c r="A72" s="242" t="s">
        <v>231</v>
      </c>
    </row>
    <row r="73" spans="1:1">
      <c r="A73" s="242" t="s">
        <v>232</v>
      </c>
    </row>
    <row r="74" spans="1:1">
      <c r="A74" s="242" t="s">
        <v>233</v>
      </c>
    </row>
    <row r="75" spans="1:1">
      <c r="A75" s="242" t="s">
        <v>278</v>
      </c>
    </row>
    <row r="76" spans="1:1">
      <c r="A76" s="242" t="s">
        <v>234</v>
      </c>
    </row>
    <row r="77" spans="1:1">
      <c r="A77" s="242" t="s">
        <v>237</v>
      </c>
    </row>
    <row r="78" spans="1:1">
      <c r="A78" s="242" t="s">
        <v>238</v>
      </c>
    </row>
    <row r="79" spans="1:1">
      <c r="A79" s="242" t="s">
        <v>239</v>
      </c>
    </row>
    <row r="80" spans="1:1">
      <c r="A80" s="242" t="s">
        <v>240</v>
      </c>
    </row>
    <row r="81" spans="1:8">
      <c r="A81" s="242"/>
    </row>
    <row r="82" spans="1:8">
      <c r="A82" s="10" t="s">
        <v>362</v>
      </c>
    </row>
    <row r="83" spans="1:8">
      <c r="A83" s="242" t="s">
        <v>363</v>
      </c>
    </row>
    <row r="85" spans="1:8">
      <c r="A85" s="17" t="s">
        <v>241</v>
      </c>
    </row>
    <row r="86" spans="1:8">
      <c r="A86" s="242" t="s">
        <v>242</v>
      </c>
    </row>
    <row r="87" spans="1:8">
      <c r="A87" s="242" t="s">
        <v>243</v>
      </c>
    </row>
    <row r="88" spans="1:8" ht="409.2" customHeight="1">
      <c r="A88" s="6" t="s">
        <v>244</v>
      </c>
    </row>
    <row r="89" spans="1:8" ht="18.600000000000001" thickBot="1"/>
    <row r="90" spans="1:8">
      <c r="A90" s="418" t="s">
        <v>245</v>
      </c>
      <c r="B90" s="419"/>
      <c r="C90" s="419"/>
      <c r="D90" s="419"/>
      <c r="E90" s="419"/>
      <c r="F90" s="419"/>
      <c r="G90" s="419"/>
      <c r="H90" s="420"/>
    </row>
    <row r="91" spans="1:8" ht="18.600000000000001" thickBot="1">
      <c r="A91" s="421" t="s">
        <v>322</v>
      </c>
      <c r="B91" s="422"/>
      <c r="C91" s="422"/>
      <c r="D91" s="422"/>
      <c r="E91" s="422"/>
      <c r="F91" s="422"/>
      <c r="G91" s="422"/>
      <c r="H91" s="423"/>
    </row>
    <row r="92" spans="1:8">
      <c r="A92" s="239"/>
    </row>
    <row r="93" spans="1:8">
      <c r="A93" s="2" t="s">
        <v>295</v>
      </c>
    </row>
    <row r="94" spans="1:8">
      <c r="A94" s="2" t="s">
        <v>306</v>
      </c>
    </row>
    <row r="95" spans="1:8">
      <c r="A95" s="2" t="s">
        <v>327</v>
      </c>
    </row>
    <row r="96" spans="1:8">
      <c r="A96" s="2" t="s">
        <v>382</v>
      </c>
    </row>
    <row r="98" spans="1:1">
      <c r="A98" s="242" t="s">
        <v>248</v>
      </c>
    </row>
    <row r="99" spans="1:1">
      <c r="A99" s="10" t="s">
        <v>249</v>
      </c>
    </row>
  </sheetData>
  <mergeCells count="2">
    <mergeCell ref="A90:H90"/>
    <mergeCell ref="A91:H91"/>
  </mergeCells>
  <phoneticPr fontId="5"/>
  <hyperlinks>
    <hyperlink ref="A16" location="ダッシュボード!A2" display="▶ダッシュボード" xr:uid="{32374379-A982-4DDD-9D81-EB9BAEE42352}"/>
    <hyperlink ref="A34" location="ダッシュボード!O37" display="入力番号" xr:uid="{466EF007-3C38-4701-981E-640F440594C3}"/>
    <hyperlink ref="A39" location="売上工数管理!A2" display="▶売上工数管理シート" xr:uid="{D044CB2C-DD70-4940-BD85-ED0A2B53694B}"/>
    <hyperlink ref="A42" location="業務メモ!A2" display="▶業務メモシート" xr:uid="{A4F07902-7807-4AB9-BCB9-8554F4E61873}"/>
    <hyperlink ref="A46" location="案件コード!D3" display="▶案件コードシート" xr:uid="{742A51C4-F63F-4838-B138-9627EE9A6121}"/>
    <hyperlink ref="A49" location="基本データ!A4" display="▶基本データシート" xr:uid="{06FCF64B-878C-4873-8DD0-651B79D1F60A}"/>
    <hyperlink ref="A99" location="マニュアル!A2" display="▲トップへ戻る" xr:uid="{675843EB-DF64-49EF-9441-89608D6C42D6}"/>
    <hyperlink ref="A82" location="体調管理!A2" display="▶体調管理シート" xr:uid="{BCB57E17-8926-444A-A612-8D30A9490ED5}"/>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4000"/>
  </sheetPr>
  <dimension ref="A1:P42"/>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165</v>
      </c>
      <c r="B1" s="9"/>
      <c r="C1" s="9"/>
      <c r="D1" s="9"/>
      <c r="E1" s="9"/>
      <c r="F1" s="9"/>
      <c r="G1" s="9"/>
      <c r="H1" s="9"/>
      <c r="I1" s="350" t="s">
        <v>108</v>
      </c>
      <c r="J1" s="351"/>
      <c r="K1" s="9"/>
      <c r="L1" s="8"/>
      <c r="M1" s="8"/>
      <c r="N1" s="8"/>
      <c r="O1" s="8"/>
      <c r="P1" s="8"/>
    </row>
    <row r="3" spans="1:16">
      <c r="A3" t="s">
        <v>270</v>
      </c>
    </row>
    <row r="4" spans="1:16">
      <c r="A4" t="s">
        <v>270</v>
      </c>
    </row>
    <row r="5" spans="1:16">
      <c r="A5" t="s">
        <v>270</v>
      </c>
    </row>
    <row r="6" spans="1:16">
      <c r="A6" t="s">
        <v>270</v>
      </c>
    </row>
    <row r="7" spans="1:16">
      <c r="A7" t="s">
        <v>270</v>
      </c>
    </row>
    <row r="8" spans="1:16">
      <c r="A8" t="s">
        <v>270</v>
      </c>
    </row>
    <row r="9" spans="1:16">
      <c r="A9" t="s">
        <v>270</v>
      </c>
    </row>
    <row r="10" spans="1:16">
      <c r="A10" t="s">
        <v>270</v>
      </c>
    </row>
    <row r="11" spans="1:16">
      <c r="A11" t="s">
        <v>270</v>
      </c>
    </row>
    <row r="13" spans="1:16" ht="40.950000000000003" customHeight="1">
      <c r="A13" s="9" t="s">
        <v>164</v>
      </c>
      <c r="B13" s="9"/>
      <c r="C13" s="9"/>
      <c r="D13" s="9"/>
      <c r="E13" s="8"/>
      <c r="F13" s="8"/>
      <c r="G13" s="8"/>
      <c r="H13" s="8"/>
      <c r="I13" s="8"/>
      <c r="J13" s="8"/>
      <c r="K13" s="8"/>
      <c r="L13" s="8"/>
      <c r="M13" s="8"/>
      <c r="N13" s="8"/>
      <c r="O13" s="8"/>
      <c r="P13" s="8"/>
    </row>
    <row r="14" spans="1:16">
      <c r="A14" s="20" t="s">
        <v>79</v>
      </c>
      <c r="B14" s="18"/>
      <c r="C14" s="18"/>
      <c r="D14" s="18"/>
      <c r="E14" s="19"/>
      <c r="F14" s="19"/>
      <c r="G14" s="19"/>
      <c r="H14" s="19"/>
      <c r="I14" s="19"/>
      <c r="J14" s="19"/>
      <c r="K14" s="19"/>
      <c r="L14" s="19"/>
      <c r="M14" s="19"/>
      <c r="N14" s="19"/>
      <c r="O14" s="19"/>
      <c r="P14" s="19"/>
    </row>
    <row r="15" spans="1:16">
      <c r="A15" s="358" t="s">
        <v>305</v>
      </c>
      <c r="B15" s="18"/>
      <c r="C15" s="18"/>
      <c r="D15" s="18"/>
      <c r="E15" s="19"/>
      <c r="F15" s="19"/>
      <c r="G15" s="19"/>
      <c r="H15" s="19"/>
      <c r="I15" s="19"/>
      <c r="J15" s="19"/>
      <c r="K15" s="19"/>
      <c r="L15" s="19"/>
      <c r="M15" s="19"/>
      <c r="N15" s="19"/>
      <c r="O15" s="19"/>
      <c r="P15" s="19"/>
    </row>
    <row r="16" spans="1:16">
      <c r="A16" s="21"/>
      <c r="B16" s="18"/>
      <c r="C16" s="18"/>
      <c r="D16" s="18"/>
      <c r="E16" s="19"/>
      <c r="F16" s="19"/>
      <c r="G16" s="19"/>
      <c r="H16" s="19"/>
      <c r="I16" s="19"/>
      <c r="J16" s="19"/>
      <c r="K16" s="19"/>
      <c r="L16" s="19"/>
      <c r="M16" s="19"/>
      <c r="N16" s="19"/>
      <c r="O16" s="19"/>
      <c r="P16" s="19"/>
    </row>
    <row r="17" spans="1:16">
      <c r="A17" s="21"/>
      <c r="B17" s="18"/>
      <c r="C17" s="18"/>
      <c r="D17" s="18"/>
      <c r="E17" s="19"/>
      <c r="F17" s="19"/>
      <c r="G17" s="19"/>
      <c r="H17" s="19"/>
      <c r="I17" s="19"/>
      <c r="J17" s="19"/>
      <c r="K17" s="19"/>
      <c r="L17" s="19"/>
      <c r="M17" s="19"/>
      <c r="N17" s="19"/>
      <c r="O17" s="19"/>
      <c r="P17" s="19"/>
    </row>
    <row r="18" spans="1:16">
      <c r="A18" s="21"/>
      <c r="B18" s="18"/>
      <c r="C18" s="18"/>
      <c r="D18" s="18"/>
      <c r="E18" s="19"/>
      <c r="F18" s="19"/>
      <c r="G18" s="19"/>
      <c r="H18" s="19"/>
      <c r="I18" s="19"/>
      <c r="J18" s="19"/>
      <c r="K18" s="19"/>
      <c r="L18" s="19"/>
      <c r="M18" s="19"/>
      <c r="N18" s="19"/>
      <c r="O18" s="19"/>
      <c r="P18" s="19"/>
    </row>
    <row r="19" spans="1:16">
      <c r="A19" s="21"/>
      <c r="B19" s="18"/>
      <c r="C19" s="18"/>
      <c r="D19" s="18"/>
      <c r="E19" s="19"/>
      <c r="F19" s="19"/>
      <c r="G19" s="19"/>
      <c r="H19" s="19"/>
      <c r="I19" s="19"/>
      <c r="J19" s="19"/>
      <c r="K19" s="19"/>
      <c r="L19" s="19"/>
      <c r="M19" s="19"/>
      <c r="N19" s="19"/>
      <c r="O19" s="19"/>
      <c r="P19" s="19"/>
    </row>
    <row r="20" spans="1:16">
      <c r="A20" s="21"/>
      <c r="B20" s="18"/>
      <c r="C20" s="18"/>
      <c r="D20" s="18"/>
      <c r="E20" s="19"/>
      <c r="F20" s="19"/>
      <c r="G20" s="19"/>
      <c r="H20" s="19"/>
      <c r="I20" s="19"/>
      <c r="J20" s="19"/>
      <c r="K20" s="19"/>
      <c r="L20" s="19"/>
      <c r="M20" s="19"/>
      <c r="N20" s="19"/>
      <c r="O20" s="19"/>
      <c r="P20" s="19"/>
    </row>
    <row r="21" spans="1:16">
      <c r="A21" s="21"/>
      <c r="B21" s="18"/>
      <c r="C21" s="18"/>
      <c r="D21" s="18"/>
      <c r="E21" s="19"/>
      <c r="F21" s="19"/>
      <c r="G21" s="19"/>
      <c r="H21" s="19"/>
      <c r="I21" s="19"/>
      <c r="J21" s="19"/>
      <c r="K21" s="19"/>
      <c r="L21" s="19"/>
      <c r="M21" s="19"/>
      <c r="N21" s="19"/>
      <c r="O21" s="19"/>
      <c r="P21" s="19"/>
    </row>
    <row r="22" spans="1:16">
      <c r="A22" s="21"/>
      <c r="B22" s="18"/>
      <c r="C22" s="18"/>
      <c r="D22" s="18"/>
      <c r="E22" s="19"/>
      <c r="F22" s="19"/>
      <c r="G22" s="19"/>
      <c r="H22" s="19"/>
      <c r="I22" s="19"/>
      <c r="J22" s="19"/>
      <c r="K22" s="19"/>
      <c r="L22" s="19"/>
      <c r="M22" s="19"/>
      <c r="N22" s="19"/>
      <c r="O22" s="19"/>
      <c r="P22" s="19"/>
    </row>
    <row r="23" spans="1:16">
      <c r="A23" s="20"/>
      <c r="B23" s="18"/>
      <c r="C23" s="18"/>
      <c r="D23" s="18"/>
      <c r="E23" s="19"/>
      <c r="F23" s="19"/>
      <c r="G23" s="19"/>
      <c r="H23" s="19"/>
      <c r="I23" s="19"/>
      <c r="J23" s="19"/>
      <c r="K23" s="19"/>
      <c r="L23" s="19"/>
      <c r="M23" s="19"/>
      <c r="N23" s="19"/>
      <c r="O23" s="19"/>
      <c r="P23" s="19"/>
    </row>
    <row r="24" spans="1:16">
      <c r="A24" s="21"/>
      <c r="B24" s="18"/>
      <c r="C24" s="18"/>
      <c r="D24" s="18"/>
      <c r="E24" s="19"/>
      <c r="F24" s="19"/>
      <c r="G24" s="19"/>
      <c r="H24" s="19"/>
      <c r="I24" s="19"/>
      <c r="J24" s="19"/>
      <c r="K24" s="19"/>
      <c r="L24" s="19"/>
      <c r="M24" s="19"/>
      <c r="N24" s="19"/>
      <c r="O24" s="19"/>
      <c r="P24" s="19"/>
    </row>
    <row r="25" spans="1:16">
      <c r="A25" s="18"/>
      <c r="B25" s="18"/>
      <c r="C25" s="18"/>
      <c r="D25" s="18"/>
      <c r="E25" s="19"/>
      <c r="F25" s="19"/>
      <c r="G25" s="19"/>
      <c r="H25" s="19"/>
      <c r="I25" s="19"/>
      <c r="J25" s="19"/>
      <c r="K25" s="19"/>
      <c r="L25" s="19"/>
      <c r="M25" s="19"/>
      <c r="N25" s="19"/>
      <c r="O25" s="19"/>
      <c r="P25" s="19"/>
    </row>
    <row r="26" spans="1:16">
      <c r="A26" s="18"/>
      <c r="B26" s="18"/>
      <c r="C26" s="18"/>
      <c r="D26" s="18"/>
      <c r="E26" s="19"/>
      <c r="F26" s="19"/>
      <c r="G26" s="19"/>
      <c r="H26" s="19"/>
      <c r="I26" s="19"/>
      <c r="J26" s="19"/>
      <c r="K26" s="19"/>
      <c r="L26" s="19"/>
      <c r="M26" s="19"/>
      <c r="N26" s="19"/>
      <c r="O26" s="19"/>
      <c r="P26" s="19"/>
    </row>
    <row r="27" spans="1:16">
      <c r="A27" s="18"/>
      <c r="B27" s="18"/>
      <c r="C27" s="18"/>
      <c r="D27" s="18"/>
      <c r="E27" s="19"/>
      <c r="F27" s="19"/>
      <c r="G27" s="19"/>
      <c r="H27" s="19"/>
      <c r="I27" s="19"/>
      <c r="J27" s="19"/>
      <c r="K27" s="19"/>
      <c r="L27" s="19"/>
      <c r="M27" s="19"/>
      <c r="N27" s="19"/>
      <c r="O27" s="19"/>
      <c r="P27" s="19"/>
    </row>
    <row r="28" spans="1:16">
      <c r="A28" s="18"/>
      <c r="B28" s="18"/>
      <c r="C28" s="18"/>
      <c r="D28" s="18"/>
      <c r="E28" s="19"/>
      <c r="F28" s="19"/>
      <c r="G28" s="19"/>
      <c r="H28" s="19"/>
      <c r="I28" s="19"/>
      <c r="J28" s="19"/>
      <c r="K28" s="19"/>
      <c r="L28" s="19"/>
      <c r="M28" s="19"/>
      <c r="N28" s="19"/>
      <c r="O28" s="19"/>
      <c r="P28" s="19"/>
    </row>
    <row r="29" spans="1:16">
      <c r="A29" s="18"/>
      <c r="B29" s="18"/>
      <c r="C29" s="18"/>
      <c r="D29" s="18"/>
      <c r="E29" s="19"/>
      <c r="F29" s="19"/>
      <c r="G29" s="19"/>
      <c r="H29" s="19"/>
      <c r="I29" s="19"/>
      <c r="J29" s="19"/>
      <c r="K29" s="19"/>
      <c r="L29" s="19"/>
      <c r="M29" s="19"/>
      <c r="N29" s="19"/>
      <c r="O29" s="19"/>
      <c r="P29" s="19"/>
    </row>
    <row r="30" spans="1:16">
      <c r="A30" s="18"/>
      <c r="B30" s="18"/>
      <c r="C30" s="18"/>
      <c r="D30" s="18"/>
      <c r="E30" s="19"/>
      <c r="F30" s="19"/>
      <c r="G30" s="19"/>
      <c r="H30" s="19"/>
      <c r="I30" s="19"/>
      <c r="J30" s="19"/>
      <c r="K30" s="19"/>
      <c r="L30" s="19"/>
      <c r="M30" s="19"/>
      <c r="N30" s="19"/>
      <c r="O30" s="19"/>
      <c r="P30" s="19"/>
    </row>
    <row r="31" spans="1:16">
      <c r="A31" s="19"/>
      <c r="B31" s="19"/>
      <c r="C31" s="19"/>
      <c r="D31" s="19"/>
      <c r="E31" s="19"/>
      <c r="F31" s="19"/>
      <c r="G31" s="19"/>
      <c r="H31" s="19"/>
      <c r="I31" s="19"/>
      <c r="J31" s="19"/>
      <c r="K31" s="19"/>
      <c r="L31" s="19"/>
      <c r="M31" s="19"/>
      <c r="N31" s="19"/>
      <c r="O31" s="19"/>
      <c r="P31" s="19"/>
    </row>
    <row r="32" spans="1:16">
      <c r="A32" s="19"/>
      <c r="B32" s="19"/>
      <c r="C32" s="19"/>
      <c r="D32" s="19"/>
      <c r="E32" s="19"/>
      <c r="F32" s="19"/>
      <c r="G32" s="19"/>
      <c r="H32" s="19"/>
      <c r="I32" s="19"/>
      <c r="J32" s="19"/>
      <c r="K32" s="19"/>
      <c r="L32" s="19"/>
      <c r="M32" s="19"/>
      <c r="N32" s="19"/>
      <c r="O32" s="19"/>
      <c r="P32" s="19"/>
    </row>
    <row r="33" spans="1:16">
      <c r="A33" s="19"/>
      <c r="B33" s="19"/>
      <c r="C33" s="19"/>
      <c r="D33" s="19"/>
      <c r="E33" s="19"/>
      <c r="F33" s="19"/>
      <c r="G33" s="19"/>
      <c r="H33" s="19"/>
      <c r="I33" s="19"/>
      <c r="J33" s="19"/>
      <c r="K33" s="19"/>
      <c r="L33" s="19"/>
      <c r="M33" s="19"/>
      <c r="N33" s="19"/>
      <c r="O33" s="19"/>
      <c r="P33" s="19"/>
    </row>
    <row r="34" spans="1:16">
      <c r="A34" s="19"/>
      <c r="B34" s="19"/>
      <c r="C34" s="19"/>
      <c r="D34" s="19"/>
      <c r="E34" s="19"/>
      <c r="F34" s="19"/>
      <c r="G34" s="19"/>
      <c r="H34" s="19"/>
      <c r="I34" s="19"/>
      <c r="J34" s="19"/>
      <c r="K34" s="19"/>
      <c r="L34" s="19"/>
      <c r="M34" s="19"/>
      <c r="N34" s="19"/>
      <c r="O34" s="19"/>
      <c r="P34" s="19"/>
    </row>
    <row r="35" spans="1:16">
      <c r="A35" s="19"/>
      <c r="B35" s="19"/>
      <c r="C35" s="19"/>
      <c r="D35" s="19"/>
      <c r="E35" s="19"/>
      <c r="F35" s="19"/>
      <c r="G35" s="19"/>
      <c r="H35" s="19"/>
      <c r="I35" s="19"/>
      <c r="J35" s="19"/>
      <c r="K35" s="19"/>
      <c r="L35" s="19"/>
      <c r="M35" s="19"/>
      <c r="N35" s="19"/>
      <c r="O35" s="19"/>
      <c r="P35" s="19"/>
    </row>
    <row r="36" spans="1:16">
      <c r="A36" s="19"/>
      <c r="B36" s="19"/>
      <c r="C36" s="19"/>
      <c r="D36" s="19"/>
      <c r="E36" s="19"/>
      <c r="F36" s="19"/>
      <c r="G36" s="19"/>
      <c r="H36" s="19"/>
      <c r="I36" s="19"/>
      <c r="J36" s="19"/>
      <c r="K36" s="19"/>
      <c r="L36" s="19"/>
      <c r="M36" s="19"/>
      <c r="N36" s="19"/>
      <c r="O36" s="19"/>
      <c r="P36" s="19"/>
    </row>
    <row r="37" spans="1:16">
      <c r="A37" s="19"/>
      <c r="B37" s="19"/>
      <c r="C37" s="19"/>
      <c r="D37" s="19"/>
      <c r="E37" s="19"/>
      <c r="F37" s="19"/>
      <c r="G37" s="19"/>
      <c r="H37" s="19"/>
      <c r="I37" s="19"/>
      <c r="J37" s="19"/>
      <c r="K37" s="19"/>
      <c r="L37" s="19"/>
      <c r="M37" s="19"/>
      <c r="N37" s="19"/>
      <c r="O37" s="19"/>
      <c r="P37" s="19"/>
    </row>
    <row r="38" spans="1:16">
      <c r="A38" s="19"/>
      <c r="B38" s="19"/>
      <c r="C38" s="19"/>
      <c r="D38" s="19"/>
      <c r="E38" s="19"/>
      <c r="F38" s="19"/>
      <c r="G38" s="19"/>
      <c r="H38" s="19"/>
      <c r="I38" s="19"/>
      <c r="J38" s="19"/>
      <c r="K38" s="19"/>
      <c r="L38" s="19"/>
      <c r="M38" s="19"/>
      <c r="N38" s="19"/>
      <c r="O38" s="19"/>
      <c r="P38" s="19"/>
    </row>
    <row r="39" spans="1:16">
      <c r="A39" s="19"/>
      <c r="B39" s="19"/>
      <c r="C39" s="19"/>
      <c r="D39" s="19"/>
      <c r="E39" s="19"/>
      <c r="F39" s="19"/>
      <c r="G39" s="19"/>
      <c r="H39" s="19"/>
      <c r="I39" s="19"/>
      <c r="J39" s="19"/>
      <c r="K39" s="19"/>
      <c r="L39" s="19"/>
      <c r="M39" s="19"/>
      <c r="N39" s="19"/>
      <c r="O39" s="19"/>
      <c r="P39" s="19"/>
    </row>
    <row r="40" spans="1:16">
      <c r="A40" s="19"/>
      <c r="B40" s="19"/>
      <c r="C40" s="19"/>
      <c r="D40" s="19"/>
      <c r="E40" s="19"/>
      <c r="F40" s="19"/>
      <c r="G40" s="19"/>
      <c r="H40" s="19"/>
      <c r="I40" s="19"/>
      <c r="J40" s="19"/>
      <c r="K40" s="19"/>
      <c r="L40" s="19"/>
      <c r="M40" s="19"/>
      <c r="N40" s="19"/>
      <c r="O40" s="19"/>
      <c r="P40" s="19"/>
    </row>
    <row r="41" spans="1:16">
      <c r="A41" s="19"/>
      <c r="B41" s="19"/>
      <c r="C41" s="19"/>
      <c r="D41" s="19"/>
      <c r="E41" s="19"/>
      <c r="F41" s="19"/>
      <c r="G41" s="19"/>
      <c r="H41" s="19"/>
      <c r="I41" s="19"/>
      <c r="J41" s="19"/>
      <c r="K41" s="19"/>
      <c r="L41" s="19"/>
      <c r="M41" s="19"/>
      <c r="N41" s="19"/>
      <c r="O41" s="19"/>
      <c r="P41" s="19"/>
    </row>
    <row r="42" spans="1:16">
      <c r="A42" s="19"/>
      <c r="B42" s="19"/>
      <c r="C42" s="19"/>
      <c r="D42" s="19"/>
      <c r="E42" s="19"/>
      <c r="F42" s="19"/>
      <c r="G42" s="19"/>
      <c r="H42" s="19"/>
      <c r="I42" s="19"/>
      <c r="J42" s="19"/>
      <c r="K42" s="19"/>
      <c r="L42" s="19"/>
      <c r="M42" s="19"/>
      <c r="N42" s="19"/>
      <c r="O42" s="19"/>
      <c r="P42" s="19"/>
    </row>
  </sheetData>
  <phoneticPr fontId="5"/>
  <hyperlinks>
    <hyperlink ref="I1" location="ダッシュボード!A2" display="▶ダッシュボードへ" xr:uid="{DA19CEFA-07CC-4918-A3F0-F33F2B6DFB9F}"/>
    <hyperlink ref="A14" location="業務メモ!A2" display="全体" xr:uid="{192F92DF-C45E-4971-B0E6-DF557C0A9A84}"/>
    <hyperlink ref="A15" location="業務メモ_Webデザイン!A2" display="業務メモ_Webデザイン" xr:uid="{3707D8E5-8FC9-4350-92C7-63049EF99ABD}"/>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4948-CE21-48E8-B5C5-4BFE9D08EF5B}">
  <sheetPr codeName="Sheet3">
    <tabColor rgb="FFFF4000"/>
  </sheetPr>
  <dimension ref="A1:P11"/>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304</v>
      </c>
      <c r="B1" s="9"/>
      <c r="C1" s="9"/>
      <c r="D1" s="9"/>
      <c r="E1" s="9"/>
      <c r="F1" s="9"/>
      <c r="G1" s="9"/>
      <c r="H1" s="9"/>
      <c r="I1" s="350" t="s">
        <v>108</v>
      </c>
      <c r="J1" s="351"/>
      <c r="K1" s="9"/>
      <c r="L1" s="8"/>
      <c r="M1" s="8"/>
      <c r="N1" s="8"/>
      <c r="O1" s="8"/>
      <c r="P1" s="8"/>
    </row>
    <row r="3" spans="1:16">
      <c r="A3" t="s">
        <v>270</v>
      </c>
    </row>
    <row r="4" spans="1:16">
      <c r="A4" t="s">
        <v>270</v>
      </c>
    </row>
    <row r="5" spans="1:16">
      <c r="A5" t="s">
        <v>270</v>
      </c>
    </row>
    <row r="6" spans="1:16">
      <c r="A6" t="s">
        <v>270</v>
      </c>
    </row>
    <row r="7" spans="1:16">
      <c r="A7" t="s">
        <v>270</v>
      </c>
    </row>
    <row r="8" spans="1:16">
      <c r="A8" t="s">
        <v>270</v>
      </c>
    </row>
    <row r="9" spans="1:16">
      <c r="A9" t="s">
        <v>270</v>
      </c>
    </row>
    <row r="10" spans="1:16">
      <c r="A10" t="s">
        <v>270</v>
      </c>
    </row>
    <row r="11" spans="1:16">
      <c r="A11" t="s">
        <v>270</v>
      </c>
    </row>
  </sheetData>
  <phoneticPr fontId="5"/>
  <hyperlinks>
    <hyperlink ref="I1" location="ダッシュボード!A2" display="▶ダッシュボードへ" xr:uid="{A6ED5F1D-6174-475F-9295-02FE13065A64}"/>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C81D-0402-43D6-9D9A-6872A0DF4C7B}">
  <sheetPr codeName="Sheet1">
    <tabColor theme="8" tint="0.39997558519241921"/>
  </sheetPr>
  <dimension ref="A1:AJ156"/>
  <sheetViews>
    <sheetView workbookViewId="0">
      <selection activeCell="A2" sqref="A2"/>
    </sheetView>
  </sheetViews>
  <sheetFormatPr defaultRowHeight="18"/>
  <cols>
    <col min="1" max="6" width="8.796875" style="37"/>
    <col min="7" max="7" width="10" style="37" customWidth="1"/>
    <col min="8" max="9" width="8.796875" style="37"/>
    <col min="10" max="10" width="8.796875" style="37" customWidth="1"/>
    <col min="11" max="12" width="8.796875" style="37"/>
    <col min="13" max="13" width="18" style="37" customWidth="1"/>
    <col min="14" max="14" width="10.5" style="37" bestFit="1" customWidth="1"/>
    <col min="15" max="15" width="9" style="37" bestFit="1" customWidth="1"/>
    <col min="16" max="16" width="8.796875" style="37" customWidth="1"/>
    <col min="17" max="17" width="9" style="37" bestFit="1" customWidth="1"/>
    <col min="18" max="18" width="8.796875" style="37" customWidth="1"/>
    <col min="19" max="19" width="15.69921875" style="37" customWidth="1"/>
    <col min="20" max="16384" width="8.796875" style="37"/>
  </cols>
  <sheetData>
    <row r="1" spans="1:19" ht="40.950000000000003" customHeight="1" thickBot="1">
      <c r="A1" s="187" t="s">
        <v>109</v>
      </c>
      <c r="B1" s="188"/>
      <c r="C1" s="188"/>
      <c r="D1" s="189" t="s">
        <v>166</v>
      </c>
      <c r="E1" s="190"/>
      <c r="F1" s="190"/>
      <c r="G1" s="190"/>
      <c r="H1" s="190"/>
      <c r="I1" s="190"/>
      <c r="J1" s="188"/>
      <c r="K1" s="191" t="s">
        <v>133</v>
      </c>
      <c r="L1" s="192"/>
      <c r="M1" s="193"/>
      <c r="N1" s="193"/>
      <c r="O1" s="188"/>
      <c r="P1" s="347" t="str">
        <f>HYPERLINK("#ダッシュボード!A2"," リンク： ▶ ダッシュボードへ")</f>
        <v xml:space="preserve"> リンク： ▶ ダッシュボードへ</v>
      </c>
      <c r="Q1" s="348"/>
      <c r="R1" s="349"/>
      <c r="S1" s="194"/>
    </row>
    <row r="2" spans="1:19">
      <c r="C2" s="3" t="s">
        <v>282</v>
      </c>
    </row>
    <row r="3" spans="1:19" ht="18.600000000000001" thickBot="1">
      <c r="A3" s="91" t="s">
        <v>43</v>
      </c>
      <c r="F3" s="91" t="s">
        <v>279</v>
      </c>
      <c r="J3" s="91" t="s">
        <v>280</v>
      </c>
    </row>
    <row r="4" spans="1:19" ht="18.600000000000001" thickBot="1">
      <c r="A4" s="117">
        <v>2025</v>
      </c>
      <c r="B4" s="118" t="s">
        <v>35</v>
      </c>
      <c r="D4" s="91" t="s">
        <v>38</v>
      </c>
      <c r="F4" s="91" t="s">
        <v>281</v>
      </c>
      <c r="H4" s="91" t="s">
        <v>42</v>
      </c>
      <c r="J4" s="91" t="s">
        <v>47</v>
      </c>
      <c r="L4" s="91" t="s">
        <v>39</v>
      </c>
      <c r="N4" s="119">
        <f ca="1">SUM($D$5:$D$16)</f>
        <v>88000</v>
      </c>
      <c r="O4" s="91"/>
      <c r="P4" s="91" t="s">
        <v>57</v>
      </c>
      <c r="R4" s="100">
        <f ca="1">SUM(D52)</f>
        <v>8</v>
      </c>
      <c r="S4" s="91" t="s">
        <v>50</v>
      </c>
    </row>
    <row r="5" spans="1:19" ht="18.600000000000001" thickBot="1">
      <c r="A5" s="37">
        <f>A4</f>
        <v>2025</v>
      </c>
      <c r="B5" s="37" t="s">
        <v>23</v>
      </c>
      <c r="C5" s="120" t="str">
        <f>A5&amp;""&amp;B5</f>
        <v>2025_01</v>
      </c>
      <c r="D5" s="121" t="str" cm="1">
        <f t="array" aca="1" ref="D5" ca="1">IFERROR(VALUE(INDIRECT("'" &amp; $C5 &amp; "'!AL2")), "")</f>
        <v/>
      </c>
      <c r="F5" s="122" t="str" cm="1">
        <f t="array" aca="1" ref="F5" ca="1">IFERROR(VALUE(INDIRECT("'" &amp; $C5 &amp; "'!F1")), "")</f>
        <v/>
      </c>
      <c r="H5" s="121" t="str" cm="1">
        <f t="array" aca="1" ref="H5" ca="1">IFERROR(VALUE(INDIRECT("'" &amp; $C5 &amp; "'!BB2")), "")</f>
        <v/>
      </c>
      <c r="J5" s="123">
        <f ca="1">SUM(F5,H5)</f>
        <v>0</v>
      </c>
    </row>
    <row r="6" spans="1:19" ht="18.600000000000001" thickBot="1">
      <c r="A6" s="37">
        <f>A4</f>
        <v>2025</v>
      </c>
      <c r="B6" s="37" t="s">
        <v>24</v>
      </c>
      <c r="C6" s="120" t="str">
        <f t="shared" ref="C6:C16" si="0">A6&amp;""&amp;B6</f>
        <v>2025_02</v>
      </c>
      <c r="D6" s="124" t="str" cm="1">
        <f t="array" aca="1" ref="D6" ca="1">IFERROR(VALUE(INDIRECT("'" &amp; $C6 &amp; "'!AL2")), "")</f>
        <v/>
      </c>
      <c r="F6" s="125" t="str" cm="1">
        <f t="array" aca="1" ref="F6" ca="1">IFERROR(VALUE(INDIRECT("'" &amp; $C6 &amp; "'!F1")), "")</f>
        <v/>
      </c>
      <c r="H6" s="124" t="str" cm="1">
        <f t="array" aca="1" ref="H6" ca="1">IFERROR(VALUE(INDIRECT("'" &amp; $C6 &amp; "'!BB2")), "")</f>
        <v/>
      </c>
      <c r="J6" s="126">
        <f ca="1">SUM(F6,H6)</f>
        <v>0</v>
      </c>
      <c r="L6" s="91" t="s">
        <v>44</v>
      </c>
      <c r="N6" s="127">
        <f ca="1">SUM($F$5:$F$16)</f>
        <v>88000</v>
      </c>
      <c r="O6" s="91"/>
    </row>
    <row r="7" spans="1:19">
      <c r="A7" s="37">
        <f>A4</f>
        <v>2025</v>
      </c>
      <c r="B7" s="37" t="s">
        <v>25</v>
      </c>
      <c r="C7" s="120" t="str">
        <f t="shared" si="0"/>
        <v>2025_03</v>
      </c>
      <c r="D7" s="124" t="str" cm="1">
        <f t="array" aca="1" ref="D7" ca="1">IFERROR(VALUE(INDIRECT("'" &amp; $C7 &amp; "'!AL2")), "")</f>
        <v/>
      </c>
      <c r="F7" s="125" t="str" cm="1">
        <f t="array" aca="1" ref="F7" ca="1">IFERROR(VALUE(INDIRECT("'" &amp; $C7 &amp; "'!F1")), "")</f>
        <v/>
      </c>
      <c r="H7" s="124" t="str" cm="1">
        <f t="array" aca="1" ref="H7" ca="1">IFERROR(VALUE(INDIRECT("'" &amp; $C7 &amp; "'!BB2")), "")</f>
        <v/>
      </c>
      <c r="J7" s="126">
        <f t="shared" ref="J7:J16" ca="1" si="1">SUM(F7,H7)</f>
        <v>0</v>
      </c>
      <c r="L7" s="93" t="s">
        <v>252</v>
      </c>
    </row>
    <row r="8" spans="1:19" ht="18.600000000000001" thickBot="1">
      <c r="A8" s="37">
        <f>A4</f>
        <v>2025</v>
      </c>
      <c r="B8" s="37" t="s">
        <v>26</v>
      </c>
      <c r="C8" s="120" t="str">
        <f t="shared" si="0"/>
        <v>2025_04</v>
      </c>
      <c r="D8" s="124" t="str" cm="1">
        <f t="array" aca="1" ref="D8" ca="1">IFERROR(VALUE(INDIRECT("'" &amp; $C8 &amp; "'!AL2")), "")</f>
        <v/>
      </c>
      <c r="F8" s="125" t="str" cm="1">
        <f t="array" aca="1" ref="F8" ca="1">IFERROR(VALUE(INDIRECT("'" &amp; $C8 &amp; "'!F1")), "")</f>
        <v/>
      </c>
      <c r="H8" s="124" t="str" cm="1">
        <f t="array" aca="1" ref="H8" ca="1">IFERROR(VALUE(INDIRECT("'" &amp; $C8 &amp; "'!BB2")), "")</f>
        <v/>
      </c>
      <c r="J8" s="126">
        <f t="shared" ca="1" si="1"/>
        <v>0</v>
      </c>
      <c r="N8" s="91" t="s">
        <v>45</v>
      </c>
    </row>
    <row r="9" spans="1:19" ht="18.600000000000001" thickBot="1">
      <c r="A9" s="37">
        <f>A4</f>
        <v>2025</v>
      </c>
      <c r="B9" s="37" t="s">
        <v>27</v>
      </c>
      <c r="C9" s="120" t="str">
        <f t="shared" si="0"/>
        <v>2025_05</v>
      </c>
      <c r="D9" s="124" t="str" cm="1">
        <f t="array" aca="1" ref="D9" ca="1">IFERROR(VALUE(INDIRECT("'" &amp; $C9 &amp; "'!AL2")), "")</f>
        <v/>
      </c>
      <c r="F9" s="125" t="str" cm="1">
        <f t="array" aca="1" ref="F9" ca="1">IFERROR(VALUE(INDIRECT("'" &amp; $C9 &amp; "'!F1")), "")</f>
        <v/>
      </c>
      <c r="H9" s="124" t="str" cm="1">
        <f t="array" aca="1" ref="H9" ca="1">IFERROR(VALUE(INDIRECT("'" &amp; $C9 &amp; "'!BB2")), "")</f>
        <v/>
      </c>
      <c r="J9" s="126">
        <f t="shared" ca="1" si="1"/>
        <v>0</v>
      </c>
      <c r="L9" s="107" t="s">
        <v>40</v>
      </c>
      <c r="N9" s="128">
        <v>0</v>
      </c>
      <c r="O9" s="91"/>
      <c r="P9" s="91" t="s">
        <v>51</v>
      </c>
    </row>
    <row r="10" spans="1:19" ht="18.600000000000001" thickBot="1">
      <c r="A10" s="37">
        <f>A4</f>
        <v>2025</v>
      </c>
      <c r="B10" s="37" t="s">
        <v>28</v>
      </c>
      <c r="C10" s="120" t="str">
        <f t="shared" si="0"/>
        <v>2025_06</v>
      </c>
      <c r="D10" s="124" t="str" cm="1">
        <f t="array" aca="1" ref="D10" ca="1">IFERROR(VALUE(INDIRECT("'" &amp; $C10 &amp; "'!AL2")), "")</f>
        <v/>
      </c>
      <c r="F10" s="125" t="str" cm="1">
        <f t="array" aca="1" ref="F10" ca="1">IFERROR(VALUE(INDIRECT("'" &amp; $C10 &amp; "'!F1")), "")</f>
        <v/>
      </c>
      <c r="H10" s="124" t="str" cm="1">
        <f t="array" aca="1" ref="H10" ca="1">IFERROR(VALUE(INDIRECT("'" &amp; $C10 &amp; "'!BB2")), "")</f>
        <v/>
      </c>
      <c r="J10" s="126">
        <f t="shared" ca="1" si="1"/>
        <v>0</v>
      </c>
      <c r="L10" s="93" t="s">
        <v>323</v>
      </c>
      <c r="O10" s="91"/>
      <c r="P10" s="128">
        <v>1226</v>
      </c>
      <c r="Q10" s="91" t="s">
        <v>58</v>
      </c>
      <c r="S10" s="119">
        <f ca="1">$P$10*$R$4</f>
        <v>9808</v>
      </c>
    </row>
    <row r="11" spans="1:19" ht="18.600000000000001" thickBot="1">
      <c r="A11" s="37">
        <f>A4</f>
        <v>2025</v>
      </c>
      <c r="B11" s="37" t="s">
        <v>29</v>
      </c>
      <c r="C11" s="120" t="str">
        <f t="shared" si="0"/>
        <v>2025_07</v>
      </c>
      <c r="D11" s="124" t="str" cm="1">
        <f t="array" aca="1" ref="D11" ca="1">IFERROR(VALUE(INDIRECT("'" &amp; $C11 &amp; "'!AL2")), "")</f>
        <v/>
      </c>
      <c r="F11" s="125" t="str" cm="1">
        <f t="array" aca="1" ref="F11" ca="1">IFERROR(VALUE(INDIRECT("'" &amp; $C11 &amp; "'!F1")), "")</f>
        <v/>
      </c>
      <c r="H11" s="124" t="str" cm="1">
        <f t="array" aca="1" ref="H11" ca="1">IFERROR(VALUE(INDIRECT("'" &amp; $C11 &amp; "'!BB2")), "")</f>
        <v/>
      </c>
      <c r="J11" s="126">
        <f t="shared" ca="1" si="1"/>
        <v>0</v>
      </c>
      <c r="P11" s="91" t="s">
        <v>105</v>
      </c>
    </row>
    <row r="12" spans="1:19" ht="18.600000000000001" thickBot="1">
      <c r="A12" s="37">
        <f>A4</f>
        <v>2025</v>
      </c>
      <c r="B12" s="37" t="s">
        <v>30</v>
      </c>
      <c r="C12" s="120" t="str">
        <f t="shared" si="0"/>
        <v>2025_08</v>
      </c>
      <c r="D12" s="124" t="str" cm="1">
        <f t="array" aca="1" ref="D12" ca="1">IFERROR(VALUE(INDIRECT("'" &amp; $C12 &amp; "'!AL2")), "")</f>
        <v/>
      </c>
      <c r="F12" s="125" t="str" cm="1">
        <f t="array" aca="1" ref="F12" ca="1">IFERROR(VALUE(INDIRECT("'" &amp; $C12 &amp; "'!F1")), "")</f>
        <v/>
      </c>
      <c r="H12" s="124" t="str" cm="1">
        <f t="array" aca="1" ref="H12" ca="1">IFERROR(VALUE(INDIRECT("'" &amp; $C12 &amp; "'!BB2")), "")</f>
        <v/>
      </c>
      <c r="J12" s="126">
        <f t="shared" ca="1" si="1"/>
        <v>0</v>
      </c>
      <c r="L12" s="107" t="s">
        <v>41</v>
      </c>
      <c r="N12" s="127">
        <f ca="1">SUM($H$5:$H$16)</f>
        <v>0</v>
      </c>
      <c r="O12" s="91"/>
      <c r="P12" s="128">
        <v>1226</v>
      </c>
      <c r="Q12" s="91" t="s">
        <v>56</v>
      </c>
      <c r="S12" s="127">
        <f>$P$10-$P$12</f>
        <v>0</v>
      </c>
    </row>
    <row r="13" spans="1:19" ht="18.600000000000001" thickBot="1">
      <c r="A13" s="37">
        <f>A4</f>
        <v>2025</v>
      </c>
      <c r="B13" s="37" t="s">
        <v>31</v>
      </c>
      <c r="C13" s="120" t="str">
        <f t="shared" si="0"/>
        <v>2025_09</v>
      </c>
      <c r="D13" s="124" t="str" cm="1">
        <f t="array" aca="1" ref="D13" ca="1">IFERROR(VALUE(INDIRECT("'" &amp; $C13 &amp; "'!AL2")), "")</f>
        <v/>
      </c>
      <c r="F13" s="125" t="str" cm="1">
        <f t="array" aca="1" ref="F13" ca="1">IFERROR(VALUE(INDIRECT("'" &amp; $C13 &amp; "'!F1")), "")</f>
        <v/>
      </c>
      <c r="H13" s="124" t="str" cm="1">
        <f t="array" aca="1" ref="H13" ca="1">IFERROR(VALUE(INDIRECT("'" &amp; $C13 &amp; "'!BB2")), "")</f>
        <v/>
      </c>
      <c r="J13" s="126">
        <f t="shared" ca="1" si="1"/>
        <v>0</v>
      </c>
      <c r="P13" s="91" t="s">
        <v>167</v>
      </c>
    </row>
    <row r="14" spans="1:19" ht="18.600000000000001" thickBot="1">
      <c r="A14" s="37">
        <f>A4</f>
        <v>2025</v>
      </c>
      <c r="B14" s="37" t="s">
        <v>32</v>
      </c>
      <c r="C14" s="120" t="str">
        <f t="shared" si="0"/>
        <v>2025_10</v>
      </c>
      <c r="D14" s="124" cm="1">
        <f t="array" aca="1" ref="D14" ca="1">IFERROR(VALUE(INDIRECT("'" &amp; $C14 &amp; "'!AL2")), "")</f>
        <v>88000</v>
      </c>
      <c r="F14" s="125" cm="1">
        <f t="array" aca="1" ref="F14" ca="1">IFERROR(VALUE(INDIRECT("'" &amp; $C14 &amp; "'!F1")), "")</f>
        <v>88000</v>
      </c>
      <c r="H14" s="124" cm="1">
        <f t="array" aca="1" ref="H14" ca="1">IFERROR(VALUE(INDIRECT("'" &amp; $C14 &amp; "'!BB2")), "")</f>
        <v>0</v>
      </c>
      <c r="J14" s="126">
        <f t="shared" ca="1" si="1"/>
        <v>88000</v>
      </c>
      <c r="N14" s="92" t="s">
        <v>107</v>
      </c>
      <c r="P14" s="127">
        <f ca="1">IF(R4=0,0, SUM(D5:D16)/R4)</f>
        <v>11000</v>
      </c>
      <c r="Q14" s="91" t="s">
        <v>168</v>
      </c>
      <c r="S14" s="127">
        <f ca="1">$P$10-$P$14</f>
        <v>-9774</v>
      </c>
    </row>
    <row r="15" spans="1:19" ht="18.600000000000001" thickBot="1">
      <c r="A15" s="37">
        <f>A4</f>
        <v>2025</v>
      </c>
      <c r="B15" s="37" t="s">
        <v>33</v>
      </c>
      <c r="C15" s="120" t="str">
        <f t="shared" si="0"/>
        <v>2025_11</v>
      </c>
      <c r="D15" s="124" t="str" cm="1">
        <f t="array" aca="1" ref="D15" ca="1">IFERROR(VALUE(INDIRECT("'" &amp; $C15 &amp; "'!AL2")), "")</f>
        <v/>
      </c>
      <c r="F15" s="125" t="str" cm="1">
        <f t="array" aca="1" ref="F15" ca="1">IFERROR(VALUE(INDIRECT("'" &amp; $C15 &amp; "'!F1")), "")</f>
        <v/>
      </c>
      <c r="H15" s="124" t="str" cm="1">
        <f t="array" aca="1" ref="H15" ca="1">IFERROR(VALUE(INDIRECT("'" &amp; $C15 &amp; "'!BB2")), "")</f>
        <v/>
      </c>
      <c r="J15" s="126">
        <f t="shared" ca="1" si="1"/>
        <v>0</v>
      </c>
      <c r="N15" s="92" t="s">
        <v>46</v>
      </c>
      <c r="Q15" s="91" t="s">
        <v>59</v>
      </c>
      <c r="R15" s="91"/>
      <c r="S15" s="91" t="s">
        <v>60</v>
      </c>
    </row>
    <row r="16" spans="1:19" ht="18.600000000000001" thickBot="1">
      <c r="A16" s="37">
        <f>A4</f>
        <v>2025</v>
      </c>
      <c r="B16" s="37" t="s">
        <v>34</v>
      </c>
      <c r="C16" s="120" t="str">
        <f t="shared" si="0"/>
        <v>2025_12</v>
      </c>
      <c r="D16" s="129" t="str" cm="1">
        <f t="array" aca="1" ref="D16" ca="1">IFERROR(VALUE(INDIRECT("'" &amp; $C16 &amp; "'!AL2")), "")</f>
        <v/>
      </c>
      <c r="F16" s="130" t="str" cm="1">
        <f t="array" aca="1" ref="F16" ca="1">IFERROR(VALUE(INDIRECT("'" &amp; $C16 &amp; "'!F1")), "")</f>
        <v/>
      </c>
      <c r="H16" s="129" t="str" cm="1">
        <f t="array" aca="1" ref="H16" ca="1">IFERROR(VALUE(INDIRECT("'" &amp; $C16 &amp; "'!BB2")), "")</f>
        <v/>
      </c>
      <c r="J16" s="131">
        <f t="shared" ca="1" si="1"/>
        <v>0</v>
      </c>
      <c r="K16" s="91" t="s">
        <v>251</v>
      </c>
      <c r="L16" s="91"/>
      <c r="N16" s="426">
        <f ca="1">SUM($F$5:$F$16,$H$5:$H$16)</f>
        <v>88000</v>
      </c>
      <c r="O16" s="427"/>
      <c r="Q16" s="119">
        <f ca="1">$S$10</f>
        <v>9808</v>
      </c>
      <c r="R16" s="132"/>
      <c r="S16" s="119">
        <f ca="1">SUM($H$5:$H$16,$Q$16)</f>
        <v>9808</v>
      </c>
    </row>
    <row r="17" spans="1:36">
      <c r="C17" s="133"/>
      <c r="D17" s="132"/>
      <c r="F17" s="134"/>
      <c r="H17" s="132"/>
      <c r="J17" s="134"/>
      <c r="L17" s="91"/>
      <c r="O17" s="91"/>
      <c r="P17" s="132"/>
      <c r="R17" s="132"/>
      <c r="S17" s="132"/>
    </row>
    <row r="18" spans="1:36" ht="18.600000000000001" thickBot="1">
      <c r="AJ18" s="37" t="s">
        <v>106</v>
      </c>
    </row>
    <row r="19" spans="1:36" ht="18.600000000000001" thickBot="1">
      <c r="A19" s="107" t="s">
        <v>48</v>
      </c>
      <c r="D19" s="91" t="s">
        <v>102</v>
      </c>
      <c r="E19" s="100">
        <v>0</v>
      </c>
      <c r="F19" s="100">
        <v>1</v>
      </c>
      <c r="G19" s="100">
        <v>2</v>
      </c>
      <c r="H19" s="100">
        <v>3</v>
      </c>
      <c r="I19" s="100">
        <v>4</v>
      </c>
      <c r="J19" s="100">
        <v>5</v>
      </c>
      <c r="K19" s="100">
        <v>6</v>
      </c>
      <c r="L19" s="100">
        <v>7</v>
      </c>
      <c r="M19" s="100">
        <v>8</v>
      </c>
      <c r="N19" s="100">
        <v>9</v>
      </c>
      <c r="O19" s="100">
        <v>10</v>
      </c>
      <c r="P19" s="100">
        <v>11</v>
      </c>
      <c r="Q19" s="100">
        <v>12</v>
      </c>
      <c r="R19" s="100">
        <v>13</v>
      </c>
      <c r="S19" s="100">
        <v>14</v>
      </c>
      <c r="T19" s="336">
        <v>15</v>
      </c>
      <c r="U19" s="100">
        <v>16</v>
      </c>
      <c r="V19" s="100">
        <v>17</v>
      </c>
      <c r="W19" s="100">
        <v>18</v>
      </c>
      <c r="X19" s="100">
        <v>19</v>
      </c>
      <c r="Y19" s="100">
        <v>20</v>
      </c>
      <c r="Z19" s="100">
        <v>21</v>
      </c>
      <c r="AA19" s="100">
        <v>22</v>
      </c>
      <c r="AB19" s="100">
        <v>23</v>
      </c>
      <c r="AC19" s="100">
        <v>24</v>
      </c>
      <c r="AD19" s="100">
        <v>25</v>
      </c>
      <c r="AE19" s="100">
        <v>26</v>
      </c>
      <c r="AF19" s="100">
        <v>27</v>
      </c>
      <c r="AG19" s="100">
        <v>28</v>
      </c>
      <c r="AH19" s="100">
        <v>29</v>
      </c>
      <c r="AI19" s="100">
        <v>30</v>
      </c>
    </row>
    <row r="20" spans="1:36" ht="18.600000000000001" thickBot="1">
      <c r="D20" s="91" t="s">
        <v>101</v>
      </c>
      <c r="E20" s="311" t="str">
        <f>IF(E19="","",VLOOKUP(E19,案件コード!$A$1:$B$31,2,FALSE()))</f>
        <v>管理/会議/自習など雑務</v>
      </c>
      <c r="F20" s="312" t="str">
        <f>IF(F19="","",VLOOKUP(F19,案件コード!$A$1:$B$31,2,FALSE()))</f>
        <v>Webデザイン</v>
      </c>
      <c r="G20" s="312" t="str">
        <f>IF(G19="","",VLOOKUP(G19,案件コード!$A$1:$B$31,2,FALSE()))</f>
        <v>Webサイト構築</v>
      </c>
      <c r="H20" s="312" t="str">
        <f>IF(H19="","",VLOOKUP(H19,案件コード!$A$1:$B$31,2,FALSE()))</f>
        <v>プログラミング</v>
      </c>
      <c r="I20" s="312" t="str">
        <f>IF(I19="","",VLOOKUP(I19,案件コード!$A$1:$B$31,2,FALSE()))</f>
        <v>Webマーケティング</v>
      </c>
      <c r="J20" s="312">
        <f>IF(J19="","",VLOOKUP(J19,案件コード!$A$1:$B$31,2,FALSE()))</f>
        <v>0</v>
      </c>
      <c r="K20" s="312">
        <f>IF(K19="","",VLOOKUP(K19,案件コード!$A$1:$B$31,2,FALSE()))</f>
        <v>0</v>
      </c>
      <c r="L20" s="312">
        <f>IF(L19="","",VLOOKUP(L19,案件コード!$A$1:$B$31,2,FALSE()))</f>
        <v>0</v>
      </c>
      <c r="M20" s="312">
        <f>IF(M19="","",VLOOKUP(M19,案件コード!$A$1:$B$31,2,FALSE()))</f>
        <v>0</v>
      </c>
      <c r="N20" s="312">
        <f>IF(N19="","",VLOOKUP(N19,案件コード!$A$1:$B$31,2,FALSE()))</f>
        <v>0</v>
      </c>
      <c r="O20" s="337">
        <f>IF(O19="","",VLOOKUP(O19,案件コード!$A$1:$B$31,2,FALSE()))</f>
        <v>0</v>
      </c>
      <c r="P20" s="195">
        <f>IF(P19="","",VLOOKUP(P19,案件コード!$A$1:$B$31,2,FALSE()))</f>
        <v>0</v>
      </c>
      <c r="Q20" s="195">
        <f>IF(Q19="","",VLOOKUP(Q19,案件コード!$A$1:$B$31,2,FALSE()))</f>
        <v>0</v>
      </c>
      <c r="R20" s="195">
        <f>IF(R19="","",VLOOKUP(R19,案件コード!$A$1:$B$31,2,FALSE()))</f>
        <v>0</v>
      </c>
      <c r="S20" s="195">
        <f>IF(S19="","",VLOOKUP(S19,案件コード!$A$1:$B$31,2,FALSE()))</f>
        <v>0</v>
      </c>
      <c r="T20" s="356">
        <f>IF(T19="","",VLOOKUP(T19,案件コード!$A$1:$B$31,2,FALSE()))</f>
        <v>0</v>
      </c>
      <c r="U20" s="357"/>
      <c r="V20" s="357"/>
      <c r="W20" s="357"/>
      <c r="X20" s="357"/>
      <c r="Y20" s="357"/>
      <c r="Z20" s="357"/>
      <c r="AA20" s="357"/>
      <c r="AB20" s="357"/>
      <c r="AC20" s="357"/>
      <c r="AD20" s="357"/>
      <c r="AE20" s="357"/>
      <c r="AF20" s="357"/>
      <c r="AG20" s="357"/>
      <c r="AH20" s="357"/>
      <c r="AI20" s="357"/>
    </row>
    <row r="21" spans="1:36">
      <c r="A21" s="37">
        <f>A4</f>
        <v>2025</v>
      </c>
      <c r="B21" s="37" t="s">
        <v>23</v>
      </c>
      <c r="C21" s="135" t="str">
        <f>A21&amp;""&amp;B21</f>
        <v>2025_01</v>
      </c>
      <c r="D21" s="136">
        <f t="shared" ref="D21:D32" ca="1" si="2">SUM(E21:AI21)</f>
        <v>0</v>
      </c>
      <c r="E21" s="137">
        <f t="shared" ref="E21:M32" ca="1" si="3">IFERROR(
  INDEX(INDIRECT("'"&amp;$C21&amp;"'!$B$109:$K$109"),
        MATCH(E$19, INDIRECT("'"&amp;$C21&amp;"'!$B$106:$K$106"), 0)
  ),
0)</f>
        <v>0</v>
      </c>
      <c r="F21" s="138">
        <f t="shared" ca="1" si="3"/>
        <v>0</v>
      </c>
      <c r="G21" s="138">
        <f t="shared" ca="1" si="3"/>
        <v>0</v>
      </c>
      <c r="H21" s="138">
        <f t="shared" ca="1" si="3"/>
        <v>0</v>
      </c>
      <c r="I21" s="138">
        <f t="shared" ca="1" si="3"/>
        <v>0</v>
      </c>
      <c r="J21" s="138">
        <f t="shared" ca="1" si="3"/>
        <v>0</v>
      </c>
      <c r="K21" s="138">
        <f t="shared" ca="1" si="3"/>
        <v>0</v>
      </c>
      <c r="L21" s="138">
        <f t="shared" ca="1" si="3"/>
        <v>0</v>
      </c>
      <c r="M21" s="138">
        <f t="shared" ca="1" si="3"/>
        <v>0</v>
      </c>
      <c r="N21" s="138">
        <f t="shared" ref="N21:AC32" ca="1" si="4">IFERROR(
  INDEX(INDIRECT("'"&amp;$C21&amp;"'!$B$109:$K$109"),
        MATCH(N$19, INDIRECT("'"&amp;$C21&amp;"'!$B$106:$K$106"), 0)
  ),
0)</f>
        <v>0</v>
      </c>
      <c r="O21" s="138">
        <f t="shared" ca="1" si="4"/>
        <v>0</v>
      </c>
      <c r="P21" s="138">
        <f t="shared" ca="1" si="4"/>
        <v>0</v>
      </c>
      <c r="Q21" s="138">
        <f t="shared" ca="1" si="4"/>
        <v>0</v>
      </c>
      <c r="R21" s="138">
        <f t="shared" ca="1" si="4"/>
        <v>0</v>
      </c>
      <c r="S21" s="138">
        <f t="shared" ca="1" si="4"/>
        <v>0</v>
      </c>
      <c r="T21" s="138">
        <f t="shared" ca="1" si="4"/>
        <v>0</v>
      </c>
      <c r="U21" s="138">
        <f t="shared" ca="1" si="4"/>
        <v>0</v>
      </c>
      <c r="V21" s="138">
        <f t="shared" ca="1" si="4"/>
        <v>0</v>
      </c>
      <c r="W21" s="138">
        <f t="shared" ca="1" si="4"/>
        <v>0</v>
      </c>
      <c r="X21" s="138">
        <f t="shared" ca="1" si="4"/>
        <v>0</v>
      </c>
      <c r="Y21" s="138">
        <f t="shared" ca="1" si="4"/>
        <v>0</v>
      </c>
      <c r="Z21" s="138">
        <f t="shared" ca="1" si="4"/>
        <v>0</v>
      </c>
      <c r="AA21" s="138">
        <f t="shared" ca="1" si="4"/>
        <v>0</v>
      </c>
      <c r="AB21" s="138">
        <f t="shared" ca="1" si="4"/>
        <v>0</v>
      </c>
      <c r="AC21" s="138">
        <f t="shared" ca="1" si="4"/>
        <v>0</v>
      </c>
      <c r="AD21" s="138">
        <f t="shared" ref="AD21:AI32" ca="1" si="5">IFERROR(
  INDEX(INDIRECT("'"&amp;$C21&amp;"'!$B$109:$K$109"),
        MATCH(AD$19, INDIRECT("'"&amp;$C21&amp;"'!$B$106:$K$106"), 0)
  ),
0)</f>
        <v>0</v>
      </c>
      <c r="AE21" s="138">
        <f t="shared" ca="1" si="5"/>
        <v>0</v>
      </c>
      <c r="AF21" s="138">
        <f t="shared" ca="1" si="5"/>
        <v>0</v>
      </c>
      <c r="AG21" s="138">
        <f t="shared" ca="1" si="5"/>
        <v>0</v>
      </c>
      <c r="AH21" s="138">
        <f t="shared" ca="1" si="5"/>
        <v>0</v>
      </c>
      <c r="AI21" s="138">
        <f t="shared" ca="1" si="5"/>
        <v>0</v>
      </c>
    </row>
    <row r="22" spans="1:36">
      <c r="A22" s="37">
        <f>A4</f>
        <v>2025</v>
      </c>
      <c r="B22" s="37" t="s">
        <v>24</v>
      </c>
      <c r="C22" s="139" t="str">
        <f t="shared" ref="C22:C32" si="6">A22&amp;""&amp;B22</f>
        <v>2025_02</v>
      </c>
      <c r="D22" s="140">
        <f t="shared" ca="1" si="2"/>
        <v>0</v>
      </c>
      <c r="E22" s="137">
        <f t="shared" ca="1" si="3"/>
        <v>0</v>
      </c>
      <c r="F22" s="138">
        <f t="shared" ca="1" si="3"/>
        <v>0</v>
      </c>
      <c r="G22" s="138">
        <f t="shared" ca="1" si="3"/>
        <v>0</v>
      </c>
      <c r="H22" s="138">
        <f t="shared" ca="1" si="3"/>
        <v>0</v>
      </c>
      <c r="I22" s="138">
        <f t="shared" ca="1" si="3"/>
        <v>0</v>
      </c>
      <c r="J22" s="138">
        <f t="shared" ca="1" si="3"/>
        <v>0</v>
      </c>
      <c r="K22" s="138">
        <f t="shared" ca="1" si="3"/>
        <v>0</v>
      </c>
      <c r="L22" s="138">
        <f t="shared" ca="1" si="3"/>
        <v>0</v>
      </c>
      <c r="M22" s="138">
        <f t="shared" ca="1" si="3"/>
        <v>0</v>
      </c>
      <c r="N22" s="138">
        <f t="shared" ca="1" si="4"/>
        <v>0</v>
      </c>
      <c r="O22" s="138">
        <f t="shared" ca="1" si="4"/>
        <v>0</v>
      </c>
      <c r="P22" s="138">
        <f t="shared" ca="1" si="4"/>
        <v>0</v>
      </c>
      <c r="Q22" s="138">
        <f t="shared" ca="1" si="4"/>
        <v>0</v>
      </c>
      <c r="R22" s="138">
        <f t="shared" ca="1" si="4"/>
        <v>0</v>
      </c>
      <c r="S22" s="138">
        <f t="shared" ca="1" si="4"/>
        <v>0</v>
      </c>
      <c r="T22" s="138">
        <f t="shared" ca="1" si="4"/>
        <v>0</v>
      </c>
      <c r="U22" s="138">
        <f t="shared" ca="1" si="4"/>
        <v>0</v>
      </c>
      <c r="V22" s="138">
        <f t="shared" ca="1" si="4"/>
        <v>0</v>
      </c>
      <c r="W22" s="138">
        <f t="shared" ca="1" si="4"/>
        <v>0</v>
      </c>
      <c r="X22" s="138">
        <f t="shared" ca="1" si="4"/>
        <v>0</v>
      </c>
      <c r="Y22" s="138">
        <f t="shared" ca="1" si="4"/>
        <v>0</v>
      </c>
      <c r="Z22" s="138">
        <f t="shared" ca="1" si="4"/>
        <v>0</v>
      </c>
      <c r="AA22" s="138">
        <f t="shared" ca="1" si="4"/>
        <v>0</v>
      </c>
      <c r="AB22" s="138">
        <f t="shared" ca="1" si="4"/>
        <v>0</v>
      </c>
      <c r="AC22" s="138">
        <f t="shared" ca="1" si="4"/>
        <v>0</v>
      </c>
      <c r="AD22" s="138">
        <f t="shared" ca="1" si="5"/>
        <v>0</v>
      </c>
      <c r="AE22" s="138">
        <f t="shared" ca="1" si="5"/>
        <v>0</v>
      </c>
      <c r="AF22" s="138">
        <f t="shared" ca="1" si="5"/>
        <v>0</v>
      </c>
      <c r="AG22" s="138">
        <f t="shared" ca="1" si="5"/>
        <v>0</v>
      </c>
      <c r="AH22" s="138">
        <f t="shared" ca="1" si="5"/>
        <v>0</v>
      </c>
      <c r="AI22" s="138">
        <f t="shared" ca="1" si="5"/>
        <v>0</v>
      </c>
    </row>
    <row r="23" spans="1:36">
      <c r="A23" s="37">
        <f>A4</f>
        <v>2025</v>
      </c>
      <c r="B23" s="37" t="s">
        <v>25</v>
      </c>
      <c r="C23" s="139" t="str">
        <f t="shared" si="6"/>
        <v>2025_03</v>
      </c>
      <c r="D23" s="140">
        <f t="shared" ca="1" si="2"/>
        <v>0</v>
      </c>
      <c r="E23" s="137">
        <f t="shared" ca="1" si="3"/>
        <v>0</v>
      </c>
      <c r="F23" s="138">
        <f t="shared" ca="1" si="3"/>
        <v>0</v>
      </c>
      <c r="G23" s="138">
        <f t="shared" ca="1" si="3"/>
        <v>0</v>
      </c>
      <c r="H23" s="138">
        <f t="shared" ca="1" si="3"/>
        <v>0</v>
      </c>
      <c r="I23" s="138">
        <f t="shared" ca="1" si="3"/>
        <v>0</v>
      </c>
      <c r="J23" s="138">
        <f t="shared" ca="1" si="3"/>
        <v>0</v>
      </c>
      <c r="K23" s="138">
        <f t="shared" ca="1" si="3"/>
        <v>0</v>
      </c>
      <c r="L23" s="138">
        <f t="shared" ca="1" si="3"/>
        <v>0</v>
      </c>
      <c r="M23" s="138">
        <f t="shared" ca="1" si="3"/>
        <v>0</v>
      </c>
      <c r="N23" s="138">
        <f t="shared" ca="1" si="4"/>
        <v>0</v>
      </c>
      <c r="O23" s="138">
        <f t="shared" ca="1" si="4"/>
        <v>0</v>
      </c>
      <c r="P23" s="138">
        <f t="shared" ca="1" si="4"/>
        <v>0</v>
      </c>
      <c r="Q23" s="138">
        <f t="shared" ca="1" si="4"/>
        <v>0</v>
      </c>
      <c r="R23" s="138">
        <f t="shared" ca="1" si="4"/>
        <v>0</v>
      </c>
      <c r="S23" s="138">
        <f t="shared" ca="1" si="4"/>
        <v>0</v>
      </c>
      <c r="T23" s="138">
        <f t="shared" ca="1" si="4"/>
        <v>0</v>
      </c>
      <c r="U23" s="138">
        <f t="shared" ca="1" si="4"/>
        <v>0</v>
      </c>
      <c r="V23" s="138">
        <f t="shared" ca="1" si="4"/>
        <v>0</v>
      </c>
      <c r="W23" s="138">
        <f t="shared" ca="1" si="4"/>
        <v>0</v>
      </c>
      <c r="X23" s="138">
        <f t="shared" ca="1" si="4"/>
        <v>0</v>
      </c>
      <c r="Y23" s="138">
        <f t="shared" ca="1" si="4"/>
        <v>0</v>
      </c>
      <c r="Z23" s="138">
        <f t="shared" ca="1" si="4"/>
        <v>0</v>
      </c>
      <c r="AA23" s="138">
        <f t="shared" ca="1" si="4"/>
        <v>0</v>
      </c>
      <c r="AB23" s="138">
        <f t="shared" ca="1" si="4"/>
        <v>0</v>
      </c>
      <c r="AC23" s="138">
        <f t="shared" ca="1" si="4"/>
        <v>0</v>
      </c>
      <c r="AD23" s="138">
        <f t="shared" ca="1" si="5"/>
        <v>0</v>
      </c>
      <c r="AE23" s="138">
        <f t="shared" ca="1" si="5"/>
        <v>0</v>
      </c>
      <c r="AF23" s="138">
        <f t="shared" ca="1" si="5"/>
        <v>0</v>
      </c>
      <c r="AG23" s="138">
        <f t="shared" ca="1" si="5"/>
        <v>0</v>
      </c>
      <c r="AH23" s="138">
        <f t="shared" ca="1" si="5"/>
        <v>0</v>
      </c>
      <c r="AI23" s="138">
        <f t="shared" ca="1" si="5"/>
        <v>0</v>
      </c>
    </row>
    <row r="24" spans="1:36">
      <c r="A24" s="37">
        <f>A4</f>
        <v>2025</v>
      </c>
      <c r="B24" s="37" t="s">
        <v>26</v>
      </c>
      <c r="C24" s="139" t="str">
        <f t="shared" si="6"/>
        <v>2025_04</v>
      </c>
      <c r="D24" s="140">
        <f t="shared" ca="1" si="2"/>
        <v>0</v>
      </c>
      <c r="E24" s="137">
        <f t="shared" ca="1" si="3"/>
        <v>0</v>
      </c>
      <c r="F24" s="138">
        <f t="shared" ca="1" si="3"/>
        <v>0</v>
      </c>
      <c r="G24" s="138">
        <f t="shared" ca="1" si="3"/>
        <v>0</v>
      </c>
      <c r="H24" s="138">
        <f t="shared" ca="1" si="3"/>
        <v>0</v>
      </c>
      <c r="I24" s="138">
        <f t="shared" ca="1" si="3"/>
        <v>0</v>
      </c>
      <c r="J24" s="138">
        <f t="shared" ca="1" si="3"/>
        <v>0</v>
      </c>
      <c r="K24" s="138">
        <f t="shared" ca="1" si="3"/>
        <v>0</v>
      </c>
      <c r="L24" s="138">
        <f t="shared" ca="1" si="3"/>
        <v>0</v>
      </c>
      <c r="M24" s="138">
        <f t="shared" ca="1" si="3"/>
        <v>0</v>
      </c>
      <c r="N24" s="138">
        <f t="shared" ca="1" si="4"/>
        <v>0</v>
      </c>
      <c r="O24" s="138">
        <f t="shared" ca="1" si="4"/>
        <v>0</v>
      </c>
      <c r="P24" s="138">
        <f t="shared" ca="1" si="4"/>
        <v>0</v>
      </c>
      <c r="Q24" s="138">
        <f t="shared" ca="1" si="4"/>
        <v>0</v>
      </c>
      <c r="R24" s="138">
        <f t="shared" ca="1" si="4"/>
        <v>0</v>
      </c>
      <c r="S24" s="138">
        <f t="shared" ca="1" si="4"/>
        <v>0</v>
      </c>
      <c r="T24" s="138">
        <f t="shared" ca="1" si="4"/>
        <v>0</v>
      </c>
      <c r="U24" s="138">
        <f t="shared" ca="1" si="4"/>
        <v>0</v>
      </c>
      <c r="V24" s="138">
        <f t="shared" ca="1" si="4"/>
        <v>0</v>
      </c>
      <c r="W24" s="138">
        <f t="shared" ca="1" si="4"/>
        <v>0</v>
      </c>
      <c r="X24" s="138">
        <f t="shared" ca="1" si="4"/>
        <v>0</v>
      </c>
      <c r="Y24" s="138">
        <f t="shared" ca="1" si="4"/>
        <v>0</v>
      </c>
      <c r="Z24" s="138">
        <f t="shared" ca="1" si="4"/>
        <v>0</v>
      </c>
      <c r="AA24" s="138">
        <f t="shared" ca="1" si="4"/>
        <v>0</v>
      </c>
      <c r="AB24" s="138">
        <f t="shared" ca="1" si="4"/>
        <v>0</v>
      </c>
      <c r="AC24" s="138">
        <f t="shared" ca="1" si="4"/>
        <v>0</v>
      </c>
      <c r="AD24" s="138">
        <f t="shared" ca="1" si="5"/>
        <v>0</v>
      </c>
      <c r="AE24" s="138">
        <f t="shared" ca="1" si="5"/>
        <v>0</v>
      </c>
      <c r="AF24" s="138">
        <f t="shared" ca="1" si="5"/>
        <v>0</v>
      </c>
      <c r="AG24" s="138">
        <f t="shared" ca="1" si="5"/>
        <v>0</v>
      </c>
      <c r="AH24" s="138">
        <f t="shared" ca="1" si="5"/>
        <v>0</v>
      </c>
      <c r="AI24" s="138">
        <f t="shared" ca="1" si="5"/>
        <v>0</v>
      </c>
    </row>
    <row r="25" spans="1:36">
      <c r="A25" s="37">
        <f>A4</f>
        <v>2025</v>
      </c>
      <c r="B25" s="37" t="s">
        <v>27</v>
      </c>
      <c r="C25" s="139" t="str">
        <f t="shared" si="6"/>
        <v>2025_05</v>
      </c>
      <c r="D25" s="140">
        <f t="shared" ca="1" si="2"/>
        <v>0</v>
      </c>
      <c r="E25" s="137">
        <f t="shared" ca="1" si="3"/>
        <v>0</v>
      </c>
      <c r="F25" s="138">
        <f t="shared" ca="1" si="3"/>
        <v>0</v>
      </c>
      <c r="G25" s="138">
        <f t="shared" ca="1" si="3"/>
        <v>0</v>
      </c>
      <c r="H25" s="138">
        <f t="shared" ca="1" si="3"/>
        <v>0</v>
      </c>
      <c r="I25" s="138">
        <f t="shared" ca="1" si="3"/>
        <v>0</v>
      </c>
      <c r="J25" s="138">
        <f t="shared" ca="1" si="3"/>
        <v>0</v>
      </c>
      <c r="K25" s="138">
        <f t="shared" ca="1" si="3"/>
        <v>0</v>
      </c>
      <c r="L25" s="138">
        <f t="shared" ca="1" si="3"/>
        <v>0</v>
      </c>
      <c r="M25" s="138">
        <f t="shared" ca="1" si="3"/>
        <v>0</v>
      </c>
      <c r="N25" s="138">
        <f t="shared" ca="1" si="4"/>
        <v>0</v>
      </c>
      <c r="O25" s="138">
        <f t="shared" ca="1" si="4"/>
        <v>0</v>
      </c>
      <c r="P25" s="138">
        <f t="shared" ca="1" si="4"/>
        <v>0</v>
      </c>
      <c r="Q25" s="138">
        <f t="shared" ca="1" si="4"/>
        <v>0</v>
      </c>
      <c r="R25" s="138">
        <f t="shared" ca="1" si="4"/>
        <v>0</v>
      </c>
      <c r="S25" s="138">
        <f t="shared" ca="1" si="4"/>
        <v>0</v>
      </c>
      <c r="T25" s="138">
        <f t="shared" ca="1" si="4"/>
        <v>0</v>
      </c>
      <c r="U25" s="138">
        <f t="shared" ca="1" si="4"/>
        <v>0</v>
      </c>
      <c r="V25" s="138">
        <f t="shared" ca="1" si="4"/>
        <v>0</v>
      </c>
      <c r="W25" s="138">
        <f t="shared" ca="1" si="4"/>
        <v>0</v>
      </c>
      <c r="X25" s="138">
        <f t="shared" ca="1" si="4"/>
        <v>0</v>
      </c>
      <c r="Y25" s="138">
        <f t="shared" ca="1" si="4"/>
        <v>0</v>
      </c>
      <c r="Z25" s="138">
        <f t="shared" ca="1" si="4"/>
        <v>0</v>
      </c>
      <c r="AA25" s="138">
        <f t="shared" ca="1" si="4"/>
        <v>0</v>
      </c>
      <c r="AB25" s="138">
        <f t="shared" ca="1" si="4"/>
        <v>0</v>
      </c>
      <c r="AC25" s="138">
        <f t="shared" ca="1" si="4"/>
        <v>0</v>
      </c>
      <c r="AD25" s="138">
        <f t="shared" ca="1" si="5"/>
        <v>0</v>
      </c>
      <c r="AE25" s="138">
        <f t="shared" ca="1" si="5"/>
        <v>0</v>
      </c>
      <c r="AF25" s="138">
        <f t="shared" ca="1" si="5"/>
        <v>0</v>
      </c>
      <c r="AG25" s="138">
        <f t="shared" ca="1" si="5"/>
        <v>0</v>
      </c>
      <c r="AH25" s="138">
        <f t="shared" ca="1" si="5"/>
        <v>0</v>
      </c>
      <c r="AI25" s="138">
        <f t="shared" ca="1" si="5"/>
        <v>0</v>
      </c>
    </row>
    <row r="26" spans="1:36">
      <c r="A26" s="37">
        <f>A4</f>
        <v>2025</v>
      </c>
      <c r="B26" s="37" t="s">
        <v>28</v>
      </c>
      <c r="C26" s="139" t="str">
        <f t="shared" si="6"/>
        <v>2025_06</v>
      </c>
      <c r="D26" s="140">
        <f t="shared" ca="1" si="2"/>
        <v>0</v>
      </c>
      <c r="E26" s="137">
        <f t="shared" ca="1" si="3"/>
        <v>0</v>
      </c>
      <c r="F26" s="138">
        <f t="shared" ca="1" si="3"/>
        <v>0</v>
      </c>
      <c r="G26" s="138">
        <f t="shared" ca="1" si="3"/>
        <v>0</v>
      </c>
      <c r="H26" s="138">
        <f t="shared" ca="1" si="3"/>
        <v>0</v>
      </c>
      <c r="I26" s="138">
        <f t="shared" ca="1" si="3"/>
        <v>0</v>
      </c>
      <c r="J26" s="138">
        <f t="shared" ca="1" si="3"/>
        <v>0</v>
      </c>
      <c r="K26" s="138">
        <f t="shared" ca="1" si="3"/>
        <v>0</v>
      </c>
      <c r="L26" s="138">
        <f t="shared" ca="1" si="3"/>
        <v>0</v>
      </c>
      <c r="M26" s="138">
        <f t="shared" ca="1" si="3"/>
        <v>0</v>
      </c>
      <c r="N26" s="138">
        <f t="shared" ca="1" si="4"/>
        <v>0</v>
      </c>
      <c r="O26" s="138">
        <f t="shared" ca="1" si="4"/>
        <v>0</v>
      </c>
      <c r="P26" s="138">
        <f t="shared" ca="1" si="4"/>
        <v>0</v>
      </c>
      <c r="Q26" s="138">
        <f t="shared" ca="1" si="4"/>
        <v>0</v>
      </c>
      <c r="R26" s="138">
        <f t="shared" ca="1" si="4"/>
        <v>0</v>
      </c>
      <c r="S26" s="138">
        <f t="shared" ca="1" si="4"/>
        <v>0</v>
      </c>
      <c r="T26" s="138">
        <f t="shared" ca="1" si="4"/>
        <v>0</v>
      </c>
      <c r="U26" s="138">
        <f t="shared" ca="1" si="4"/>
        <v>0</v>
      </c>
      <c r="V26" s="138">
        <f t="shared" ca="1" si="4"/>
        <v>0</v>
      </c>
      <c r="W26" s="138">
        <f t="shared" ca="1" si="4"/>
        <v>0</v>
      </c>
      <c r="X26" s="138">
        <f t="shared" ca="1" si="4"/>
        <v>0</v>
      </c>
      <c r="Y26" s="138">
        <f t="shared" ca="1" si="4"/>
        <v>0</v>
      </c>
      <c r="Z26" s="138">
        <f t="shared" ca="1" si="4"/>
        <v>0</v>
      </c>
      <c r="AA26" s="138">
        <f t="shared" ca="1" si="4"/>
        <v>0</v>
      </c>
      <c r="AB26" s="138">
        <f t="shared" ca="1" si="4"/>
        <v>0</v>
      </c>
      <c r="AC26" s="138">
        <f t="shared" ca="1" si="4"/>
        <v>0</v>
      </c>
      <c r="AD26" s="138">
        <f t="shared" ca="1" si="5"/>
        <v>0</v>
      </c>
      <c r="AE26" s="138">
        <f t="shared" ca="1" si="5"/>
        <v>0</v>
      </c>
      <c r="AF26" s="138">
        <f t="shared" ca="1" si="5"/>
        <v>0</v>
      </c>
      <c r="AG26" s="138">
        <f t="shared" ca="1" si="5"/>
        <v>0</v>
      </c>
      <c r="AH26" s="138">
        <f t="shared" ca="1" si="5"/>
        <v>0</v>
      </c>
      <c r="AI26" s="138">
        <f t="shared" ca="1" si="5"/>
        <v>0</v>
      </c>
    </row>
    <row r="27" spans="1:36">
      <c r="A27" s="37">
        <f>A4</f>
        <v>2025</v>
      </c>
      <c r="B27" s="37" t="s">
        <v>29</v>
      </c>
      <c r="C27" s="139" t="str">
        <f t="shared" si="6"/>
        <v>2025_07</v>
      </c>
      <c r="D27" s="140">
        <f t="shared" ca="1" si="2"/>
        <v>0</v>
      </c>
      <c r="E27" s="137">
        <f t="shared" ca="1" si="3"/>
        <v>0</v>
      </c>
      <c r="F27" s="138">
        <f t="shared" ca="1" si="3"/>
        <v>0</v>
      </c>
      <c r="G27" s="138">
        <f t="shared" ca="1" si="3"/>
        <v>0</v>
      </c>
      <c r="H27" s="138">
        <f t="shared" ca="1" si="3"/>
        <v>0</v>
      </c>
      <c r="I27" s="138">
        <f t="shared" ca="1" si="3"/>
        <v>0</v>
      </c>
      <c r="J27" s="138">
        <f t="shared" ca="1" si="3"/>
        <v>0</v>
      </c>
      <c r="K27" s="138">
        <f t="shared" ca="1" si="3"/>
        <v>0</v>
      </c>
      <c r="L27" s="138">
        <f t="shared" ca="1" si="3"/>
        <v>0</v>
      </c>
      <c r="M27" s="138">
        <f t="shared" ca="1" si="3"/>
        <v>0</v>
      </c>
      <c r="N27" s="138">
        <f t="shared" ca="1" si="4"/>
        <v>0</v>
      </c>
      <c r="O27" s="138">
        <f t="shared" ca="1" si="4"/>
        <v>0</v>
      </c>
      <c r="P27" s="138">
        <f t="shared" ca="1" si="4"/>
        <v>0</v>
      </c>
      <c r="Q27" s="138">
        <f t="shared" ca="1" si="4"/>
        <v>0</v>
      </c>
      <c r="R27" s="138">
        <f t="shared" ca="1" si="4"/>
        <v>0</v>
      </c>
      <c r="S27" s="138">
        <f t="shared" ca="1" si="4"/>
        <v>0</v>
      </c>
      <c r="T27" s="138">
        <f t="shared" ca="1" si="4"/>
        <v>0</v>
      </c>
      <c r="U27" s="138">
        <f t="shared" ca="1" si="4"/>
        <v>0</v>
      </c>
      <c r="V27" s="138">
        <f t="shared" ca="1" si="4"/>
        <v>0</v>
      </c>
      <c r="W27" s="138">
        <f t="shared" ca="1" si="4"/>
        <v>0</v>
      </c>
      <c r="X27" s="138">
        <f t="shared" ca="1" si="4"/>
        <v>0</v>
      </c>
      <c r="Y27" s="138">
        <f t="shared" ca="1" si="4"/>
        <v>0</v>
      </c>
      <c r="Z27" s="138">
        <f t="shared" ca="1" si="4"/>
        <v>0</v>
      </c>
      <c r="AA27" s="138">
        <f t="shared" ca="1" si="4"/>
        <v>0</v>
      </c>
      <c r="AB27" s="138">
        <f t="shared" ca="1" si="4"/>
        <v>0</v>
      </c>
      <c r="AC27" s="138">
        <f t="shared" ca="1" si="4"/>
        <v>0</v>
      </c>
      <c r="AD27" s="138">
        <f t="shared" ca="1" si="5"/>
        <v>0</v>
      </c>
      <c r="AE27" s="138">
        <f t="shared" ca="1" si="5"/>
        <v>0</v>
      </c>
      <c r="AF27" s="138">
        <f t="shared" ca="1" si="5"/>
        <v>0</v>
      </c>
      <c r="AG27" s="138">
        <f t="shared" ca="1" si="5"/>
        <v>0</v>
      </c>
      <c r="AH27" s="138">
        <f t="shared" ca="1" si="5"/>
        <v>0</v>
      </c>
      <c r="AI27" s="138">
        <f t="shared" ca="1" si="5"/>
        <v>0</v>
      </c>
    </row>
    <row r="28" spans="1:36">
      <c r="A28" s="37">
        <f>A4</f>
        <v>2025</v>
      </c>
      <c r="B28" s="37" t="s">
        <v>30</v>
      </c>
      <c r="C28" s="139" t="str">
        <f t="shared" si="6"/>
        <v>2025_08</v>
      </c>
      <c r="D28" s="140">
        <f t="shared" ca="1" si="2"/>
        <v>0</v>
      </c>
      <c r="E28" s="137">
        <f t="shared" ca="1" si="3"/>
        <v>0</v>
      </c>
      <c r="F28" s="138">
        <f t="shared" ca="1" si="3"/>
        <v>0</v>
      </c>
      <c r="G28" s="138">
        <f t="shared" ca="1" si="3"/>
        <v>0</v>
      </c>
      <c r="H28" s="138">
        <f t="shared" ca="1" si="3"/>
        <v>0</v>
      </c>
      <c r="I28" s="138">
        <f t="shared" ca="1" si="3"/>
        <v>0</v>
      </c>
      <c r="J28" s="138">
        <f t="shared" ca="1" si="3"/>
        <v>0</v>
      </c>
      <c r="K28" s="138">
        <f t="shared" ca="1" si="3"/>
        <v>0</v>
      </c>
      <c r="L28" s="138">
        <f t="shared" ca="1" si="3"/>
        <v>0</v>
      </c>
      <c r="M28" s="138">
        <f t="shared" ca="1" si="3"/>
        <v>0</v>
      </c>
      <c r="N28" s="138">
        <f t="shared" ca="1" si="4"/>
        <v>0</v>
      </c>
      <c r="O28" s="138">
        <f t="shared" ca="1" si="4"/>
        <v>0</v>
      </c>
      <c r="P28" s="138">
        <f t="shared" ca="1" si="4"/>
        <v>0</v>
      </c>
      <c r="Q28" s="138">
        <f t="shared" ca="1" si="4"/>
        <v>0</v>
      </c>
      <c r="R28" s="138">
        <f t="shared" ca="1" si="4"/>
        <v>0</v>
      </c>
      <c r="S28" s="138">
        <f t="shared" ca="1" si="4"/>
        <v>0</v>
      </c>
      <c r="T28" s="138">
        <f t="shared" ca="1" si="4"/>
        <v>0</v>
      </c>
      <c r="U28" s="138">
        <f t="shared" ca="1" si="4"/>
        <v>0</v>
      </c>
      <c r="V28" s="138">
        <f t="shared" ca="1" si="4"/>
        <v>0</v>
      </c>
      <c r="W28" s="138">
        <f t="shared" ca="1" si="4"/>
        <v>0</v>
      </c>
      <c r="X28" s="138">
        <f t="shared" ca="1" si="4"/>
        <v>0</v>
      </c>
      <c r="Y28" s="138">
        <f t="shared" ca="1" si="4"/>
        <v>0</v>
      </c>
      <c r="Z28" s="138">
        <f t="shared" ca="1" si="4"/>
        <v>0</v>
      </c>
      <c r="AA28" s="138">
        <f t="shared" ca="1" si="4"/>
        <v>0</v>
      </c>
      <c r="AB28" s="138">
        <f t="shared" ca="1" si="4"/>
        <v>0</v>
      </c>
      <c r="AC28" s="138">
        <f t="shared" ca="1" si="4"/>
        <v>0</v>
      </c>
      <c r="AD28" s="138">
        <f t="shared" ca="1" si="5"/>
        <v>0</v>
      </c>
      <c r="AE28" s="138">
        <f t="shared" ca="1" si="5"/>
        <v>0</v>
      </c>
      <c r="AF28" s="138">
        <f t="shared" ca="1" si="5"/>
        <v>0</v>
      </c>
      <c r="AG28" s="138">
        <f t="shared" ca="1" si="5"/>
        <v>0</v>
      </c>
      <c r="AH28" s="138">
        <f t="shared" ca="1" si="5"/>
        <v>0</v>
      </c>
      <c r="AI28" s="138">
        <f t="shared" ca="1" si="5"/>
        <v>0</v>
      </c>
    </row>
    <row r="29" spans="1:36">
      <c r="A29" s="37">
        <f>A4</f>
        <v>2025</v>
      </c>
      <c r="B29" s="37" t="s">
        <v>31</v>
      </c>
      <c r="C29" s="139" t="str">
        <f t="shared" si="6"/>
        <v>2025_09</v>
      </c>
      <c r="D29" s="140">
        <f t="shared" ca="1" si="2"/>
        <v>0</v>
      </c>
      <c r="E29" s="137">
        <f t="shared" ca="1" si="3"/>
        <v>0</v>
      </c>
      <c r="F29" s="138">
        <f t="shared" ca="1" si="3"/>
        <v>0</v>
      </c>
      <c r="G29" s="138">
        <f t="shared" ca="1" si="3"/>
        <v>0</v>
      </c>
      <c r="H29" s="138">
        <f t="shared" ca="1" si="3"/>
        <v>0</v>
      </c>
      <c r="I29" s="138">
        <f t="shared" ca="1" si="3"/>
        <v>0</v>
      </c>
      <c r="J29" s="138">
        <f t="shared" ca="1" si="3"/>
        <v>0</v>
      </c>
      <c r="K29" s="138">
        <f t="shared" ca="1" si="3"/>
        <v>0</v>
      </c>
      <c r="L29" s="138">
        <f t="shared" ca="1" si="3"/>
        <v>0</v>
      </c>
      <c r="M29" s="138">
        <f t="shared" ca="1" si="3"/>
        <v>0</v>
      </c>
      <c r="N29" s="138">
        <f t="shared" ca="1" si="4"/>
        <v>0</v>
      </c>
      <c r="O29" s="138">
        <f t="shared" ca="1" si="4"/>
        <v>0</v>
      </c>
      <c r="P29" s="138">
        <f t="shared" ca="1" si="4"/>
        <v>0</v>
      </c>
      <c r="Q29" s="138">
        <f t="shared" ca="1" si="4"/>
        <v>0</v>
      </c>
      <c r="R29" s="138">
        <f t="shared" ca="1" si="4"/>
        <v>0</v>
      </c>
      <c r="S29" s="138">
        <f t="shared" ca="1" si="4"/>
        <v>0</v>
      </c>
      <c r="T29" s="138">
        <f t="shared" ca="1" si="4"/>
        <v>0</v>
      </c>
      <c r="U29" s="138">
        <f t="shared" ca="1" si="4"/>
        <v>0</v>
      </c>
      <c r="V29" s="138">
        <f t="shared" ca="1" si="4"/>
        <v>0</v>
      </c>
      <c r="W29" s="138">
        <f t="shared" ca="1" si="4"/>
        <v>0</v>
      </c>
      <c r="X29" s="138">
        <f t="shared" ca="1" si="4"/>
        <v>0</v>
      </c>
      <c r="Y29" s="138">
        <f t="shared" ca="1" si="4"/>
        <v>0</v>
      </c>
      <c r="Z29" s="138">
        <f t="shared" ca="1" si="4"/>
        <v>0</v>
      </c>
      <c r="AA29" s="138">
        <f t="shared" ca="1" si="4"/>
        <v>0</v>
      </c>
      <c r="AB29" s="138">
        <f t="shared" ca="1" si="4"/>
        <v>0</v>
      </c>
      <c r="AC29" s="138">
        <f t="shared" ca="1" si="4"/>
        <v>0</v>
      </c>
      <c r="AD29" s="138">
        <f t="shared" ca="1" si="5"/>
        <v>0</v>
      </c>
      <c r="AE29" s="138">
        <f t="shared" ca="1" si="5"/>
        <v>0</v>
      </c>
      <c r="AF29" s="138">
        <f t="shared" ca="1" si="5"/>
        <v>0</v>
      </c>
      <c r="AG29" s="138">
        <f t="shared" ca="1" si="5"/>
        <v>0</v>
      </c>
      <c r="AH29" s="138">
        <f t="shared" ca="1" si="5"/>
        <v>0</v>
      </c>
      <c r="AI29" s="138">
        <f t="shared" ca="1" si="5"/>
        <v>0</v>
      </c>
    </row>
    <row r="30" spans="1:36">
      <c r="A30" s="37">
        <f>A4</f>
        <v>2025</v>
      </c>
      <c r="B30" s="37" t="s">
        <v>32</v>
      </c>
      <c r="C30" s="139" t="str">
        <f t="shared" si="6"/>
        <v>2025_10</v>
      </c>
      <c r="D30" s="140">
        <f t="shared" ca="1" si="2"/>
        <v>88000</v>
      </c>
      <c r="E30" s="137">
        <f t="shared" ca="1" si="3"/>
        <v>0</v>
      </c>
      <c r="F30" s="138">
        <f t="shared" ca="1" si="3"/>
        <v>0</v>
      </c>
      <c r="G30" s="138">
        <f t="shared" ca="1" si="3"/>
        <v>0</v>
      </c>
      <c r="H30" s="138">
        <f t="shared" ca="1" si="3"/>
        <v>80000</v>
      </c>
      <c r="I30" s="138">
        <f t="shared" ca="1" si="3"/>
        <v>8000</v>
      </c>
      <c r="J30" s="138">
        <f t="shared" ca="1" si="3"/>
        <v>0</v>
      </c>
      <c r="K30" s="138">
        <f t="shared" ca="1" si="3"/>
        <v>0</v>
      </c>
      <c r="L30" s="138">
        <f t="shared" ca="1" si="3"/>
        <v>0</v>
      </c>
      <c r="M30" s="138">
        <f t="shared" ca="1" si="3"/>
        <v>0</v>
      </c>
      <c r="N30" s="138">
        <f t="shared" ca="1" si="4"/>
        <v>0</v>
      </c>
      <c r="O30" s="138">
        <f t="shared" ca="1" si="4"/>
        <v>0</v>
      </c>
      <c r="P30" s="138">
        <f t="shared" ca="1" si="4"/>
        <v>0</v>
      </c>
      <c r="Q30" s="138">
        <f t="shared" ca="1" si="4"/>
        <v>0</v>
      </c>
      <c r="R30" s="138">
        <f t="shared" ca="1" si="4"/>
        <v>0</v>
      </c>
      <c r="S30" s="138">
        <f t="shared" ca="1" si="4"/>
        <v>0</v>
      </c>
      <c r="T30" s="138">
        <f t="shared" ca="1" si="4"/>
        <v>0</v>
      </c>
      <c r="U30" s="138">
        <f t="shared" ca="1" si="4"/>
        <v>0</v>
      </c>
      <c r="V30" s="138">
        <f t="shared" ca="1" si="4"/>
        <v>0</v>
      </c>
      <c r="W30" s="138">
        <f t="shared" ca="1" si="4"/>
        <v>0</v>
      </c>
      <c r="X30" s="138">
        <f t="shared" ca="1" si="4"/>
        <v>0</v>
      </c>
      <c r="Y30" s="138">
        <f t="shared" ca="1" si="4"/>
        <v>0</v>
      </c>
      <c r="Z30" s="138">
        <f t="shared" ca="1" si="4"/>
        <v>0</v>
      </c>
      <c r="AA30" s="138">
        <f t="shared" ca="1" si="4"/>
        <v>0</v>
      </c>
      <c r="AB30" s="138">
        <f t="shared" ca="1" si="4"/>
        <v>0</v>
      </c>
      <c r="AC30" s="138">
        <f t="shared" ca="1" si="4"/>
        <v>0</v>
      </c>
      <c r="AD30" s="138">
        <f t="shared" ca="1" si="5"/>
        <v>0</v>
      </c>
      <c r="AE30" s="138">
        <f t="shared" ca="1" si="5"/>
        <v>0</v>
      </c>
      <c r="AF30" s="138">
        <f t="shared" ca="1" si="5"/>
        <v>0</v>
      </c>
      <c r="AG30" s="138">
        <f t="shared" ca="1" si="5"/>
        <v>0</v>
      </c>
      <c r="AH30" s="138">
        <f t="shared" ca="1" si="5"/>
        <v>0</v>
      </c>
      <c r="AI30" s="138">
        <f t="shared" ca="1" si="5"/>
        <v>0</v>
      </c>
    </row>
    <row r="31" spans="1:36">
      <c r="A31" s="37">
        <f>A4</f>
        <v>2025</v>
      </c>
      <c r="B31" s="37" t="s">
        <v>33</v>
      </c>
      <c r="C31" s="139" t="str">
        <f t="shared" si="6"/>
        <v>2025_11</v>
      </c>
      <c r="D31" s="140">
        <f t="shared" ca="1" si="2"/>
        <v>0</v>
      </c>
      <c r="E31" s="137">
        <f t="shared" ca="1" si="3"/>
        <v>0</v>
      </c>
      <c r="F31" s="138">
        <f t="shared" ca="1" si="3"/>
        <v>0</v>
      </c>
      <c r="G31" s="138">
        <f t="shared" ca="1" si="3"/>
        <v>0</v>
      </c>
      <c r="H31" s="138">
        <f t="shared" ca="1" si="3"/>
        <v>0</v>
      </c>
      <c r="I31" s="138">
        <f t="shared" ca="1" si="3"/>
        <v>0</v>
      </c>
      <c r="J31" s="138">
        <f t="shared" ca="1" si="3"/>
        <v>0</v>
      </c>
      <c r="K31" s="138">
        <f t="shared" ca="1" si="3"/>
        <v>0</v>
      </c>
      <c r="L31" s="138">
        <f t="shared" ca="1" si="3"/>
        <v>0</v>
      </c>
      <c r="M31" s="138">
        <f t="shared" ca="1" si="3"/>
        <v>0</v>
      </c>
      <c r="N31" s="138">
        <f t="shared" ca="1" si="4"/>
        <v>0</v>
      </c>
      <c r="O31" s="138">
        <f t="shared" ca="1" si="4"/>
        <v>0</v>
      </c>
      <c r="P31" s="138">
        <f t="shared" ca="1" si="4"/>
        <v>0</v>
      </c>
      <c r="Q31" s="138">
        <f t="shared" ca="1" si="4"/>
        <v>0</v>
      </c>
      <c r="R31" s="138">
        <f t="shared" ca="1" si="4"/>
        <v>0</v>
      </c>
      <c r="S31" s="138">
        <f t="shared" ca="1" si="4"/>
        <v>0</v>
      </c>
      <c r="T31" s="138">
        <f t="shared" ca="1" si="4"/>
        <v>0</v>
      </c>
      <c r="U31" s="138">
        <f t="shared" ca="1" si="4"/>
        <v>0</v>
      </c>
      <c r="V31" s="138">
        <f t="shared" ca="1" si="4"/>
        <v>0</v>
      </c>
      <c r="W31" s="138">
        <f t="shared" ca="1" si="4"/>
        <v>0</v>
      </c>
      <c r="X31" s="138">
        <f t="shared" ca="1" si="4"/>
        <v>0</v>
      </c>
      <c r="Y31" s="138">
        <f t="shared" ca="1" si="4"/>
        <v>0</v>
      </c>
      <c r="Z31" s="138">
        <f t="shared" ca="1" si="4"/>
        <v>0</v>
      </c>
      <c r="AA31" s="138">
        <f t="shared" ca="1" si="4"/>
        <v>0</v>
      </c>
      <c r="AB31" s="138">
        <f t="shared" ca="1" si="4"/>
        <v>0</v>
      </c>
      <c r="AC31" s="138">
        <f t="shared" ca="1" si="4"/>
        <v>0</v>
      </c>
      <c r="AD31" s="138">
        <f t="shared" ca="1" si="5"/>
        <v>0</v>
      </c>
      <c r="AE31" s="138">
        <f t="shared" ca="1" si="5"/>
        <v>0</v>
      </c>
      <c r="AF31" s="138">
        <f t="shared" ca="1" si="5"/>
        <v>0</v>
      </c>
      <c r="AG31" s="138">
        <f t="shared" ca="1" si="5"/>
        <v>0</v>
      </c>
      <c r="AH31" s="138">
        <f t="shared" ca="1" si="5"/>
        <v>0</v>
      </c>
      <c r="AI31" s="138">
        <f t="shared" ca="1" si="5"/>
        <v>0</v>
      </c>
    </row>
    <row r="32" spans="1:36" ht="18.600000000000001" thickBot="1">
      <c r="A32" s="37">
        <f>A4</f>
        <v>2025</v>
      </c>
      <c r="B32" s="37" t="s">
        <v>34</v>
      </c>
      <c r="C32" s="141" t="str">
        <f t="shared" si="6"/>
        <v>2025_12</v>
      </c>
      <c r="D32" s="142">
        <f t="shared" ca="1" si="2"/>
        <v>0</v>
      </c>
      <c r="E32" s="137">
        <f t="shared" ca="1" si="3"/>
        <v>0</v>
      </c>
      <c r="F32" s="138">
        <f t="shared" ca="1" si="3"/>
        <v>0</v>
      </c>
      <c r="G32" s="138">
        <f t="shared" ca="1" si="3"/>
        <v>0</v>
      </c>
      <c r="H32" s="138">
        <f t="shared" ca="1" si="3"/>
        <v>0</v>
      </c>
      <c r="I32" s="138">
        <f t="shared" ca="1" si="3"/>
        <v>0</v>
      </c>
      <c r="J32" s="138">
        <f t="shared" ca="1" si="3"/>
        <v>0</v>
      </c>
      <c r="K32" s="138">
        <f t="shared" ca="1" si="3"/>
        <v>0</v>
      </c>
      <c r="L32" s="138">
        <f t="shared" ca="1" si="3"/>
        <v>0</v>
      </c>
      <c r="M32" s="138">
        <f t="shared" ca="1" si="3"/>
        <v>0</v>
      </c>
      <c r="N32" s="138">
        <f t="shared" ca="1" si="4"/>
        <v>0</v>
      </c>
      <c r="O32" s="138">
        <f t="shared" ca="1" si="4"/>
        <v>0</v>
      </c>
      <c r="P32" s="138">
        <f t="shared" ca="1" si="4"/>
        <v>0</v>
      </c>
      <c r="Q32" s="138">
        <f t="shared" ca="1" si="4"/>
        <v>0</v>
      </c>
      <c r="R32" s="138">
        <f t="shared" ca="1" si="4"/>
        <v>0</v>
      </c>
      <c r="S32" s="138">
        <f t="shared" ca="1" si="4"/>
        <v>0</v>
      </c>
      <c r="T32" s="138">
        <f t="shared" ca="1" si="4"/>
        <v>0</v>
      </c>
      <c r="U32" s="138">
        <f t="shared" ca="1" si="4"/>
        <v>0</v>
      </c>
      <c r="V32" s="138">
        <f t="shared" ca="1" si="4"/>
        <v>0</v>
      </c>
      <c r="W32" s="138">
        <f t="shared" ca="1" si="4"/>
        <v>0</v>
      </c>
      <c r="X32" s="138">
        <f t="shared" ca="1" si="4"/>
        <v>0</v>
      </c>
      <c r="Y32" s="138">
        <f t="shared" ca="1" si="4"/>
        <v>0</v>
      </c>
      <c r="Z32" s="138">
        <f t="shared" ca="1" si="4"/>
        <v>0</v>
      </c>
      <c r="AA32" s="138">
        <f t="shared" ca="1" si="4"/>
        <v>0</v>
      </c>
      <c r="AB32" s="138">
        <f t="shared" ca="1" si="4"/>
        <v>0</v>
      </c>
      <c r="AC32" s="138">
        <f t="shared" ca="1" si="4"/>
        <v>0</v>
      </c>
      <c r="AD32" s="138">
        <f t="shared" ca="1" si="5"/>
        <v>0</v>
      </c>
      <c r="AE32" s="138">
        <f t="shared" ca="1" si="5"/>
        <v>0</v>
      </c>
      <c r="AF32" s="138">
        <f t="shared" ca="1" si="5"/>
        <v>0</v>
      </c>
      <c r="AG32" s="138">
        <f t="shared" ca="1" si="5"/>
        <v>0</v>
      </c>
      <c r="AH32" s="138">
        <f t="shared" ca="1" si="5"/>
        <v>0</v>
      </c>
      <c r="AI32" s="138">
        <f t="shared" ca="1" si="5"/>
        <v>0</v>
      </c>
    </row>
    <row r="33" spans="1:36" ht="18.600000000000001" thickBot="1">
      <c r="D33" s="99" t="s">
        <v>145</v>
      </c>
      <c r="E33" s="338">
        <f t="shared" ref="E33:M33" ca="1" si="7">SUM(E21:E32)</f>
        <v>0</v>
      </c>
      <c r="F33" s="339">
        <f t="shared" ca="1" si="7"/>
        <v>0</v>
      </c>
      <c r="G33" s="339">
        <f t="shared" ca="1" si="7"/>
        <v>0</v>
      </c>
      <c r="H33" s="339">
        <f t="shared" ca="1" si="7"/>
        <v>80000</v>
      </c>
      <c r="I33" s="339">
        <f t="shared" ca="1" si="7"/>
        <v>8000</v>
      </c>
      <c r="J33" s="339">
        <f t="shared" ca="1" si="7"/>
        <v>0</v>
      </c>
      <c r="K33" s="339">
        <f t="shared" ca="1" si="7"/>
        <v>0</v>
      </c>
      <c r="L33" s="339">
        <f t="shared" ca="1" si="7"/>
        <v>0</v>
      </c>
      <c r="M33" s="339">
        <f t="shared" ca="1" si="7"/>
        <v>0</v>
      </c>
      <c r="N33" s="339">
        <f ca="1">SUM(N21:N32)</f>
        <v>0</v>
      </c>
      <c r="O33" s="339">
        <f ca="1">SUM(O21:O32)</f>
        <v>0</v>
      </c>
      <c r="P33" s="339">
        <f t="shared" ref="P33:S33" ca="1" si="8">SUM(P21:P32)</f>
        <v>0</v>
      </c>
      <c r="Q33" s="339">
        <f t="shared" ca="1" si="8"/>
        <v>0</v>
      </c>
      <c r="R33" s="339">
        <f t="shared" ca="1" si="8"/>
        <v>0</v>
      </c>
      <c r="S33" s="339">
        <f t="shared" ca="1" si="8"/>
        <v>0</v>
      </c>
      <c r="T33" s="339">
        <f ca="1">SUM(T21:T32)</f>
        <v>0</v>
      </c>
      <c r="U33" s="339">
        <f t="shared" ref="U33:AI33" ca="1" si="9">SUM(U21:U32)</f>
        <v>0</v>
      </c>
      <c r="V33" s="339">
        <f t="shared" ca="1" si="9"/>
        <v>0</v>
      </c>
      <c r="W33" s="339">
        <f t="shared" ca="1" si="9"/>
        <v>0</v>
      </c>
      <c r="X33" s="339">
        <f t="shared" ca="1" si="9"/>
        <v>0</v>
      </c>
      <c r="Y33" s="339">
        <f t="shared" ca="1" si="9"/>
        <v>0</v>
      </c>
      <c r="Z33" s="339">
        <f t="shared" ca="1" si="9"/>
        <v>0</v>
      </c>
      <c r="AA33" s="339">
        <f t="shared" ca="1" si="9"/>
        <v>0</v>
      </c>
      <c r="AB33" s="339">
        <f t="shared" ca="1" si="9"/>
        <v>0</v>
      </c>
      <c r="AC33" s="339">
        <f t="shared" ca="1" si="9"/>
        <v>0</v>
      </c>
      <c r="AD33" s="339">
        <f t="shared" ca="1" si="9"/>
        <v>0</v>
      </c>
      <c r="AE33" s="339">
        <f t="shared" ca="1" si="9"/>
        <v>0</v>
      </c>
      <c r="AF33" s="339">
        <f t="shared" ca="1" si="9"/>
        <v>0</v>
      </c>
      <c r="AG33" s="339">
        <f t="shared" ca="1" si="9"/>
        <v>0</v>
      </c>
      <c r="AH33" s="339">
        <f t="shared" ca="1" si="9"/>
        <v>0</v>
      </c>
      <c r="AI33" s="340">
        <f t="shared" ca="1" si="9"/>
        <v>0</v>
      </c>
    </row>
    <row r="34" spans="1:36" ht="18.600000000000001" thickBot="1">
      <c r="D34" s="158">
        <f ca="1">SUM(D21:D32)</f>
        <v>88000</v>
      </c>
      <c r="E34" s="138"/>
      <c r="F34" s="138"/>
      <c r="G34" s="138"/>
      <c r="H34" s="138"/>
      <c r="I34" s="138"/>
      <c r="J34" s="138"/>
      <c r="K34" s="138"/>
      <c r="L34" s="138"/>
    </row>
    <row r="35" spans="1:36">
      <c r="D35" s="91"/>
      <c r="E35" s="138"/>
      <c r="F35" s="138"/>
      <c r="G35" s="138"/>
      <c r="H35" s="138"/>
      <c r="I35" s="138"/>
      <c r="J35" s="138"/>
      <c r="K35" s="138"/>
      <c r="L35" s="138"/>
      <c r="M35" s="99"/>
      <c r="N35" s="99"/>
    </row>
    <row r="36" spans="1:36" ht="18.600000000000001" thickBot="1">
      <c r="AJ36" s="37" t="s">
        <v>106</v>
      </c>
    </row>
    <row r="37" spans="1:36" ht="18.600000000000001" thickBot="1">
      <c r="A37" s="107" t="s">
        <v>55</v>
      </c>
      <c r="D37" s="91" t="s">
        <v>102</v>
      </c>
      <c r="E37" s="100">
        <v>0</v>
      </c>
      <c r="F37" s="100">
        <v>1</v>
      </c>
      <c r="G37" s="100">
        <v>2</v>
      </c>
      <c r="H37" s="100">
        <v>3</v>
      </c>
      <c r="I37" s="100">
        <v>4</v>
      </c>
      <c r="J37" s="100">
        <v>5</v>
      </c>
      <c r="K37" s="100">
        <v>6</v>
      </c>
      <c r="L37" s="100">
        <v>7</v>
      </c>
      <c r="M37" s="100">
        <v>8</v>
      </c>
      <c r="N37" s="100">
        <v>9</v>
      </c>
      <c r="O37" s="318">
        <v>10</v>
      </c>
      <c r="P37" s="100">
        <v>11</v>
      </c>
      <c r="Q37" s="100">
        <v>12</v>
      </c>
      <c r="R37" s="100">
        <v>13</v>
      </c>
      <c r="S37" s="100">
        <v>14</v>
      </c>
      <c r="T37" s="100">
        <v>15</v>
      </c>
      <c r="U37" s="100">
        <v>16</v>
      </c>
      <c r="V37" s="100">
        <v>17</v>
      </c>
      <c r="W37" s="100">
        <v>18</v>
      </c>
      <c r="X37" s="100">
        <v>19</v>
      </c>
      <c r="Y37" s="100">
        <v>20</v>
      </c>
      <c r="Z37" s="100">
        <v>21</v>
      </c>
      <c r="AA37" s="100">
        <v>22</v>
      </c>
      <c r="AB37" s="100">
        <v>23</v>
      </c>
      <c r="AC37" s="100">
        <v>24</v>
      </c>
      <c r="AD37" s="100">
        <v>25</v>
      </c>
      <c r="AE37" s="100">
        <v>26</v>
      </c>
      <c r="AF37" s="100">
        <v>27</v>
      </c>
      <c r="AG37" s="100">
        <v>28</v>
      </c>
      <c r="AH37" s="100">
        <v>29</v>
      </c>
      <c r="AI37" s="100">
        <v>30</v>
      </c>
    </row>
    <row r="38" spans="1:36" ht="18.600000000000001" thickBot="1">
      <c r="D38" s="91" t="s">
        <v>101</v>
      </c>
      <c r="E38" s="319" t="str">
        <f>IF(E37="","",VLOOKUP(E37,案件コード!$A$1:$B$31,2,FALSE()))</f>
        <v>管理/会議/自習など雑務</v>
      </c>
      <c r="F38" s="319" t="str">
        <f>IF(F37="","",VLOOKUP(F37,案件コード!$A$1:$B$31,2,FALSE()))</f>
        <v>Webデザイン</v>
      </c>
      <c r="G38" s="319" t="str">
        <f>IF(G37="","",VLOOKUP(G37,案件コード!$A$1:$B$31,2,FALSE()))</f>
        <v>Webサイト構築</v>
      </c>
      <c r="H38" s="319" t="str">
        <f>IF(H37="","",VLOOKUP(H37,案件コード!$A$1:$B$31,2,FALSE()))</f>
        <v>プログラミング</v>
      </c>
      <c r="I38" s="319" t="str">
        <f>IF(I37="","",VLOOKUP(I37,案件コード!$A$1:$B$31,2,FALSE()))</f>
        <v>Webマーケティング</v>
      </c>
      <c r="J38" s="319">
        <f>IF(J37="","",VLOOKUP(J37,案件コード!$A$1:$B$31,2,FALSE()))</f>
        <v>0</v>
      </c>
      <c r="K38" s="319">
        <f>IF(K37="","",VLOOKUP(K37,案件コード!$A$1:$B$31,2,FALSE()))</f>
        <v>0</v>
      </c>
      <c r="L38" s="319">
        <f>IF(L37="","",VLOOKUP(L37,案件コード!$A$1:$B$31,2,FALSE()))</f>
        <v>0</v>
      </c>
      <c r="M38" s="319">
        <f>IF(M37="","",VLOOKUP(M37,案件コード!$A$1:$B$31,2,FALSE()))</f>
        <v>0</v>
      </c>
      <c r="N38" s="320">
        <f>IF(N37="","",VLOOKUP(N37,案件コード!$A$1:$B$31,2,FALSE()))</f>
        <v>0</v>
      </c>
      <c r="O38" s="195">
        <f>IF(O37="","",VLOOKUP(O37,案件コード!$A$1:$B$31,2,FALSE()))</f>
        <v>0</v>
      </c>
      <c r="P38" s="195">
        <f>IF(P37="","",VLOOKUP(P37,案件コード!$A$1:$B$31,2,FALSE()))</f>
        <v>0</v>
      </c>
      <c r="Q38" s="195">
        <f>IF(Q37="","",VLOOKUP(Q37,案件コード!$A$1:$B$31,2,FALSE()))</f>
        <v>0</v>
      </c>
      <c r="R38" s="195">
        <f>IF(R37="","",VLOOKUP(R37,案件コード!$A$1:$B$31,2,FALSE()))</f>
        <v>0</v>
      </c>
      <c r="S38" s="195">
        <f>IF(S37="","",VLOOKUP(S37,案件コード!$A$1:$B$31,2,FALSE()))</f>
        <v>0</v>
      </c>
      <c r="T38" s="195">
        <f>IF(T37="","",VLOOKUP(T37,案件コード!$A$1:$B$31,2,FALSE()))</f>
        <v>0</v>
      </c>
      <c r="U38" s="357"/>
      <c r="V38" s="357"/>
      <c r="W38" s="357"/>
      <c r="X38" s="357"/>
      <c r="Y38" s="357"/>
      <c r="Z38" s="357"/>
      <c r="AA38" s="357"/>
      <c r="AB38" s="357"/>
      <c r="AC38" s="357"/>
      <c r="AD38" s="357"/>
      <c r="AE38" s="357"/>
      <c r="AF38" s="357"/>
      <c r="AG38" s="357"/>
      <c r="AH38" s="357"/>
      <c r="AI38" s="357"/>
    </row>
    <row r="39" spans="1:36">
      <c r="A39" s="37">
        <f>A4</f>
        <v>2025</v>
      </c>
      <c r="B39" s="37" t="s">
        <v>23</v>
      </c>
      <c r="C39" s="135" t="str">
        <f>A39&amp;""&amp;B39</f>
        <v>2025_01</v>
      </c>
      <c r="D39" s="143">
        <f t="shared" ref="D39:D50" ca="1" si="10">SUM(E39:AI39)</f>
        <v>0</v>
      </c>
      <c r="E39" s="144">
        <f ca="1">IFERROR(
  INDEX(INDIRECT("'"&amp;$C39&amp;"'!$B$108:$K$108"),
        MATCH(E$19, INDIRECT("'"&amp;$C39&amp;"'!$B$106:$K$106"), 0)
  ),
0)</f>
        <v>0</v>
      </c>
      <c r="F39" s="37">
        <f t="shared" ref="F39:M50" ca="1" si="11">IFERROR(
  INDEX(INDIRECT("'"&amp;$C39&amp;"'!$B$108:$K$108"),
        MATCH(F$19, INDIRECT("'"&amp;$C39&amp;"'!$B$106:$K$106"), 0)
  ),
0)</f>
        <v>0</v>
      </c>
      <c r="G39" s="37">
        <f t="shared" ca="1" si="11"/>
        <v>0</v>
      </c>
      <c r="H39" s="37">
        <f t="shared" ca="1" si="11"/>
        <v>0</v>
      </c>
      <c r="I39" s="37">
        <f t="shared" ca="1" si="11"/>
        <v>0</v>
      </c>
      <c r="J39" s="37">
        <f t="shared" ca="1" si="11"/>
        <v>0</v>
      </c>
      <c r="K39" s="37">
        <f t="shared" ca="1" si="11"/>
        <v>0</v>
      </c>
      <c r="L39" s="37">
        <f t="shared" ca="1" si="11"/>
        <v>0</v>
      </c>
      <c r="M39" s="37">
        <f t="shared" ca="1" si="11"/>
        <v>0</v>
      </c>
      <c r="N39" s="37">
        <f t="shared" ref="N39:AC50" ca="1" si="12">IFERROR(
  INDEX(INDIRECT("'"&amp;$C39&amp;"'!$B$108:$K$108"),
        MATCH(N$19, INDIRECT("'"&amp;$C39&amp;"'!$B$106:$K$106"), 0)
  ),
0)</f>
        <v>0</v>
      </c>
      <c r="O39" s="37">
        <f t="shared" ca="1" si="12"/>
        <v>0</v>
      </c>
      <c r="P39" s="37">
        <f t="shared" ca="1" si="12"/>
        <v>0</v>
      </c>
      <c r="Q39" s="37">
        <f t="shared" ca="1" si="12"/>
        <v>0</v>
      </c>
      <c r="R39" s="37">
        <f t="shared" ca="1" si="12"/>
        <v>0</v>
      </c>
      <c r="S39" s="37">
        <f t="shared" ca="1" si="12"/>
        <v>0</v>
      </c>
      <c r="T39" s="37">
        <f t="shared" ca="1" si="12"/>
        <v>0</v>
      </c>
      <c r="U39" s="37">
        <f t="shared" ca="1" si="12"/>
        <v>0</v>
      </c>
      <c r="V39" s="37">
        <f t="shared" ca="1" si="12"/>
        <v>0</v>
      </c>
      <c r="W39" s="37">
        <f t="shared" ca="1" si="12"/>
        <v>0</v>
      </c>
      <c r="X39" s="37">
        <f t="shared" ca="1" si="12"/>
        <v>0</v>
      </c>
      <c r="Y39" s="37">
        <f t="shared" ca="1" si="12"/>
        <v>0</v>
      </c>
      <c r="Z39" s="37">
        <f t="shared" ca="1" si="12"/>
        <v>0</v>
      </c>
      <c r="AA39" s="37">
        <f t="shared" ca="1" si="12"/>
        <v>0</v>
      </c>
      <c r="AB39" s="37">
        <f t="shared" ca="1" si="12"/>
        <v>0</v>
      </c>
      <c r="AC39" s="37">
        <f t="shared" ca="1" si="12"/>
        <v>0</v>
      </c>
      <c r="AD39" s="37">
        <f t="shared" ref="AD39:AI50" ca="1" si="13">IFERROR(
  INDEX(INDIRECT("'"&amp;$C39&amp;"'!$B$108:$K$108"),
        MATCH(AD$19, INDIRECT("'"&amp;$C39&amp;"'!$B$106:$K$106"), 0)
  ),
0)</f>
        <v>0</v>
      </c>
      <c r="AE39" s="37">
        <f t="shared" ca="1" si="13"/>
        <v>0</v>
      </c>
      <c r="AF39" s="37">
        <f t="shared" ca="1" si="13"/>
        <v>0</v>
      </c>
      <c r="AG39" s="37">
        <f t="shared" ca="1" si="13"/>
        <v>0</v>
      </c>
      <c r="AH39" s="37">
        <f t="shared" ca="1" si="13"/>
        <v>0</v>
      </c>
      <c r="AI39" s="37">
        <f t="shared" ca="1" si="13"/>
        <v>0</v>
      </c>
    </row>
    <row r="40" spans="1:36">
      <c r="A40" s="37">
        <f>A4</f>
        <v>2025</v>
      </c>
      <c r="B40" s="37" t="s">
        <v>24</v>
      </c>
      <c r="C40" s="139" t="str">
        <f t="shared" ref="C40:C50" si="14">A40&amp;""&amp;B40</f>
        <v>2025_02</v>
      </c>
      <c r="D40" s="145">
        <f t="shared" ca="1" si="10"/>
        <v>0</v>
      </c>
      <c r="E40" s="144">
        <f t="shared" ref="E40:E50" ca="1" si="15">IFERROR(
  INDEX(INDIRECT("'"&amp;$C40&amp;"'!$B$108:$K$108"),
        MATCH(E$19, INDIRECT("'"&amp;$C40&amp;"'!$B$106:$K$106"), 0)
  ),
0)</f>
        <v>0</v>
      </c>
      <c r="F40" s="37">
        <f t="shared" ca="1" si="11"/>
        <v>0</v>
      </c>
      <c r="G40" s="37">
        <f t="shared" ca="1" si="11"/>
        <v>0</v>
      </c>
      <c r="H40" s="37">
        <f t="shared" ca="1" si="11"/>
        <v>0</v>
      </c>
      <c r="I40" s="37">
        <f t="shared" ca="1" si="11"/>
        <v>0</v>
      </c>
      <c r="J40" s="37">
        <f t="shared" ca="1" si="11"/>
        <v>0</v>
      </c>
      <c r="K40" s="37">
        <f t="shared" ca="1" si="11"/>
        <v>0</v>
      </c>
      <c r="L40" s="37">
        <f t="shared" ca="1" si="11"/>
        <v>0</v>
      </c>
      <c r="M40" s="37">
        <f t="shared" ca="1" si="11"/>
        <v>0</v>
      </c>
      <c r="N40" s="37">
        <f t="shared" ca="1" si="12"/>
        <v>0</v>
      </c>
      <c r="O40" s="37">
        <f t="shared" ca="1" si="12"/>
        <v>0</v>
      </c>
      <c r="P40" s="37">
        <f t="shared" ca="1" si="12"/>
        <v>0</v>
      </c>
      <c r="Q40" s="37">
        <f t="shared" ca="1" si="12"/>
        <v>0</v>
      </c>
      <c r="R40" s="37">
        <f t="shared" ca="1" si="12"/>
        <v>0</v>
      </c>
      <c r="S40" s="37">
        <f t="shared" ca="1" si="12"/>
        <v>0</v>
      </c>
      <c r="T40" s="37">
        <f t="shared" ca="1" si="12"/>
        <v>0</v>
      </c>
      <c r="U40" s="37">
        <f t="shared" ca="1" si="12"/>
        <v>0</v>
      </c>
      <c r="V40" s="37">
        <f t="shared" ca="1" si="12"/>
        <v>0</v>
      </c>
      <c r="W40" s="37">
        <f t="shared" ca="1" si="12"/>
        <v>0</v>
      </c>
      <c r="X40" s="37">
        <f t="shared" ca="1" si="12"/>
        <v>0</v>
      </c>
      <c r="Y40" s="37">
        <f t="shared" ca="1" si="12"/>
        <v>0</v>
      </c>
      <c r="Z40" s="37">
        <f t="shared" ca="1" si="12"/>
        <v>0</v>
      </c>
      <c r="AA40" s="37">
        <f t="shared" ca="1" si="12"/>
        <v>0</v>
      </c>
      <c r="AB40" s="37">
        <f t="shared" ca="1" si="12"/>
        <v>0</v>
      </c>
      <c r="AC40" s="37">
        <f t="shared" ca="1" si="12"/>
        <v>0</v>
      </c>
      <c r="AD40" s="37">
        <f t="shared" ca="1" si="13"/>
        <v>0</v>
      </c>
      <c r="AE40" s="37">
        <f t="shared" ca="1" si="13"/>
        <v>0</v>
      </c>
      <c r="AF40" s="37">
        <f t="shared" ca="1" si="13"/>
        <v>0</v>
      </c>
      <c r="AG40" s="37">
        <f t="shared" ca="1" si="13"/>
        <v>0</v>
      </c>
      <c r="AH40" s="37">
        <f t="shared" ca="1" si="13"/>
        <v>0</v>
      </c>
      <c r="AI40" s="37">
        <f t="shared" ca="1" si="13"/>
        <v>0</v>
      </c>
    </row>
    <row r="41" spans="1:36">
      <c r="A41" s="37">
        <f>A4</f>
        <v>2025</v>
      </c>
      <c r="B41" s="37" t="s">
        <v>25</v>
      </c>
      <c r="C41" s="139" t="str">
        <f t="shared" si="14"/>
        <v>2025_03</v>
      </c>
      <c r="D41" s="145">
        <f t="shared" ca="1" si="10"/>
        <v>0</v>
      </c>
      <c r="E41" s="144">
        <f t="shared" ca="1" si="15"/>
        <v>0</v>
      </c>
      <c r="F41" s="37">
        <f t="shared" ca="1" si="11"/>
        <v>0</v>
      </c>
      <c r="G41" s="37">
        <f t="shared" ca="1" si="11"/>
        <v>0</v>
      </c>
      <c r="H41" s="37">
        <f t="shared" ca="1" si="11"/>
        <v>0</v>
      </c>
      <c r="I41" s="37">
        <f t="shared" ca="1" si="11"/>
        <v>0</v>
      </c>
      <c r="J41" s="37">
        <f t="shared" ca="1" si="11"/>
        <v>0</v>
      </c>
      <c r="K41" s="37">
        <f t="shared" ca="1" si="11"/>
        <v>0</v>
      </c>
      <c r="L41" s="37">
        <f t="shared" ca="1" si="11"/>
        <v>0</v>
      </c>
      <c r="M41" s="37">
        <f t="shared" ca="1" si="11"/>
        <v>0</v>
      </c>
      <c r="N41" s="37">
        <f t="shared" ca="1" si="12"/>
        <v>0</v>
      </c>
      <c r="O41" s="37">
        <f t="shared" ca="1" si="12"/>
        <v>0</v>
      </c>
      <c r="P41" s="37">
        <f t="shared" ca="1" si="12"/>
        <v>0</v>
      </c>
      <c r="Q41" s="37">
        <f t="shared" ca="1" si="12"/>
        <v>0</v>
      </c>
      <c r="R41" s="37">
        <f t="shared" ca="1" si="12"/>
        <v>0</v>
      </c>
      <c r="S41" s="37">
        <f t="shared" ca="1" si="12"/>
        <v>0</v>
      </c>
      <c r="T41" s="37">
        <f t="shared" ca="1" si="12"/>
        <v>0</v>
      </c>
      <c r="U41" s="37">
        <f t="shared" ca="1" si="12"/>
        <v>0</v>
      </c>
      <c r="V41" s="37">
        <f t="shared" ca="1" si="12"/>
        <v>0</v>
      </c>
      <c r="W41" s="37">
        <f t="shared" ca="1" si="12"/>
        <v>0</v>
      </c>
      <c r="X41" s="37">
        <f t="shared" ca="1" si="12"/>
        <v>0</v>
      </c>
      <c r="Y41" s="37">
        <f t="shared" ca="1" si="12"/>
        <v>0</v>
      </c>
      <c r="Z41" s="37">
        <f t="shared" ca="1" si="12"/>
        <v>0</v>
      </c>
      <c r="AA41" s="37">
        <f t="shared" ca="1" si="12"/>
        <v>0</v>
      </c>
      <c r="AB41" s="37">
        <f t="shared" ca="1" si="12"/>
        <v>0</v>
      </c>
      <c r="AC41" s="37">
        <f t="shared" ca="1" si="12"/>
        <v>0</v>
      </c>
      <c r="AD41" s="37">
        <f t="shared" ca="1" si="13"/>
        <v>0</v>
      </c>
      <c r="AE41" s="37">
        <f t="shared" ca="1" si="13"/>
        <v>0</v>
      </c>
      <c r="AF41" s="37">
        <f t="shared" ca="1" si="13"/>
        <v>0</v>
      </c>
      <c r="AG41" s="37">
        <f t="shared" ca="1" si="13"/>
        <v>0</v>
      </c>
      <c r="AH41" s="37">
        <f t="shared" ca="1" si="13"/>
        <v>0</v>
      </c>
      <c r="AI41" s="37">
        <f t="shared" ca="1" si="13"/>
        <v>0</v>
      </c>
    </row>
    <row r="42" spans="1:36">
      <c r="A42" s="37">
        <f>A4</f>
        <v>2025</v>
      </c>
      <c r="B42" s="37" t="s">
        <v>26</v>
      </c>
      <c r="C42" s="139" t="str">
        <f t="shared" si="14"/>
        <v>2025_04</v>
      </c>
      <c r="D42" s="145">
        <f t="shared" ca="1" si="10"/>
        <v>0</v>
      </c>
      <c r="E42" s="144">
        <f t="shared" ca="1" si="15"/>
        <v>0</v>
      </c>
      <c r="F42" s="37">
        <f t="shared" ca="1" si="11"/>
        <v>0</v>
      </c>
      <c r="G42" s="37">
        <f t="shared" ca="1" si="11"/>
        <v>0</v>
      </c>
      <c r="H42" s="37">
        <f t="shared" ca="1" si="11"/>
        <v>0</v>
      </c>
      <c r="I42" s="37">
        <f t="shared" ca="1" si="11"/>
        <v>0</v>
      </c>
      <c r="J42" s="37">
        <f t="shared" ca="1" si="11"/>
        <v>0</v>
      </c>
      <c r="K42" s="37">
        <f t="shared" ca="1" si="11"/>
        <v>0</v>
      </c>
      <c r="L42" s="37">
        <f t="shared" ca="1" si="11"/>
        <v>0</v>
      </c>
      <c r="M42" s="37">
        <f t="shared" ca="1" si="11"/>
        <v>0</v>
      </c>
      <c r="N42" s="37">
        <f t="shared" ca="1" si="12"/>
        <v>0</v>
      </c>
      <c r="O42" s="37">
        <f t="shared" ca="1" si="12"/>
        <v>0</v>
      </c>
      <c r="P42" s="37">
        <f t="shared" ca="1" si="12"/>
        <v>0</v>
      </c>
      <c r="Q42" s="37">
        <f t="shared" ca="1" si="12"/>
        <v>0</v>
      </c>
      <c r="R42" s="37">
        <f t="shared" ca="1" si="12"/>
        <v>0</v>
      </c>
      <c r="S42" s="37">
        <f t="shared" ca="1" si="12"/>
        <v>0</v>
      </c>
      <c r="T42" s="37">
        <f t="shared" ca="1" si="12"/>
        <v>0</v>
      </c>
      <c r="U42" s="37">
        <f t="shared" ca="1" si="12"/>
        <v>0</v>
      </c>
      <c r="V42" s="37">
        <f t="shared" ca="1" si="12"/>
        <v>0</v>
      </c>
      <c r="W42" s="37">
        <f t="shared" ca="1" si="12"/>
        <v>0</v>
      </c>
      <c r="X42" s="37">
        <f t="shared" ca="1" si="12"/>
        <v>0</v>
      </c>
      <c r="Y42" s="37">
        <f t="shared" ca="1" si="12"/>
        <v>0</v>
      </c>
      <c r="Z42" s="37">
        <f t="shared" ca="1" si="12"/>
        <v>0</v>
      </c>
      <c r="AA42" s="37">
        <f t="shared" ca="1" si="12"/>
        <v>0</v>
      </c>
      <c r="AB42" s="37">
        <f t="shared" ca="1" si="12"/>
        <v>0</v>
      </c>
      <c r="AC42" s="37">
        <f t="shared" ca="1" si="12"/>
        <v>0</v>
      </c>
      <c r="AD42" s="37">
        <f t="shared" ca="1" si="13"/>
        <v>0</v>
      </c>
      <c r="AE42" s="37">
        <f t="shared" ca="1" si="13"/>
        <v>0</v>
      </c>
      <c r="AF42" s="37">
        <f t="shared" ca="1" si="13"/>
        <v>0</v>
      </c>
      <c r="AG42" s="37">
        <f t="shared" ca="1" si="13"/>
        <v>0</v>
      </c>
      <c r="AH42" s="37">
        <f t="shared" ca="1" si="13"/>
        <v>0</v>
      </c>
      <c r="AI42" s="37">
        <f t="shared" ca="1" si="13"/>
        <v>0</v>
      </c>
    </row>
    <row r="43" spans="1:36">
      <c r="A43" s="37">
        <f>A4</f>
        <v>2025</v>
      </c>
      <c r="B43" s="37" t="s">
        <v>27</v>
      </c>
      <c r="C43" s="139" t="str">
        <f t="shared" si="14"/>
        <v>2025_05</v>
      </c>
      <c r="D43" s="145">
        <f t="shared" ca="1" si="10"/>
        <v>0</v>
      </c>
      <c r="E43" s="144">
        <f t="shared" ca="1" si="15"/>
        <v>0</v>
      </c>
      <c r="F43" s="37">
        <f t="shared" ca="1" si="11"/>
        <v>0</v>
      </c>
      <c r="G43" s="37">
        <f t="shared" ca="1" si="11"/>
        <v>0</v>
      </c>
      <c r="H43" s="37">
        <f t="shared" ca="1" si="11"/>
        <v>0</v>
      </c>
      <c r="I43" s="37">
        <f t="shared" ca="1" si="11"/>
        <v>0</v>
      </c>
      <c r="J43" s="37">
        <f t="shared" ca="1" si="11"/>
        <v>0</v>
      </c>
      <c r="K43" s="37">
        <f t="shared" ca="1" si="11"/>
        <v>0</v>
      </c>
      <c r="L43" s="37">
        <f t="shared" ca="1" si="11"/>
        <v>0</v>
      </c>
      <c r="M43" s="37">
        <f t="shared" ca="1" si="11"/>
        <v>0</v>
      </c>
      <c r="N43" s="37">
        <f t="shared" ca="1" si="12"/>
        <v>0</v>
      </c>
      <c r="O43" s="37">
        <f t="shared" ca="1" si="12"/>
        <v>0</v>
      </c>
      <c r="P43" s="37">
        <f t="shared" ca="1" si="12"/>
        <v>0</v>
      </c>
      <c r="Q43" s="37">
        <f t="shared" ca="1" si="12"/>
        <v>0</v>
      </c>
      <c r="R43" s="37">
        <f t="shared" ca="1" si="12"/>
        <v>0</v>
      </c>
      <c r="S43" s="37">
        <f t="shared" ca="1" si="12"/>
        <v>0</v>
      </c>
      <c r="T43" s="37">
        <f t="shared" ca="1" si="12"/>
        <v>0</v>
      </c>
      <c r="U43" s="37">
        <f t="shared" ca="1" si="12"/>
        <v>0</v>
      </c>
      <c r="V43" s="37">
        <f t="shared" ca="1" si="12"/>
        <v>0</v>
      </c>
      <c r="W43" s="37">
        <f t="shared" ca="1" si="12"/>
        <v>0</v>
      </c>
      <c r="X43" s="37">
        <f t="shared" ca="1" si="12"/>
        <v>0</v>
      </c>
      <c r="Y43" s="37">
        <f t="shared" ca="1" si="12"/>
        <v>0</v>
      </c>
      <c r="Z43" s="37">
        <f t="shared" ca="1" si="12"/>
        <v>0</v>
      </c>
      <c r="AA43" s="37">
        <f t="shared" ca="1" si="12"/>
        <v>0</v>
      </c>
      <c r="AB43" s="37">
        <f t="shared" ca="1" si="12"/>
        <v>0</v>
      </c>
      <c r="AC43" s="37">
        <f t="shared" ca="1" si="12"/>
        <v>0</v>
      </c>
      <c r="AD43" s="37">
        <f t="shared" ca="1" si="13"/>
        <v>0</v>
      </c>
      <c r="AE43" s="37">
        <f t="shared" ca="1" si="13"/>
        <v>0</v>
      </c>
      <c r="AF43" s="37">
        <f t="shared" ca="1" si="13"/>
        <v>0</v>
      </c>
      <c r="AG43" s="37">
        <f t="shared" ca="1" si="13"/>
        <v>0</v>
      </c>
      <c r="AH43" s="37">
        <f t="shared" ca="1" si="13"/>
        <v>0</v>
      </c>
      <c r="AI43" s="37">
        <f t="shared" ca="1" si="13"/>
        <v>0</v>
      </c>
    </row>
    <row r="44" spans="1:36">
      <c r="A44" s="37">
        <f>A4</f>
        <v>2025</v>
      </c>
      <c r="B44" s="37" t="s">
        <v>28</v>
      </c>
      <c r="C44" s="139" t="str">
        <f t="shared" si="14"/>
        <v>2025_06</v>
      </c>
      <c r="D44" s="145">
        <f t="shared" ca="1" si="10"/>
        <v>0</v>
      </c>
      <c r="E44" s="144">
        <f t="shared" ca="1" si="15"/>
        <v>0</v>
      </c>
      <c r="F44" s="37">
        <f t="shared" ca="1" si="11"/>
        <v>0</v>
      </c>
      <c r="G44" s="37">
        <f t="shared" ca="1" si="11"/>
        <v>0</v>
      </c>
      <c r="H44" s="37">
        <f t="shared" ca="1" si="11"/>
        <v>0</v>
      </c>
      <c r="I44" s="37">
        <f t="shared" ca="1" si="11"/>
        <v>0</v>
      </c>
      <c r="J44" s="37">
        <f t="shared" ca="1" si="11"/>
        <v>0</v>
      </c>
      <c r="K44" s="37">
        <f t="shared" ca="1" si="11"/>
        <v>0</v>
      </c>
      <c r="L44" s="37">
        <f t="shared" ca="1" si="11"/>
        <v>0</v>
      </c>
      <c r="M44" s="37">
        <f t="shared" ca="1" si="11"/>
        <v>0</v>
      </c>
      <c r="N44" s="37">
        <f t="shared" ca="1" si="12"/>
        <v>0</v>
      </c>
      <c r="O44" s="37">
        <f t="shared" ca="1" si="12"/>
        <v>0</v>
      </c>
      <c r="P44" s="37">
        <f t="shared" ca="1" si="12"/>
        <v>0</v>
      </c>
      <c r="Q44" s="37">
        <f t="shared" ca="1" si="12"/>
        <v>0</v>
      </c>
      <c r="R44" s="37">
        <f t="shared" ca="1" si="12"/>
        <v>0</v>
      </c>
      <c r="S44" s="37">
        <f t="shared" ca="1" si="12"/>
        <v>0</v>
      </c>
      <c r="T44" s="37">
        <f t="shared" ca="1" si="12"/>
        <v>0</v>
      </c>
      <c r="U44" s="37">
        <f t="shared" ca="1" si="12"/>
        <v>0</v>
      </c>
      <c r="V44" s="37">
        <f t="shared" ca="1" si="12"/>
        <v>0</v>
      </c>
      <c r="W44" s="37">
        <f t="shared" ca="1" si="12"/>
        <v>0</v>
      </c>
      <c r="X44" s="37">
        <f t="shared" ca="1" si="12"/>
        <v>0</v>
      </c>
      <c r="Y44" s="37">
        <f t="shared" ca="1" si="12"/>
        <v>0</v>
      </c>
      <c r="Z44" s="37">
        <f t="shared" ca="1" si="12"/>
        <v>0</v>
      </c>
      <c r="AA44" s="37">
        <f t="shared" ca="1" si="12"/>
        <v>0</v>
      </c>
      <c r="AB44" s="37">
        <f t="shared" ca="1" si="12"/>
        <v>0</v>
      </c>
      <c r="AC44" s="37">
        <f t="shared" ca="1" si="12"/>
        <v>0</v>
      </c>
      <c r="AD44" s="37">
        <f t="shared" ca="1" si="13"/>
        <v>0</v>
      </c>
      <c r="AE44" s="37">
        <f t="shared" ca="1" si="13"/>
        <v>0</v>
      </c>
      <c r="AF44" s="37">
        <f t="shared" ca="1" si="13"/>
        <v>0</v>
      </c>
      <c r="AG44" s="37">
        <f t="shared" ca="1" si="13"/>
        <v>0</v>
      </c>
      <c r="AH44" s="37">
        <f t="shared" ca="1" si="13"/>
        <v>0</v>
      </c>
      <c r="AI44" s="37">
        <f t="shared" ca="1" si="13"/>
        <v>0</v>
      </c>
    </row>
    <row r="45" spans="1:36">
      <c r="A45" s="37">
        <f>A4</f>
        <v>2025</v>
      </c>
      <c r="B45" s="37" t="s">
        <v>29</v>
      </c>
      <c r="C45" s="139" t="str">
        <f t="shared" si="14"/>
        <v>2025_07</v>
      </c>
      <c r="D45" s="145">
        <f t="shared" ca="1" si="10"/>
        <v>0</v>
      </c>
      <c r="E45" s="144">
        <f t="shared" ca="1" si="15"/>
        <v>0</v>
      </c>
      <c r="F45" s="37">
        <f t="shared" ca="1" si="11"/>
        <v>0</v>
      </c>
      <c r="G45" s="37">
        <f t="shared" ca="1" si="11"/>
        <v>0</v>
      </c>
      <c r="H45" s="37">
        <f t="shared" ca="1" si="11"/>
        <v>0</v>
      </c>
      <c r="I45" s="37">
        <f t="shared" ca="1" si="11"/>
        <v>0</v>
      </c>
      <c r="J45" s="37">
        <f t="shared" ca="1" si="11"/>
        <v>0</v>
      </c>
      <c r="K45" s="37">
        <f t="shared" ca="1" si="11"/>
        <v>0</v>
      </c>
      <c r="L45" s="37">
        <f t="shared" ca="1" si="11"/>
        <v>0</v>
      </c>
      <c r="M45" s="37">
        <f t="shared" ca="1" si="11"/>
        <v>0</v>
      </c>
      <c r="N45" s="37">
        <f t="shared" ca="1" si="12"/>
        <v>0</v>
      </c>
      <c r="O45" s="37">
        <f t="shared" ca="1" si="12"/>
        <v>0</v>
      </c>
      <c r="P45" s="37">
        <f t="shared" ca="1" si="12"/>
        <v>0</v>
      </c>
      <c r="Q45" s="37">
        <f t="shared" ca="1" si="12"/>
        <v>0</v>
      </c>
      <c r="R45" s="37">
        <f t="shared" ca="1" si="12"/>
        <v>0</v>
      </c>
      <c r="S45" s="37">
        <f t="shared" ca="1" si="12"/>
        <v>0</v>
      </c>
      <c r="T45" s="37">
        <f t="shared" ca="1" si="12"/>
        <v>0</v>
      </c>
      <c r="U45" s="37">
        <f t="shared" ca="1" si="12"/>
        <v>0</v>
      </c>
      <c r="V45" s="37">
        <f t="shared" ca="1" si="12"/>
        <v>0</v>
      </c>
      <c r="W45" s="37">
        <f t="shared" ca="1" si="12"/>
        <v>0</v>
      </c>
      <c r="X45" s="37">
        <f t="shared" ca="1" si="12"/>
        <v>0</v>
      </c>
      <c r="Y45" s="37">
        <f t="shared" ca="1" si="12"/>
        <v>0</v>
      </c>
      <c r="Z45" s="37">
        <f t="shared" ca="1" si="12"/>
        <v>0</v>
      </c>
      <c r="AA45" s="37">
        <f t="shared" ca="1" si="12"/>
        <v>0</v>
      </c>
      <c r="AB45" s="37">
        <f t="shared" ca="1" si="12"/>
        <v>0</v>
      </c>
      <c r="AC45" s="37">
        <f t="shared" ca="1" si="12"/>
        <v>0</v>
      </c>
      <c r="AD45" s="37">
        <f t="shared" ca="1" si="13"/>
        <v>0</v>
      </c>
      <c r="AE45" s="37">
        <f t="shared" ca="1" si="13"/>
        <v>0</v>
      </c>
      <c r="AF45" s="37">
        <f t="shared" ca="1" si="13"/>
        <v>0</v>
      </c>
      <c r="AG45" s="37">
        <f t="shared" ca="1" si="13"/>
        <v>0</v>
      </c>
      <c r="AH45" s="37">
        <f t="shared" ca="1" si="13"/>
        <v>0</v>
      </c>
      <c r="AI45" s="37">
        <f t="shared" ca="1" si="13"/>
        <v>0</v>
      </c>
    </row>
    <row r="46" spans="1:36">
      <c r="A46" s="37">
        <f>A4</f>
        <v>2025</v>
      </c>
      <c r="B46" s="37" t="s">
        <v>30</v>
      </c>
      <c r="C46" s="139" t="str">
        <f t="shared" si="14"/>
        <v>2025_08</v>
      </c>
      <c r="D46" s="145">
        <f t="shared" ca="1" si="10"/>
        <v>0</v>
      </c>
      <c r="E46" s="144">
        <f t="shared" ca="1" si="15"/>
        <v>0</v>
      </c>
      <c r="F46" s="37">
        <f t="shared" ca="1" si="11"/>
        <v>0</v>
      </c>
      <c r="G46" s="37">
        <f t="shared" ca="1" si="11"/>
        <v>0</v>
      </c>
      <c r="H46" s="37">
        <f t="shared" ca="1" si="11"/>
        <v>0</v>
      </c>
      <c r="I46" s="37">
        <f t="shared" ca="1" si="11"/>
        <v>0</v>
      </c>
      <c r="J46" s="37">
        <f t="shared" ca="1" si="11"/>
        <v>0</v>
      </c>
      <c r="K46" s="37">
        <f t="shared" ca="1" si="11"/>
        <v>0</v>
      </c>
      <c r="L46" s="37">
        <f t="shared" ca="1" si="11"/>
        <v>0</v>
      </c>
      <c r="M46" s="37">
        <f t="shared" ca="1" si="11"/>
        <v>0</v>
      </c>
      <c r="N46" s="37">
        <f t="shared" ca="1" si="12"/>
        <v>0</v>
      </c>
      <c r="O46" s="37">
        <f t="shared" ca="1" si="12"/>
        <v>0</v>
      </c>
      <c r="P46" s="37">
        <f t="shared" ca="1" si="12"/>
        <v>0</v>
      </c>
      <c r="Q46" s="37">
        <f t="shared" ca="1" si="12"/>
        <v>0</v>
      </c>
      <c r="R46" s="37">
        <f t="shared" ca="1" si="12"/>
        <v>0</v>
      </c>
      <c r="S46" s="37">
        <f t="shared" ca="1" si="12"/>
        <v>0</v>
      </c>
      <c r="T46" s="37">
        <f t="shared" ca="1" si="12"/>
        <v>0</v>
      </c>
      <c r="U46" s="37">
        <f t="shared" ca="1" si="12"/>
        <v>0</v>
      </c>
      <c r="V46" s="37">
        <f t="shared" ca="1" si="12"/>
        <v>0</v>
      </c>
      <c r="W46" s="37">
        <f t="shared" ca="1" si="12"/>
        <v>0</v>
      </c>
      <c r="X46" s="37">
        <f t="shared" ca="1" si="12"/>
        <v>0</v>
      </c>
      <c r="Y46" s="37">
        <f t="shared" ca="1" si="12"/>
        <v>0</v>
      </c>
      <c r="Z46" s="37">
        <f t="shared" ca="1" si="12"/>
        <v>0</v>
      </c>
      <c r="AA46" s="37">
        <f t="shared" ca="1" si="12"/>
        <v>0</v>
      </c>
      <c r="AB46" s="37">
        <f t="shared" ca="1" si="12"/>
        <v>0</v>
      </c>
      <c r="AC46" s="37">
        <f t="shared" ca="1" si="12"/>
        <v>0</v>
      </c>
      <c r="AD46" s="37">
        <f t="shared" ca="1" si="13"/>
        <v>0</v>
      </c>
      <c r="AE46" s="37">
        <f t="shared" ca="1" si="13"/>
        <v>0</v>
      </c>
      <c r="AF46" s="37">
        <f t="shared" ca="1" si="13"/>
        <v>0</v>
      </c>
      <c r="AG46" s="37">
        <f t="shared" ca="1" si="13"/>
        <v>0</v>
      </c>
      <c r="AH46" s="37">
        <f t="shared" ca="1" si="13"/>
        <v>0</v>
      </c>
      <c r="AI46" s="37">
        <f t="shared" ca="1" si="13"/>
        <v>0</v>
      </c>
    </row>
    <row r="47" spans="1:36">
      <c r="A47" s="37">
        <f>A4</f>
        <v>2025</v>
      </c>
      <c r="B47" s="37" t="s">
        <v>31</v>
      </c>
      <c r="C47" s="139" t="str">
        <f t="shared" si="14"/>
        <v>2025_09</v>
      </c>
      <c r="D47" s="145">
        <f t="shared" ca="1" si="10"/>
        <v>0</v>
      </c>
      <c r="E47" s="144">
        <f t="shared" ca="1" si="15"/>
        <v>0</v>
      </c>
      <c r="F47" s="37">
        <f t="shared" ca="1" si="11"/>
        <v>0</v>
      </c>
      <c r="G47" s="37">
        <f t="shared" ca="1" si="11"/>
        <v>0</v>
      </c>
      <c r="H47" s="37">
        <f t="shared" ca="1" si="11"/>
        <v>0</v>
      </c>
      <c r="I47" s="37">
        <f t="shared" ca="1" si="11"/>
        <v>0</v>
      </c>
      <c r="J47" s="37">
        <f t="shared" ca="1" si="11"/>
        <v>0</v>
      </c>
      <c r="K47" s="37">
        <f t="shared" ca="1" si="11"/>
        <v>0</v>
      </c>
      <c r="L47" s="37">
        <f t="shared" ca="1" si="11"/>
        <v>0</v>
      </c>
      <c r="M47" s="37">
        <f t="shared" ca="1" si="11"/>
        <v>0</v>
      </c>
      <c r="N47" s="37">
        <f t="shared" ca="1" si="12"/>
        <v>0</v>
      </c>
      <c r="O47" s="37">
        <f t="shared" ca="1" si="12"/>
        <v>0</v>
      </c>
      <c r="P47" s="37">
        <f t="shared" ca="1" si="12"/>
        <v>0</v>
      </c>
      <c r="Q47" s="37">
        <f t="shared" ca="1" si="12"/>
        <v>0</v>
      </c>
      <c r="R47" s="37">
        <f t="shared" ca="1" si="12"/>
        <v>0</v>
      </c>
      <c r="S47" s="37">
        <f t="shared" ca="1" si="12"/>
        <v>0</v>
      </c>
      <c r="T47" s="37">
        <f t="shared" ca="1" si="12"/>
        <v>0</v>
      </c>
      <c r="U47" s="37">
        <f t="shared" ca="1" si="12"/>
        <v>0</v>
      </c>
      <c r="V47" s="37">
        <f t="shared" ca="1" si="12"/>
        <v>0</v>
      </c>
      <c r="W47" s="37">
        <f t="shared" ca="1" si="12"/>
        <v>0</v>
      </c>
      <c r="X47" s="37">
        <f t="shared" ca="1" si="12"/>
        <v>0</v>
      </c>
      <c r="Y47" s="37">
        <f t="shared" ca="1" si="12"/>
        <v>0</v>
      </c>
      <c r="Z47" s="37">
        <f t="shared" ca="1" si="12"/>
        <v>0</v>
      </c>
      <c r="AA47" s="37">
        <f t="shared" ca="1" si="12"/>
        <v>0</v>
      </c>
      <c r="AB47" s="37">
        <f t="shared" ca="1" si="12"/>
        <v>0</v>
      </c>
      <c r="AC47" s="37">
        <f t="shared" ca="1" si="12"/>
        <v>0</v>
      </c>
      <c r="AD47" s="37">
        <f t="shared" ca="1" si="13"/>
        <v>0</v>
      </c>
      <c r="AE47" s="37">
        <f t="shared" ca="1" si="13"/>
        <v>0</v>
      </c>
      <c r="AF47" s="37">
        <f t="shared" ca="1" si="13"/>
        <v>0</v>
      </c>
      <c r="AG47" s="37">
        <f t="shared" ca="1" si="13"/>
        <v>0</v>
      </c>
      <c r="AH47" s="37">
        <f t="shared" ca="1" si="13"/>
        <v>0</v>
      </c>
      <c r="AI47" s="37">
        <f t="shared" ca="1" si="13"/>
        <v>0</v>
      </c>
    </row>
    <row r="48" spans="1:36">
      <c r="A48" s="37">
        <f>A4</f>
        <v>2025</v>
      </c>
      <c r="B48" s="37" t="s">
        <v>32</v>
      </c>
      <c r="C48" s="139" t="str">
        <f t="shared" si="14"/>
        <v>2025_10</v>
      </c>
      <c r="D48" s="145">
        <f t="shared" ca="1" si="10"/>
        <v>8</v>
      </c>
      <c r="E48" s="144">
        <f t="shared" ca="1" si="15"/>
        <v>1</v>
      </c>
      <c r="F48" s="37">
        <f t="shared" ca="1" si="11"/>
        <v>0</v>
      </c>
      <c r="G48" s="37">
        <f t="shared" ca="1" si="11"/>
        <v>0</v>
      </c>
      <c r="H48" s="37">
        <f t="shared" ca="1" si="11"/>
        <v>5</v>
      </c>
      <c r="I48" s="37">
        <f t="shared" ca="1" si="11"/>
        <v>2</v>
      </c>
      <c r="J48" s="37">
        <f t="shared" ca="1" si="11"/>
        <v>0</v>
      </c>
      <c r="K48" s="37">
        <f t="shared" ca="1" si="11"/>
        <v>0</v>
      </c>
      <c r="L48" s="37">
        <f t="shared" ca="1" si="11"/>
        <v>0</v>
      </c>
      <c r="M48" s="37">
        <f t="shared" ca="1" si="11"/>
        <v>0</v>
      </c>
      <c r="N48" s="37">
        <f t="shared" ca="1" si="12"/>
        <v>0</v>
      </c>
      <c r="O48" s="37">
        <f t="shared" ca="1" si="12"/>
        <v>0</v>
      </c>
      <c r="P48" s="37">
        <f t="shared" ca="1" si="12"/>
        <v>0</v>
      </c>
      <c r="Q48" s="37">
        <f t="shared" ca="1" si="12"/>
        <v>0</v>
      </c>
      <c r="R48" s="37">
        <f t="shared" ca="1" si="12"/>
        <v>0</v>
      </c>
      <c r="S48" s="37">
        <f t="shared" ca="1" si="12"/>
        <v>0</v>
      </c>
      <c r="T48" s="37">
        <f t="shared" ca="1" si="12"/>
        <v>0</v>
      </c>
      <c r="U48" s="37">
        <f t="shared" ca="1" si="12"/>
        <v>0</v>
      </c>
      <c r="V48" s="37">
        <f t="shared" ca="1" si="12"/>
        <v>0</v>
      </c>
      <c r="W48" s="37">
        <f t="shared" ca="1" si="12"/>
        <v>0</v>
      </c>
      <c r="X48" s="37">
        <f t="shared" ca="1" si="12"/>
        <v>0</v>
      </c>
      <c r="Y48" s="37">
        <f t="shared" ca="1" si="12"/>
        <v>0</v>
      </c>
      <c r="Z48" s="37">
        <f t="shared" ca="1" si="12"/>
        <v>0</v>
      </c>
      <c r="AA48" s="37">
        <f t="shared" ca="1" si="12"/>
        <v>0</v>
      </c>
      <c r="AB48" s="37">
        <f t="shared" ca="1" si="12"/>
        <v>0</v>
      </c>
      <c r="AC48" s="37">
        <f t="shared" ca="1" si="12"/>
        <v>0</v>
      </c>
      <c r="AD48" s="37">
        <f t="shared" ca="1" si="13"/>
        <v>0</v>
      </c>
      <c r="AE48" s="37">
        <f t="shared" ca="1" si="13"/>
        <v>0</v>
      </c>
      <c r="AF48" s="37">
        <f t="shared" ca="1" si="13"/>
        <v>0</v>
      </c>
      <c r="AG48" s="37">
        <f t="shared" ca="1" si="13"/>
        <v>0</v>
      </c>
      <c r="AH48" s="37">
        <f t="shared" ca="1" si="13"/>
        <v>0</v>
      </c>
      <c r="AI48" s="37">
        <f t="shared" ca="1" si="13"/>
        <v>0</v>
      </c>
    </row>
    <row r="49" spans="1:35">
      <c r="A49" s="37">
        <f>A4</f>
        <v>2025</v>
      </c>
      <c r="B49" s="37" t="s">
        <v>33</v>
      </c>
      <c r="C49" s="139" t="str">
        <f t="shared" si="14"/>
        <v>2025_11</v>
      </c>
      <c r="D49" s="145">
        <f t="shared" ca="1" si="10"/>
        <v>0</v>
      </c>
      <c r="E49" s="144">
        <f t="shared" ca="1" si="15"/>
        <v>0</v>
      </c>
      <c r="F49" s="37">
        <f t="shared" ca="1" si="11"/>
        <v>0</v>
      </c>
      <c r="G49" s="37">
        <f t="shared" ca="1" si="11"/>
        <v>0</v>
      </c>
      <c r="H49" s="37">
        <f t="shared" ca="1" si="11"/>
        <v>0</v>
      </c>
      <c r="I49" s="37">
        <f t="shared" ca="1" si="11"/>
        <v>0</v>
      </c>
      <c r="J49" s="37">
        <f t="shared" ca="1" si="11"/>
        <v>0</v>
      </c>
      <c r="K49" s="37">
        <f t="shared" ca="1" si="11"/>
        <v>0</v>
      </c>
      <c r="L49" s="37">
        <f t="shared" ca="1" si="11"/>
        <v>0</v>
      </c>
      <c r="M49" s="37">
        <f t="shared" ca="1" si="11"/>
        <v>0</v>
      </c>
      <c r="N49" s="37">
        <f t="shared" ca="1" si="12"/>
        <v>0</v>
      </c>
      <c r="O49" s="37">
        <f t="shared" ca="1" si="12"/>
        <v>0</v>
      </c>
      <c r="P49" s="37">
        <f t="shared" ca="1" si="12"/>
        <v>0</v>
      </c>
      <c r="Q49" s="37">
        <f t="shared" ca="1" si="12"/>
        <v>0</v>
      </c>
      <c r="R49" s="37">
        <f t="shared" ca="1" si="12"/>
        <v>0</v>
      </c>
      <c r="S49" s="37">
        <f t="shared" ca="1" si="12"/>
        <v>0</v>
      </c>
      <c r="T49" s="37">
        <f t="shared" ca="1" si="12"/>
        <v>0</v>
      </c>
      <c r="U49" s="37">
        <f t="shared" ca="1" si="12"/>
        <v>0</v>
      </c>
      <c r="V49" s="37">
        <f t="shared" ca="1" si="12"/>
        <v>0</v>
      </c>
      <c r="W49" s="37">
        <f t="shared" ca="1" si="12"/>
        <v>0</v>
      </c>
      <c r="X49" s="37">
        <f t="shared" ca="1" si="12"/>
        <v>0</v>
      </c>
      <c r="Y49" s="37">
        <f t="shared" ca="1" si="12"/>
        <v>0</v>
      </c>
      <c r="Z49" s="37">
        <f t="shared" ca="1" si="12"/>
        <v>0</v>
      </c>
      <c r="AA49" s="37">
        <f t="shared" ca="1" si="12"/>
        <v>0</v>
      </c>
      <c r="AB49" s="37">
        <f t="shared" ca="1" si="12"/>
        <v>0</v>
      </c>
      <c r="AC49" s="37">
        <f t="shared" ca="1" si="12"/>
        <v>0</v>
      </c>
      <c r="AD49" s="37">
        <f t="shared" ca="1" si="13"/>
        <v>0</v>
      </c>
      <c r="AE49" s="37">
        <f t="shared" ca="1" si="13"/>
        <v>0</v>
      </c>
      <c r="AF49" s="37">
        <f t="shared" ca="1" si="13"/>
        <v>0</v>
      </c>
      <c r="AG49" s="37">
        <f t="shared" ca="1" si="13"/>
        <v>0</v>
      </c>
      <c r="AH49" s="37">
        <f t="shared" ca="1" si="13"/>
        <v>0</v>
      </c>
      <c r="AI49" s="37">
        <f t="shared" ca="1" si="13"/>
        <v>0</v>
      </c>
    </row>
    <row r="50" spans="1:35" ht="18.600000000000001" thickBot="1">
      <c r="A50" s="37">
        <f>A4</f>
        <v>2025</v>
      </c>
      <c r="B50" s="37" t="s">
        <v>34</v>
      </c>
      <c r="C50" s="141" t="str">
        <f t="shared" si="14"/>
        <v>2025_12</v>
      </c>
      <c r="D50" s="146">
        <f t="shared" ca="1" si="10"/>
        <v>0</v>
      </c>
      <c r="E50" s="144">
        <f t="shared" ca="1" si="15"/>
        <v>0</v>
      </c>
      <c r="F50" s="37">
        <f t="shared" ca="1" si="11"/>
        <v>0</v>
      </c>
      <c r="G50" s="37">
        <f t="shared" ca="1" si="11"/>
        <v>0</v>
      </c>
      <c r="H50" s="37">
        <f t="shared" ca="1" si="11"/>
        <v>0</v>
      </c>
      <c r="I50" s="37">
        <f t="shared" ca="1" si="11"/>
        <v>0</v>
      </c>
      <c r="J50" s="37">
        <f t="shared" ca="1" si="11"/>
        <v>0</v>
      </c>
      <c r="K50" s="37">
        <f t="shared" ca="1" si="11"/>
        <v>0</v>
      </c>
      <c r="L50" s="37">
        <f t="shared" ca="1" si="11"/>
        <v>0</v>
      </c>
      <c r="M50" s="37">
        <f t="shared" ca="1" si="11"/>
        <v>0</v>
      </c>
      <c r="N50" s="37">
        <f t="shared" ca="1" si="12"/>
        <v>0</v>
      </c>
      <c r="O50" s="37">
        <f t="shared" ca="1" si="12"/>
        <v>0</v>
      </c>
      <c r="P50" s="37">
        <f t="shared" ca="1" si="12"/>
        <v>0</v>
      </c>
      <c r="Q50" s="37">
        <f t="shared" ca="1" si="12"/>
        <v>0</v>
      </c>
      <c r="R50" s="37">
        <f t="shared" ca="1" si="12"/>
        <v>0</v>
      </c>
      <c r="S50" s="37">
        <f t="shared" ca="1" si="12"/>
        <v>0</v>
      </c>
      <c r="T50" s="37">
        <f t="shared" ca="1" si="12"/>
        <v>0</v>
      </c>
      <c r="U50" s="37">
        <f t="shared" ca="1" si="12"/>
        <v>0</v>
      </c>
      <c r="V50" s="37">
        <f t="shared" ca="1" si="12"/>
        <v>0</v>
      </c>
      <c r="W50" s="37">
        <f t="shared" ca="1" si="12"/>
        <v>0</v>
      </c>
      <c r="X50" s="37">
        <f t="shared" ca="1" si="12"/>
        <v>0</v>
      </c>
      <c r="Y50" s="37">
        <f t="shared" ca="1" si="12"/>
        <v>0</v>
      </c>
      <c r="Z50" s="37">
        <f t="shared" ca="1" si="12"/>
        <v>0</v>
      </c>
      <c r="AA50" s="37">
        <f t="shared" ca="1" si="12"/>
        <v>0</v>
      </c>
      <c r="AB50" s="37">
        <f t="shared" ca="1" si="12"/>
        <v>0</v>
      </c>
      <c r="AC50" s="37">
        <f t="shared" ca="1" si="12"/>
        <v>0</v>
      </c>
      <c r="AD50" s="37">
        <f t="shared" ca="1" si="13"/>
        <v>0</v>
      </c>
      <c r="AE50" s="37">
        <f t="shared" ca="1" si="13"/>
        <v>0</v>
      </c>
      <c r="AF50" s="37">
        <f t="shared" ca="1" si="13"/>
        <v>0</v>
      </c>
      <c r="AG50" s="37">
        <f t="shared" ca="1" si="13"/>
        <v>0</v>
      </c>
      <c r="AH50" s="37">
        <f t="shared" ca="1" si="13"/>
        <v>0</v>
      </c>
      <c r="AI50" s="37">
        <f t="shared" ca="1" si="13"/>
        <v>0</v>
      </c>
    </row>
    <row r="51" spans="1:35" ht="18.600000000000001" thickBot="1">
      <c r="D51" s="99" t="s">
        <v>146</v>
      </c>
      <c r="E51" s="147">
        <f t="shared" ref="E51" ca="1" si="16">SUM(E39:E50)</f>
        <v>1</v>
      </c>
      <c r="F51" s="148">
        <f t="shared" ref="F51" ca="1" si="17">SUM(F39:F50)</f>
        <v>0</v>
      </c>
      <c r="G51" s="148">
        <f t="shared" ref="G51" ca="1" si="18">SUM(G39:G50)</f>
        <v>0</v>
      </c>
      <c r="H51" s="148">
        <f t="shared" ref="H51" ca="1" si="19">SUM(H39:H50)</f>
        <v>5</v>
      </c>
      <c r="I51" s="148">
        <f t="shared" ref="I51" ca="1" si="20">SUM(I39:I50)</f>
        <v>2</v>
      </c>
      <c r="J51" s="148">
        <f t="shared" ref="J51" ca="1" si="21">SUM(J39:J50)</f>
        <v>0</v>
      </c>
      <c r="K51" s="148">
        <f t="shared" ref="K51" ca="1" si="22">SUM(K39:K50)</f>
        <v>0</v>
      </c>
      <c r="L51" s="148">
        <f t="shared" ref="L51" ca="1" si="23">SUM(L39:L50)</f>
        <v>0</v>
      </c>
      <c r="M51" s="148">
        <f t="shared" ref="M51" ca="1" si="24">SUM(M39:M50)</f>
        <v>0</v>
      </c>
      <c r="N51" s="148">
        <f t="shared" ref="N51:S51" ca="1" si="25">SUM(N39:N50)</f>
        <v>0</v>
      </c>
      <c r="O51" s="148">
        <f t="shared" ca="1" si="25"/>
        <v>0</v>
      </c>
      <c r="P51" s="148">
        <f t="shared" ca="1" si="25"/>
        <v>0</v>
      </c>
      <c r="Q51" s="148">
        <f t="shared" ca="1" si="25"/>
        <v>0</v>
      </c>
      <c r="R51" s="148">
        <f t="shared" ca="1" si="25"/>
        <v>0</v>
      </c>
      <c r="S51" s="148">
        <f t="shared" ca="1" si="25"/>
        <v>0</v>
      </c>
      <c r="T51" s="148">
        <f ca="1">SUM(T39:T50)</f>
        <v>0</v>
      </c>
      <c r="U51" s="148">
        <f t="shared" ref="U51:AI51" ca="1" si="26">SUM(U39:U50)</f>
        <v>0</v>
      </c>
      <c r="V51" s="148">
        <f t="shared" ca="1" si="26"/>
        <v>0</v>
      </c>
      <c r="W51" s="148">
        <f t="shared" ca="1" si="26"/>
        <v>0</v>
      </c>
      <c r="X51" s="148">
        <f t="shared" ca="1" si="26"/>
        <v>0</v>
      </c>
      <c r="Y51" s="148">
        <f t="shared" ca="1" si="26"/>
        <v>0</v>
      </c>
      <c r="Z51" s="148">
        <f t="shared" ca="1" si="26"/>
        <v>0</v>
      </c>
      <c r="AA51" s="148">
        <f t="shared" ca="1" si="26"/>
        <v>0</v>
      </c>
      <c r="AB51" s="148">
        <f t="shared" ca="1" si="26"/>
        <v>0</v>
      </c>
      <c r="AC51" s="148">
        <f t="shared" ca="1" si="26"/>
        <v>0</v>
      </c>
      <c r="AD51" s="148">
        <f t="shared" ca="1" si="26"/>
        <v>0</v>
      </c>
      <c r="AE51" s="148">
        <f t="shared" ca="1" si="26"/>
        <v>0</v>
      </c>
      <c r="AF51" s="148">
        <f t="shared" ca="1" si="26"/>
        <v>0</v>
      </c>
      <c r="AG51" s="148">
        <f t="shared" ca="1" si="26"/>
        <v>0</v>
      </c>
      <c r="AH51" s="148">
        <f t="shared" ca="1" si="26"/>
        <v>0</v>
      </c>
      <c r="AI51" s="148">
        <f t="shared" ca="1" si="26"/>
        <v>0</v>
      </c>
    </row>
    <row r="52" spans="1:35" ht="18.600000000000001" thickBot="1">
      <c r="D52" s="195">
        <f ca="1">SUM(D39:D50)</f>
        <v>8</v>
      </c>
    </row>
    <row r="53" spans="1:35">
      <c r="M53" s="99"/>
      <c r="N53" s="99"/>
    </row>
    <row r="54" spans="1:35">
      <c r="A54" s="107" t="s">
        <v>61</v>
      </c>
      <c r="C54" s="99"/>
      <c r="D54" s="99"/>
    </row>
    <row r="55" spans="1:35">
      <c r="D55" s="91"/>
      <c r="E55" s="132"/>
      <c r="F55" s="132"/>
      <c r="G55" s="132"/>
      <c r="H55" s="132"/>
      <c r="I55" s="132"/>
      <c r="J55" s="132"/>
      <c r="K55" s="132"/>
      <c r="L55" s="132"/>
      <c r="M55" s="132"/>
      <c r="N55" s="132"/>
      <c r="O55" s="132"/>
      <c r="P55" s="132"/>
      <c r="Q55" s="132"/>
      <c r="R55" s="132"/>
    </row>
    <row r="56" spans="1:35">
      <c r="A56" s="37" t="s">
        <v>253</v>
      </c>
      <c r="C56" s="133"/>
      <c r="D56" s="133"/>
    </row>
    <row r="57" spans="1:35">
      <c r="C57" s="133"/>
      <c r="D57" s="133"/>
    </row>
    <row r="58" spans="1:35">
      <c r="C58" s="133"/>
      <c r="D58" s="133"/>
    </row>
    <row r="59" spans="1:35">
      <c r="C59" s="133"/>
      <c r="D59" s="133"/>
    </row>
    <row r="60" spans="1:35">
      <c r="C60" s="133"/>
      <c r="D60" s="133"/>
    </row>
    <row r="61" spans="1:35">
      <c r="C61" s="133"/>
      <c r="D61" s="133"/>
    </row>
    <row r="62" spans="1:35">
      <c r="C62" s="133"/>
      <c r="D62" s="133"/>
    </row>
    <row r="63" spans="1:35">
      <c r="C63" s="133"/>
      <c r="D63" s="133"/>
    </row>
    <row r="64" spans="1:35">
      <c r="C64" s="133"/>
      <c r="D64" s="133"/>
    </row>
    <row r="65" spans="1:7">
      <c r="C65" s="133"/>
      <c r="D65" s="133"/>
    </row>
    <row r="66" spans="1:7">
      <c r="C66" s="133"/>
      <c r="D66" s="133"/>
    </row>
    <row r="67" spans="1:7">
      <c r="C67" s="133"/>
      <c r="D67" s="133"/>
    </row>
    <row r="69" spans="1:7">
      <c r="A69" s="107" t="s">
        <v>74</v>
      </c>
      <c r="D69" s="133" t="s">
        <v>110</v>
      </c>
    </row>
    <row r="70" spans="1:7" ht="18.600000000000001" thickBot="1">
      <c r="D70" s="91" t="s">
        <v>62</v>
      </c>
      <c r="E70" s="91" t="s">
        <v>172</v>
      </c>
      <c r="G70" s="91" t="s">
        <v>173</v>
      </c>
    </row>
    <row r="71" spans="1:7" ht="18.600000000000001" thickBot="1">
      <c r="A71" s="37">
        <f>A4</f>
        <v>2025</v>
      </c>
      <c r="B71" s="37" t="s">
        <v>23</v>
      </c>
      <c r="C71" s="149" t="str">
        <f>A71&amp;""&amp;B71</f>
        <v>2025_01</v>
      </c>
      <c r="D71" s="206" t="str" cm="1">
        <f t="array" aca="1" ref="D71" ca="1">IFERROR(INDIRECT("'" &amp; TRIM(C71) &amp; "'!AW3"), "")</f>
        <v/>
      </c>
      <c r="E71" s="121" t="str">
        <f ca="1">IF($D71="","", $D71 - $G$71)</f>
        <v/>
      </c>
      <c r="G71" s="119">
        <f>P10</f>
        <v>1226</v>
      </c>
    </row>
    <row r="72" spans="1:7">
      <c r="A72" s="37">
        <f>A4</f>
        <v>2025</v>
      </c>
      <c r="B72" s="37" t="s">
        <v>24</v>
      </c>
      <c r="C72" s="150" t="str">
        <f t="shared" ref="C72:C82" si="27">A72&amp;""&amp;B72</f>
        <v>2025_02</v>
      </c>
      <c r="D72" s="207" t="str" cm="1">
        <f t="array" aca="1" ref="D72" ca="1">IFERROR(INDIRECT("'" &amp; TRIM(C72) &amp; "'!AW3"), "")</f>
        <v/>
      </c>
      <c r="E72" s="124" t="str">
        <f t="shared" ref="E72:E82" ca="1" si="28">IF($D72="","", $D72 - $G$71)</f>
        <v/>
      </c>
    </row>
    <row r="73" spans="1:7">
      <c r="A73" s="37">
        <f>A4</f>
        <v>2025</v>
      </c>
      <c r="B73" s="37" t="s">
        <v>25</v>
      </c>
      <c r="C73" s="150" t="str">
        <f t="shared" si="27"/>
        <v>2025_03</v>
      </c>
      <c r="D73" s="207" t="str" cm="1">
        <f t="array" aca="1" ref="D73" ca="1">IFERROR(INDIRECT("'" &amp; TRIM(C73) &amp; "'!AW3"), "")</f>
        <v/>
      </c>
      <c r="E73" s="124" t="str">
        <f t="shared" ca="1" si="28"/>
        <v/>
      </c>
    </row>
    <row r="74" spans="1:7">
      <c r="A74" s="37">
        <f>A4</f>
        <v>2025</v>
      </c>
      <c r="B74" s="37" t="s">
        <v>26</v>
      </c>
      <c r="C74" s="150" t="str">
        <f t="shared" si="27"/>
        <v>2025_04</v>
      </c>
      <c r="D74" s="207" t="str" cm="1">
        <f t="array" aca="1" ref="D74" ca="1">IFERROR(INDIRECT("'" &amp; TRIM(C74) &amp; "'!AW3"), "")</f>
        <v/>
      </c>
      <c r="E74" s="124" t="str">
        <f t="shared" ca="1" si="28"/>
        <v/>
      </c>
    </row>
    <row r="75" spans="1:7">
      <c r="A75" s="37">
        <f>A4</f>
        <v>2025</v>
      </c>
      <c r="B75" s="37" t="s">
        <v>27</v>
      </c>
      <c r="C75" s="150" t="str">
        <f t="shared" si="27"/>
        <v>2025_05</v>
      </c>
      <c r="D75" s="207" t="str" cm="1">
        <f t="array" aca="1" ref="D75" ca="1">IFERROR(INDIRECT("'" &amp; TRIM(C75) &amp; "'!AW3"), "")</f>
        <v/>
      </c>
      <c r="E75" s="124" t="str">
        <f t="shared" ca="1" si="28"/>
        <v/>
      </c>
    </row>
    <row r="76" spans="1:7">
      <c r="A76" s="37">
        <f>A4</f>
        <v>2025</v>
      </c>
      <c r="B76" s="37" t="s">
        <v>28</v>
      </c>
      <c r="C76" s="150" t="str">
        <f t="shared" si="27"/>
        <v>2025_06</v>
      </c>
      <c r="D76" s="207" t="str" cm="1">
        <f t="array" aca="1" ref="D76" ca="1">IFERROR(INDIRECT("'" &amp; TRIM(C76) &amp; "'!AW3"), "")</f>
        <v/>
      </c>
      <c r="E76" s="124" t="str">
        <f t="shared" ca="1" si="28"/>
        <v/>
      </c>
    </row>
    <row r="77" spans="1:7">
      <c r="A77" s="37">
        <f>A4</f>
        <v>2025</v>
      </c>
      <c r="B77" s="37" t="s">
        <v>29</v>
      </c>
      <c r="C77" s="150" t="str">
        <f t="shared" si="27"/>
        <v>2025_07</v>
      </c>
      <c r="D77" s="207" t="str" cm="1">
        <f t="array" aca="1" ref="D77" ca="1">IFERROR(INDIRECT("'" &amp; TRIM(C77) &amp; "'!AW3"), "")</f>
        <v/>
      </c>
      <c r="E77" s="124" t="str">
        <f t="shared" ca="1" si="28"/>
        <v/>
      </c>
    </row>
    <row r="78" spans="1:7">
      <c r="A78" s="37">
        <f>A4</f>
        <v>2025</v>
      </c>
      <c r="B78" s="37" t="s">
        <v>30</v>
      </c>
      <c r="C78" s="150" t="str">
        <f t="shared" si="27"/>
        <v>2025_08</v>
      </c>
      <c r="D78" s="207" t="str" cm="1">
        <f t="array" aca="1" ref="D78" ca="1">IFERROR(INDIRECT("'" &amp; TRIM(C78) &amp; "'!AW3"), "")</f>
        <v/>
      </c>
      <c r="E78" s="124" t="str">
        <f t="shared" ca="1" si="28"/>
        <v/>
      </c>
    </row>
    <row r="79" spans="1:7">
      <c r="A79" s="37">
        <f>A4</f>
        <v>2025</v>
      </c>
      <c r="B79" s="37" t="s">
        <v>31</v>
      </c>
      <c r="C79" s="150" t="str">
        <f t="shared" si="27"/>
        <v>2025_09</v>
      </c>
      <c r="D79" s="207" t="str" cm="1">
        <f t="array" aca="1" ref="D79" ca="1">IFERROR(INDIRECT("'" &amp; TRIM(C79) &amp; "'!AW3"), "")</f>
        <v/>
      </c>
      <c r="E79" s="124" t="str">
        <f t="shared" ca="1" si="28"/>
        <v/>
      </c>
    </row>
    <row r="80" spans="1:7">
      <c r="A80" s="37">
        <f>A4</f>
        <v>2025</v>
      </c>
      <c r="B80" s="37" t="s">
        <v>32</v>
      </c>
      <c r="C80" s="150" t="str">
        <f t="shared" si="27"/>
        <v>2025_10</v>
      </c>
      <c r="D80" s="207" cm="1">
        <f t="array" aca="1" ref="D80" ca="1">IFERROR(INDIRECT("'" &amp; TRIM(C80) &amp; "'!AW3"), "")</f>
        <v>11000</v>
      </c>
      <c r="E80" s="124">
        <f t="shared" ca="1" si="28"/>
        <v>9774</v>
      </c>
    </row>
    <row r="81" spans="1:5">
      <c r="A81" s="37">
        <f>A4</f>
        <v>2025</v>
      </c>
      <c r="B81" s="37" t="s">
        <v>33</v>
      </c>
      <c r="C81" s="150" t="str">
        <f t="shared" si="27"/>
        <v>2025_11</v>
      </c>
      <c r="D81" s="207" t="str" cm="1">
        <f t="array" aca="1" ref="D81" ca="1">IFERROR(INDIRECT("'" &amp; TRIM(C81) &amp; "'!AW3"), "")</f>
        <v/>
      </c>
      <c r="E81" s="124" t="str">
        <f t="shared" ca="1" si="28"/>
        <v/>
      </c>
    </row>
    <row r="82" spans="1:5" ht="18.600000000000001" thickBot="1">
      <c r="A82" s="37">
        <f>A4</f>
        <v>2025</v>
      </c>
      <c r="B82" s="37" t="s">
        <v>34</v>
      </c>
      <c r="C82" s="151" t="str">
        <f t="shared" si="27"/>
        <v>2025_12</v>
      </c>
      <c r="D82" s="208" t="str" cm="1">
        <f t="array" aca="1" ref="D82" ca="1">IFERROR(INDIRECT("'" &amp; TRIM(C82) &amp; "'!AW3"), "")</f>
        <v/>
      </c>
      <c r="E82" s="129" t="str">
        <f t="shared" ca="1" si="28"/>
        <v/>
      </c>
    </row>
    <row r="84" spans="1:5">
      <c r="A84" s="107" t="s">
        <v>175</v>
      </c>
      <c r="C84" t="s">
        <v>180</v>
      </c>
    </row>
    <row r="85" spans="1:5" ht="18.600000000000001" thickBot="1"/>
    <row r="86" spans="1:5">
      <c r="A86" s="37">
        <f>A4</f>
        <v>2025</v>
      </c>
      <c r="B86" s="37" t="s">
        <v>23</v>
      </c>
      <c r="C86" s="149" t="str">
        <f>A86&amp;""&amp;B86</f>
        <v>2025_01</v>
      </c>
      <c r="D86" s="123"/>
    </row>
    <row r="87" spans="1:5">
      <c r="A87" s="37">
        <f>A4</f>
        <v>2025</v>
      </c>
      <c r="B87" s="37" t="s">
        <v>24</v>
      </c>
      <c r="C87" s="150" t="str">
        <f t="shared" ref="C87:C97" si="29">A87&amp;""&amp;B87</f>
        <v>2025_02</v>
      </c>
      <c r="D87" s="126"/>
    </row>
    <row r="88" spans="1:5">
      <c r="A88" s="37">
        <f>A4</f>
        <v>2025</v>
      </c>
      <c r="B88" s="37" t="s">
        <v>25</v>
      </c>
      <c r="C88" s="150" t="str">
        <f t="shared" si="29"/>
        <v>2025_03</v>
      </c>
      <c r="D88" s="126"/>
    </row>
    <row r="89" spans="1:5">
      <c r="A89" s="37">
        <f>A4</f>
        <v>2025</v>
      </c>
      <c r="B89" s="37" t="s">
        <v>26</v>
      </c>
      <c r="C89" s="150" t="str">
        <f t="shared" si="29"/>
        <v>2025_04</v>
      </c>
      <c r="D89" s="126"/>
    </row>
    <row r="90" spans="1:5">
      <c r="A90" s="37">
        <f>A4</f>
        <v>2025</v>
      </c>
      <c r="B90" s="37" t="s">
        <v>27</v>
      </c>
      <c r="C90" s="150" t="str">
        <f t="shared" si="29"/>
        <v>2025_05</v>
      </c>
      <c r="D90" s="126"/>
    </row>
    <row r="91" spans="1:5">
      <c r="A91" s="37">
        <f>A4</f>
        <v>2025</v>
      </c>
      <c r="B91" s="37" t="s">
        <v>28</v>
      </c>
      <c r="C91" s="150" t="str">
        <f t="shared" si="29"/>
        <v>2025_06</v>
      </c>
      <c r="D91" s="126"/>
    </row>
    <row r="92" spans="1:5">
      <c r="A92" s="37">
        <f>A4</f>
        <v>2025</v>
      </c>
      <c r="B92" s="37" t="s">
        <v>29</v>
      </c>
      <c r="C92" s="150" t="str">
        <f t="shared" si="29"/>
        <v>2025_07</v>
      </c>
      <c r="D92" s="126"/>
    </row>
    <row r="93" spans="1:5">
      <c r="A93" s="37">
        <f>A4</f>
        <v>2025</v>
      </c>
      <c r="B93" s="37" t="s">
        <v>30</v>
      </c>
      <c r="C93" s="150" t="str">
        <f t="shared" si="29"/>
        <v>2025_08</v>
      </c>
      <c r="D93" s="126"/>
    </row>
    <row r="94" spans="1:5">
      <c r="A94" s="37">
        <f>A4</f>
        <v>2025</v>
      </c>
      <c r="B94" s="37" t="s">
        <v>31</v>
      </c>
      <c r="C94" s="150" t="str">
        <f t="shared" si="29"/>
        <v>2025_09</v>
      </c>
      <c r="D94" s="126"/>
    </row>
    <row r="95" spans="1:5">
      <c r="A95" s="37">
        <f>A4</f>
        <v>2025</v>
      </c>
      <c r="B95" s="37" t="s">
        <v>32</v>
      </c>
      <c r="C95" s="150" t="str">
        <f t="shared" si="29"/>
        <v>2025_10</v>
      </c>
      <c r="D95" s="126"/>
    </row>
    <row r="96" spans="1:5">
      <c r="A96" s="37">
        <f>A4</f>
        <v>2025</v>
      </c>
      <c r="B96" s="37" t="s">
        <v>33</v>
      </c>
      <c r="C96" s="150" t="str">
        <f t="shared" si="29"/>
        <v>2025_11</v>
      </c>
      <c r="D96" s="126"/>
    </row>
    <row r="97" spans="1:16" ht="18.600000000000001" thickBot="1">
      <c r="A97" s="37">
        <f>A4</f>
        <v>2025</v>
      </c>
      <c r="B97" s="37" t="s">
        <v>34</v>
      </c>
      <c r="C97" s="151" t="str">
        <f t="shared" si="29"/>
        <v>2025_12</v>
      </c>
      <c r="D97" s="131"/>
    </row>
    <row r="98" spans="1:16" ht="18.600000000000001" thickBot="1"/>
    <row r="99" spans="1:16" ht="18.600000000000001" thickBot="1">
      <c r="A99" s="7" t="s">
        <v>162</v>
      </c>
      <c r="B99"/>
      <c r="E99"/>
      <c r="F99"/>
      <c r="G99"/>
      <c r="H99" s="5" t="s">
        <v>100</v>
      </c>
      <c r="I99" s="161" t="s">
        <v>93</v>
      </c>
      <c r="J99" s="159" t="s">
        <v>92</v>
      </c>
      <c r="K99" s="160" t="s">
        <v>91</v>
      </c>
      <c r="L99"/>
      <c r="M99" s="5" t="s">
        <v>84</v>
      </c>
      <c r="N99" s="161" t="s">
        <v>96</v>
      </c>
      <c r="O99" s="159" t="s">
        <v>94</v>
      </c>
      <c r="P99" s="160" t="s">
        <v>95</v>
      </c>
    </row>
    <row r="100" spans="1:16" ht="18.600000000000001" thickBot="1">
      <c r="A100" s="2" t="s">
        <v>176</v>
      </c>
      <c r="B100"/>
      <c r="C100" s="5" t="str" cm="1">
        <f t="array" aca="1" ref="C100" ca="1">INDEX(売上工数管理!$C$5:$C$16, MONTH(TODAY()))</f>
        <v>2025_10</v>
      </c>
      <c r="D100" s="3" t="s">
        <v>275</v>
      </c>
      <c r="E100"/>
      <c r="F100"/>
      <c r="G100"/>
      <c r="H100" s="2"/>
      <c r="I100" s="162"/>
      <c r="J100" s="162"/>
      <c r="K100" s="162"/>
      <c r="L100"/>
      <c r="M100" s="2"/>
      <c r="N100" s="162"/>
      <c r="O100" s="162"/>
      <c r="P100" s="162"/>
    </row>
    <row r="101" spans="1:16">
      <c r="A101" s="7"/>
      <c r="B101"/>
      <c r="C101"/>
      <c r="D101" t="s">
        <v>86</v>
      </c>
      <c r="E101"/>
      <c r="F101"/>
      <c r="G101"/>
      <c r="H101" s="2"/>
      <c r="I101" s="162"/>
      <c r="J101" s="3" t="s">
        <v>177</v>
      </c>
      <c r="K101" s="162"/>
      <c r="L101"/>
      <c r="M101" s="2"/>
      <c r="N101" s="162"/>
      <c r="O101" s="162"/>
      <c r="P101" s="162"/>
    </row>
    <row r="102" spans="1:16" ht="18.600000000000001" thickBot="1">
      <c r="A102"/>
      <c r="B102" s="2"/>
      <c r="C102"/>
      <c r="D102"/>
      <c r="E102"/>
      <c r="F102"/>
      <c r="G102" t="s">
        <v>99</v>
      </c>
      <c r="H102" t="s">
        <v>99</v>
      </c>
      <c r="I102" t="s">
        <v>97</v>
      </c>
      <c r="J102" t="s">
        <v>98</v>
      </c>
      <c r="K102"/>
      <c r="L102"/>
      <c r="M102"/>
      <c r="N102"/>
      <c r="O102"/>
      <c r="P102"/>
    </row>
    <row r="103" spans="1:16" ht="18.600000000000001" thickBot="1">
      <c r="A103" s="213" t="s">
        <v>85</v>
      </c>
      <c r="B103" s="428" t="s">
        <v>80</v>
      </c>
      <c r="C103" s="428"/>
      <c r="D103" s="428"/>
      <c r="E103" s="428"/>
      <c r="F103" s="428"/>
      <c r="G103" s="214" t="s">
        <v>81</v>
      </c>
      <c r="H103" s="214" t="s">
        <v>82</v>
      </c>
      <c r="I103" s="214" t="s">
        <v>83</v>
      </c>
      <c r="J103" s="215" t="s">
        <v>84</v>
      </c>
      <c r="K103"/>
      <c r="L103"/>
      <c r="M103"/>
      <c r="N103"/>
      <c r="O103"/>
      <c r="P103"/>
    </row>
    <row r="104" spans="1:16">
      <c r="A104" s="216">
        <v>1</v>
      </c>
      <c r="B104" s="429" t="str" cm="1">
        <f t="array" aca="1" ref="B104" ca="1">IFERROR(
  INDEX(INDIRECT("'"&amp;$C$100&amp;"'!$B$115:$J$164"),
        ROWS($B$104:B104),
        COLUMNS($B$104:B104)
  ),
  ""
)</f>
        <v>サンプルタスク：1</v>
      </c>
      <c r="C104" s="429"/>
      <c r="D104" s="429"/>
      <c r="E104" s="429"/>
      <c r="F104" s="429"/>
      <c r="G104" s="217" cm="1">
        <f t="array" aca="1" ref="G104" ca="1">IFERROR(INDEX(INDIRECT("'"&amp;$C$100&amp;"'!$G$115:$G$164"), ROWS($G$104:G104)), "")</f>
        <v>0</v>
      </c>
      <c r="H104" s="217" cm="1">
        <f t="array" aca="1" ref="H104" ca="1">IFERROR(INDEX(INDIRECT("'"&amp;$C$100&amp;"'!$H$115:$H$164"), ROWS($H$104:H104)), "")</f>
        <v>0</v>
      </c>
      <c r="I104" s="217" t="str" cm="1">
        <f t="array" aca="1" ref="I104" ca="1">IFERROR(INDEX(INDIRECT("'"&amp;$C$100&amp;"'!$I$115:$I$164"), ROWS($I$104:I104)), "")</f>
        <v>中</v>
      </c>
      <c r="J104" s="218" t="str" cm="1">
        <f t="array" aca="1" ref="J104" ca="1">IFERROR(INDEX(INDIRECT("'"&amp;$C$100&amp;"'!$J$115:$J$164"), ROWS($J$104:J104)), "")</f>
        <v>未着手</v>
      </c>
      <c r="K104"/>
      <c r="L104"/>
      <c r="M104"/>
      <c r="N104"/>
      <c r="O104"/>
      <c r="P104"/>
    </row>
    <row r="105" spans="1:16">
      <c r="A105" s="163">
        <v>2</v>
      </c>
      <c r="B105" s="424" t="str" cm="1">
        <f t="array" aca="1" ref="B105" ca="1">IFERROR(
  INDEX(INDIRECT("'"&amp;$C$100&amp;"'!$B$115:$J$164"),
        ROWS($B$104:B105),
        COLUMNS($B$104:B105)
  ),
  ""
)</f>
        <v>サンプルタスク：2</v>
      </c>
      <c r="C105" s="424"/>
      <c r="D105" s="424"/>
      <c r="E105" s="424"/>
      <c r="F105" s="424"/>
      <c r="G105" s="23" cm="1">
        <f t="array" aca="1" ref="G105" ca="1">IFERROR(INDEX(INDIRECT("'"&amp;$C$100&amp;"'!$G$115:$G$164"), ROWS($G$104:G105)), "")</f>
        <v>0</v>
      </c>
      <c r="H105" s="23" cm="1">
        <f t="array" aca="1" ref="H105" ca="1">IFERROR(INDEX(INDIRECT("'"&amp;$C$100&amp;"'!$H$115:$H$164"), ROWS($H$104:H105)), "")</f>
        <v>0</v>
      </c>
      <c r="I105" s="23" t="str" cm="1">
        <f t="array" aca="1" ref="I105" ca="1">IFERROR(INDEX(INDIRECT("'"&amp;$C$100&amp;"'!$I$115:$I$164"), ROWS($I$104:I105)), "")</f>
        <v>低</v>
      </c>
      <c r="J105" s="210" t="str" cm="1">
        <f t="array" aca="1" ref="J105" ca="1">IFERROR(INDEX(INDIRECT("'"&amp;$C$100&amp;"'!$J$115:$J$164"), ROWS($J$104:J105)), "")</f>
        <v>完了</v>
      </c>
      <c r="K105"/>
      <c r="L105"/>
      <c r="M105"/>
      <c r="N105"/>
      <c r="O105"/>
      <c r="P105"/>
    </row>
    <row r="106" spans="1:16">
      <c r="A106" s="163">
        <v>3</v>
      </c>
      <c r="B106" s="424" t="str" cm="1">
        <f t="array" aca="1" ref="B106" ca="1">IFERROR(
  INDEX(INDIRECT("'"&amp;$C$100&amp;"'!$B$115:$J$164"),
        ROWS($B$104:B106),
        COLUMNS($B$104:B106)
  ),
  ""
)</f>
        <v>サンプルタスク：3</v>
      </c>
      <c r="C106" s="424"/>
      <c r="D106" s="424"/>
      <c r="E106" s="424"/>
      <c r="F106" s="424"/>
      <c r="G106" s="23" cm="1">
        <f t="array" aca="1" ref="G106" ca="1">IFERROR(INDEX(INDIRECT("'"&amp;$C$100&amp;"'!$G$115:$G$164"), ROWS($G$104:G106)), "")</f>
        <v>0</v>
      </c>
      <c r="H106" s="23" cm="1">
        <f t="array" aca="1" ref="H106" ca="1">IFERROR(INDEX(INDIRECT("'"&amp;$C$100&amp;"'!$H$115:$H$164"), ROWS($H$104:H106)), "")</f>
        <v>0</v>
      </c>
      <c r="I106" s="23" t="str" cm="1">
        <f t="array" aca="1" ref="I106" ca="1">IFERROR(INDEX(INDIRECT("'"&amp;$C$100&amp;"'!$I$115:$I$164"), ROWS($I$104:I106)), "")</f>
        <v>高</v>
      </c>
      <c r="J106" s="210" t="str" cm="1">
        <f t="array" aca="1" ref="J106" ca="1">IFERROR(INDEX(INDIRECT("'"&amp;$C$100&amp;"'!$J$115:$J$164"), ROWS($J$104:J106)), "")</f>
        <v>進行中</v>
      </c>
      <c r="K106"/>
      <c r="L106"/>
      <c r="M106"/>
      <c r="N106"/>
      <c r="O106"/>
      <c r="P106"/>
    </row>
    <row r="107" spans="1:16">
      <c r="A107" s="163">
        <v>4</v>
      </c>
      <c r="B107" s="424" cm="1">
        <f t="array" aca="1" ref="B107" ca="1">IFERROR(
  INDEX(INDIRECT("'"&amp;$C$100&amp;"'!$B$115:$J$164"),
        ROWS($B$104:B107),
        COLUMNS($B$104:B107)
  ),
  ""
)</f>
        <v>0</v>
      </c>
      <c r="C107" s="424"/>
      <c r="D107" s="424"/>
      <c r="E107" s="424"/>
      <c r="F107" s="424"/>
      <c r="G107" s="23" cm="1">
        <f t="array" aca="1" ref="G107" ca="1">IFERROR(INDEX(INDIRECT("'"&amp;$C$100&amp;"'!$G$115:$G$164"), ROWS($G$104:G107)), "")</f>
        <v>0</v>
      </c>
      <c r="H107" s="23" cm="1">
        <f t="array" aca="1" ref="H107" ca="1">IFERROR(INDEX(INDIRECT("'"&amp;$C$100&amp;"'!$H$115:$H$164"), ROWS($H$104:H107)), "")</f>
        <v>0</v>
      </c>
      <c r="I107" s="23" cm="1">
        <f t="array" aca="1" ref="I107" ca="1">IFERROR(INDEX(INDIRECT("'"&amp;$C$100&amp;"'!$I$115:$I$164"), ROWS($I$104:I107)), "")</f>
        <v>0</v>
      </c>
      <c r="J107" s="210" cm="1">
        <f t="array" aca="1" ref="J107" ca="1">IFERROR(INDEX(INDIRECT("'"&amp;$C$100&amp;"'!$J$115:$J$164"), ROWS($J$104:J107)), "")</f>
        <v>0</v>
      </c>
      <c r="K107"/>
      <c r="L107"/>
      <c r="M107"/>
      <c r="N107"/>
      <c r="O107"/>
      <c r="P107"/>
    </row>
    <row r="108" spans="1:16">
      <c r="A108" s="163">
        <v>5</v>
      </c>
      <c r="B108" s="424" cm="1">
        <f t="array" aca="1" ref="B108" ca="1">IFERROR(
  INDEX(INDIRECT("'"&amp;$C$100&amp;"'!$B$115:$J$164"),
        ROWS($B$104:B108),
        COLUMNS($B$104:B108)
  ),
  ""
)</f>
        <v>0</v>
      </c>
      <c r="C108" s="424"/>
      <c r="D108" s="424"/>
      <c r="E108" s="424"/>
      <c r="F108" s="424"/>
      <c r="G108" s="23" cm="1">
        <f t="array" aca="1" ref="G108" ca="1">IFERROR(INDEX(INDIRECT("'"&amp;$C$100&amp;"'!$G$115:$G$164"), ROWS($G$104:G108)), "")</f>
        <v>0</v>
      </c>
      <c r="H108" s="23" cm="1">
        <f t="array" aca="1" ref="H108" ca="1">IFERROR(INDEX(INDIRECT("'"&amp;$C$100&amp;"'!$H$115:$H$164"), ROWS($H$104:H108)), "")</f>
        <v>0</v>
      </c>
      <c r="I108" s="23" cm="1">
        <f t="array" aca="1" ref="I108" ca="1">IFERROR(INDEX(INDIRECT("'"&amp;$C$100&amp;"'!$I$115:$I$164"), ROWS($I$104:I108)), "")</f>
        <v>0</v>
      </c>
      <c r="J108" s="210" cm="1">
        <f t="array" aca="1" ref="J108" ca="1">IFERROR(INDEX(INDIRECT("'"&amp;$C$100&amp;"'!$J$115:$J$164"), ROWS($J$104:J108)), "")</f>
        <v>0</v>
      </c>
      <c r="K108"/>
      <c r="L108"/>
      <c r="M108"/>
      <c r="N108"/>
      <c r="O108"/>
      <c r="P108"/>
    </row>
    <row r="109" spans="1:16">
      <c r="A109" s="163">
        <v>6</v>
      </c>
      <c r="B109" s="424" cm="1">
        <f t="array" aca="1" ref="B109" ca="1">IFERROR(
  INDEX(INDIRECT("'"&amp;$C$100&amp;"'!$B$115:$J$164"),
        ROWS($B$104:B109),
        COLUMNS($B$104:B109)
  ),
  ""
)</f>
        <v>0</v>
      </c>
      <c r="C109" s="424"/>
      <c r="D109" s="424"/>
      <c r="E109" s="424"/>
      <c r="F109" s="424"/>
      <c r="G109" s="23" cm="1">
        <f t="array" aca="1" ref="G109" ca="1">IFERROR(INDEX(INDIRECT("'"&amp;$C$100&amp;"'!$G$115:$G$164"), ROWS($G$104:G109)), "")</f>
        <v>0</v>
      </c>
      <c r="H109" s="23" cm="1">
        <f t="array" aca="1" ref="H109" ca="1">IFERROR(INDEX(INDIRECT("'"&amp;$C$100&amp;"'!$H$115:$H$164"), ROWS($H$104:H109)), "")</f>
        <v>0</v>
      </c>
      <c r="I109" s="23" cm="1">
        <f t="array" aca="1" ref="I109" ca="1">IFERROR(INDEX(INDIRECT("'"&amp;$C$100&amp;"'!$I$115:$I$164"), ROWS($I$104:I109)), "")</f>
        <v>0</v>
      </c>
      <c r="J109" s="210" cm="1">
        <f t="array" aca="1" ref="J109" ca="1">IFERROR(INDEX(INDIRECT("'"&amp;$C$100&amp;"'!$J$115:$J$164"), ROWS($J$104:J109)), "")</f>
        <v>0</v>
      </c>
      <c r="K109"/>
      <c r="L109"/>
      <c r="M109"/>
      <c r="N109"/>
      <c r="O109"/>
      <c r="P109"/>
    </row>
    <row r="110" spans="1:16">
      <c r="A110" s="163">
        <v>7</v>
      </c>
      <c r="B110" s="424" cm="1">
        <f t="array" aca="1" ref="B110" ca="1">IFERROR(
  INDEX(INDIRECT("'"&amp;$C$100&amp;"'!$B$115:$J$164"),
        ROWS($B$104:B110),
        COLUMNS($B$104:B110)
  ),
  ""
)</f>
        <v>0</v>
      </c>
      <c r="C110" s="424"/>
      <c r="D110" s="424"/>
      <c r="E110" s="424"/>
      <c r="F110" s="424"/>
      <c r="G110" s="23" cm="1">
        <f t="array" aca="1" ref="G110" ca="1">IFERROR(INDEX(INDIRECT("'"&amp;$C$100&amp;"'!$G$115:$G$164"), ROWS($G$104:G110)), "")</f>
        <v>0</v>
      </c>
      <c r="H110" s="23" cm="1">
        <f t="array" aca="1" ref="H110" ca="1">IFERROR(INDEX(INDIRECT("'"&amp;$C$100&amp;"'!$H$115:$H$164"), ROWS($H$104:H110)), "")</f>
        <v>0</v>
      </c>
      <c r="I110" s="23" cm="1">
        <f t="array" aca="1" ref="I110" ca="1">IFERROR(INDEX(INDIRECT("'"&amp;$C$100&amp;"'!$I$115:$I$164"), ROWS($I$104:I110)), "")</f>
        <v>0</v>
      </c>
      <c r="J110" s="210" cm="1">
        <f t="array" aca="1" ref="J110" ca="1">IFERROR(INDEX(INDIRECT("'"&amp;$C$100&amp;"'!$J$115:$J$164"), ROWS($J$104:J110)), "")</f>
        <v>0</v>
      </c>
      <c r="K110"/>
      <c r="L110"/>
      <c r="M110"/>
      <c r="N110"/>
      <c r="O110"/>
      <c r="P110"/>
    </row>
    <row r="111" spans="1:16">
      <c r="A111" s="163">
        <v>8</v>
      </c>
      <c r="B111" s="424" cm="1">
        <f t="array" aca="1" ref="B111" ca="1">IFERROR(
  INDEX(INDIRECT("'"&amp;$C$100&amp;"'!$B$115:$J$164"),
        ROWS($B$104:B111),
        COLUMNS($B$104:B111)
  ),
  ""
)</f>
        <v>0</v>
      </c>
      <c r="C111" s="424"/>
      <c r="D111" s="424"/>
      <c r="E111" s="424"/>
      <c r="F111" s="424"/>
      <c r="G111" s="23" cm="1">
        <f t="array" aca="1" ref="G111" ca="1">IFERROR(INDEX(INDIRECT("'"&amp;$C$100&amp;"'!$G$115:$G$164"), ROWS($G$104:G111)), "")</f>
        <v>0</v>
      </c>
      <c r="H111" s="23" cm="1">
        <f t="array" aca="1" ref="H111" ca="1">IFERROR(INDEX(INDIRECT("'"&amp;$C$100&amp;"'!$H$115:$H$164"), ROWS($H$104:H111)), "")</f>
        <v>0</v>
      </c>
      <c r="I111" s="23" cm="1">
        <f t="array" aca="1" ref="I111" ca="1">IFERROR(INDEX(INDIRECT("'"&amp;$C$100&amp;"'!$I$115:$I$164"), ROWS($I$104:I111)), "")</f>
        <v>0</v>
      </c>
      <c r="J111" s="210" cm="1">
        <f t="array" aca="1" ref="J111" ca="1">IFERROR(INDEX(INDIRECT("'"&amp;$C$100&amp;"'!$J$115:$J$164"), ROWS($J$104:J111)), "")</f>
        <v>0</v>
      </c>
      <c r="K111"/>
      <c r="L111"/>
      <c r="M111"/>
      <c r="N111"/>
      <c r="O111"/>
      <c r="P111"/>
    </row>
    <row r="112" spans="1:16">
      <c r="A112" s="163">
        <v>9</v>
      </c>
      <c r="B112" s="424" cm="1">
        <f t="array" aca="1" ref="B112" ca="1">IFERROR(
  INDEX(INDIRECT("'"&amp;$C$100&amp;"'!$B$115:$J$164"),
        ROWS($B$104:B112),
        COLUMNS($B$104:B112)
  ),
  ""
)</f>
        <v>0</v>
      </c>
      <c r="C112" s="424"/>
      <c r="D112" s="424"/>
      <c r="E112" s="424"/>
      <c r="F112" s="424"/>
      <c r="G112" s="23" cm="1">
        <f t="array" aca="1" ref="G112" ca="1">IFERROR(INDEX(INDIRECT("'"&amp;$C$100&amp;"'!$G$115:$G$164"), ROWS($G$104:G112)), "")</f>
        <v>0</v>
      </c>
      <c r="H112" s="23" cm="1">
        <f t="array" aca="1" ref="H112" ca="1">IFERROR(INDEX(INDIRECT("'"&amp;$C$100&amp;"'!$H$115:$H$164"), ROWS($H$104:H112)), "")</f>
        <v>0</v>
      </c>
      <c r="I112" s="23" cm="1">
        <f t="array" aca="1" ref="I112" ca="1">IFERROR(INDEX(INDIRECT("'"&amp;$C$100&amp;"'!$I$115:$I$164"), ROWS($I$104:I112)), "")</f>
        <v>0</v>
      </c>
      <c r="J112" s="210" cm="1">
        <f t="array" aca="1" ref="J112" ca="1">IFERROR(INDEX(INDIRECT("'"&amp;$C$100&amp;"'!$J$115:$J$164"), ROWS($J$104:J112)), "")</f>
        <v>0</v>
      </c>
      <c r="K112"/>
      <c r="L112"/>
      <c r="M112"/>
      <c r="N112"/>
      <c r="O112"/>
      <c r="P112"/>
    </row>
    <row r="113" spans="1:16">
      <c r="A113" s="163">
        <v>10</v>
      </c>
      <c r="B113" s="424" cm="1">
        <f t="array" aca="1" ref="B113" ca="1">IFERROR(
  INDEX(INDIRECT("'"&amp;$C$100&amp;"'!$B$115:$J$164"),
        ROWS($B$104:B113),
        COLUMNS($B$104:B113)
  ),
  ""
)</f>
        <v>0</v>
      </c>
      <c r="C113" s="424"/>
      <c r="D113" s="424"/>
      <c r="E113" s="424"/>
      <c r="F113" s="424"/>
      <c r="G113" s="23" cm="1">
        <f t="array" aca="1" ref="G113" ca="1">IFERROR(INDEX(INDIRECT("'"&amp;$C$100&amp;"'!$G$115:$G$164"), ROWS($G$104:G113)), "")</f>
        <v>0</v>
      </c>
      <c r="H113" s="23" cm="1">
        <f t="array" aca="1" ref="H113" ca="1">IFERROR(INDEX(INDIRECT("'"&amp;$C$100&amp;"'!$H$115:$H$164"), ROWS($H$104:H113)), "")</f>
        <v>0</v>
      </c>
      <c r="I113" s="23" cm="1">
        <f t="array" aca="1" ref="I113" ca="1">IFERROR(INDEX(INDIRECT("'"&amp;$C$100&amp;"'!$I$115:$I$164"), ROWS($I$104:I113)), "")</f>
        <v>0</v>
      </c>
      <c r="J113" s="210" cm="1">
        <f t="array" aca="1" ref="J113" ca="1">IFERROR(INDEX(INDIRECT("'"&amp;$C$100&amp;"'!$J$115:$J$164"), ROWS($J$104:J113)), "")</f>
        <v>0</v>
      </c>
      <c r="K113"/>
      <c r="L113"/>
      <c r="M113"/>
      <c r="N113"/>
      <c r="O113"/>
      <c r="P113"/>
    </row>
    <row r="114" spans="1:16">
      <c r="A114" s="163">
        <v>11</v>
      </c>
      <c r="B114" s="424" cm="1">
        <f t="array" aca="1" ref="B114" ca="1">IFERROR(
  INDEX(INDIRECT("'"&amp;$C$100&amp;"'!$B$115:$J$164"),
        ROWS($B$104:B114),
        COLUMNS($B$104:B114)
  ),
  ""
)</f>
        <v>0</v>
      </c>
      <c r="C114" s="424"/>
      <c r="D114" s="424"/>
      <c r="E114" s="424"/>
      <c r="F114" s="424"/>
      <c r="G114" s="23" cm="1">
        <f t="array" aca="1" ref="G114" ca="1">IFERROR(INDEX(INDIRECT("'"&amp;$C$100&amp;"'!$G$115:$G$164"), ROWS($G$104:G114)), "")</f>
        <v>0</v>
      </c>
      <c r="H114" s="23" cm="1">
        <f t="array" aca="1" ref="H114" ca="1">IFERROR(INDEX(INDIRECT("'"&amp;$C$100&amp;"'!$H$115:$H$164"), ROWS($H$104:H114)), "")</f>
        <v>0</v>
      </c>
      <c r="I114" s="23" cm="1">
        <f t="array" aca="1" ref="I114" ca="1">IFERROR(INDEX(INDIRECT("'"&amp;$C$100&amp;"'!$I$115:$I$164"), ROWS($I$104:I114)), "")</f>
        <v>0</v>
      </c>
      <c r="J114" s="210" cm="1">
        <f t="array" aca="1" ref="J114" ca="1">IFERROR(INDEX(INDIRECT("'"&amp;$C$100&amp;"'!$J$115:$J$164"), ROWS($J$104:J114)), "")</f>
        <v>0</v>
      </c>
      <c r="K114"/>
      <c r="L114"/>
      <c r="M114"/>
      <c r="N114"/>
      <c r="O114"/>
      <c r="P114"/>
    </row>
    <row r="115" spans="1:16">
      <c r="A115" s="163">
        <v>12</v>
      </c>
      <c r="B115" s="424" cm="1">
        <f t="array" aca="1" ref="B115" ca="1">IFERROR(
  INDEX(INDIRECT("'"&amp;$C$100&amp;"'!$B$115:$J$164"),
        ROWS($B$104:B115),
        COLUMNS($B$104:B115)
  ),
  ""
)</f>
        <v>0</v>
      </c>
      <c r="C115" s="424"/>
      <c r="D115" s="424"/>
      <c r="E115" s="424"/>
      <c r="F115" s="424"/>
      <c r="G115" s="23" cm="1">
        <f t="array" aca="1" ref="G115" ca="1">IFERROR(INDEX(INDIRECT("'"&amp;$C$100&amp;"'!$G$115:$G$164"), ROWS($G$104:G115)), "")</f>
        <v>0</v>
      </c>
      <c r="H115" s="23" cm="1">
        <f t="array" aca="1" ref="H115" ca="1">IFERROR(INDEX(INDIRECT("'"&amp;$C$100&amp;"'!$H$115:$H$164"), ROWS($H$104:H115)), "")</f>
        <v>0</v>
      </c>
      <c r="I115" s="23" cm="1">
        <f t="array" aca="1" ref="I115" ca="1">IFERROR(INDEX(INDIRECT("'"&amp;$C$100&amp;"'!$I$115:$I$164"), ROWS($I$104:I115)), "")</f>
        <v>0</v>
      </c>
      <c r="J115" s="210" cm="1">
        <f t="array" aca="1" ref="J115" ca="1">IFERROR(INDEX(INDIRECT("'"&amp;$C$100&amp;"'!$J$115:$J$164"), ROWS($J$104:J115)), "")</f>
        <v>0</v>
      </c>
      <c r="K115"/>
      <c r="L115"/>
      <c r="M115"/>
      <c r="N115"/>
      <c r="O115"/>
      <c r="P115"/>
    </row>
    <row r="116" spans="1:16">
      <c r="A116" s="163">
        <v>13</v>
      </c>
      <c r="B116" s="424" cm="1">
        <f t="array" aca="1" ref="B116" ca="1">IFERROR(
  INDEX(INDIRECT("'"&amp;$C$100&amp;"'!$B$115:$J$164"),
        ROWS($B$104:B116),
        COLUMNS($B$104:B116)
  ),
  ""
)</f>
        <v>0</v>
      </c>
      <c r="C116" s="424"/>
      <c r="D116" s="424"/>
      <c r="E116" s="424"/>
      <c r="F116" s="424"/>
      <c r="G116" s="23" cm="1">
        <f t="array" aca="1" ref="G116" ca="1">IFERROR(INDEX(INDIRECT("'"&amp;$C$100&amp;"'!$G$115:$G$164"), ROWS($G$104:G116)), "")</f>
        <v>0</v>
      </c>
      <c r="H116" s="23" cm="1">
        <f t="array" aca="1" ref="H116" ca="1">IFERROR(INDEX(INDIRECT("'"&amp;$C$100&amp;"'!$H$115:$H$164"), ROWS($H$104:H116)), "")</f>
        <v>0</v>
      </c>
      <c r="I116" s="23" cm="1">
        <f t="array" aca="1" ref="I116" ca="1">IFERROR(INDEX(INDIRECT("'"&amp;$C$100&amp;"'!$I$115:$I$164"), ROWS($I$104:I116)), "")</f>
        <v>0</v>
      </c>
      <c r="J116" s="210" cm="1">
        <f t="array" aca="1" ref="J116" ca="1">IFERROR(INDEX(INDIRECT("'"&amp;$C$100&amp;"'!$J$115:$J$164"), ROWS($J$104:J116)), "")</f>
        <v>0</v>
      </c>
      <c r="K116"/>
      <c r="L116"/>
      <c r="M116"/>
      <c r="N116"/>
      <c r="O116"/>
      <c r="P116"/>
    </row>
    <row r="117" spans="1:16">
      <c r="A117" s="163">
        <v>14</v>
      </c>
      <c r="B117" s="424" cm="1">
        <f t="array" aca="1" ref="B117" ca="1">IFERROR(
  INDEX(INDIRECT("'"&amp;$C$100&amp;"'!$B$115:$J$164"),
        ROWS($B$104:B117),
        COLUMNS($B$104:B117)
  ),
  ""
)</f>
        <v>0</v>
      </c>
      <c r="C117" s="424"/>
      <c r="D117" s="424"/>
      <c r="E117" s="424"/>
      <c r="F117" s="424"/>
      <c r="G117" s="23" cm="1">
        <f t="array" aca="1" ref="G117" ca="1">IFERROR(INDEX(INDIRECT("'"&amp;$C$100&amp;"'!$G$115:$G$164"), ROWS($G$104:G117)), "")</f>
        <v>0</v>
      </c>
      <c r="H117" s="23" cm="1">
        <f t="array" aca="1" ref="H117" ca="1">IFERROR(INDEX(INDIRECT("'"&amp;$C$100&amp;"'!$H$115:$H$164"), ROWS($H$104:H117)), "")</f>
        <v>0</v>
      </c>
      <c r="I117" s="23" cm="1">
        <f t="array" aca="1" ref="I117" ca="1">IFERROR(INDEX(INDIRECT("'"&amp;$C$100&amp;"'!$I$115:$I$164"), ROWS($I$104:I117)), "")</f>
        <v>0</v>
      </c>
      <c r="J117" s="210" cm="1">
        <f t="array" aca="1" ref="J117" ca="1">IFERROR(INDEX(INDIRECT("'"&amp;$C$100&amp;"'!$J$115:$J$164"), ROWS($J$104:J117)), "")</f>
        <v>0</v>
      </c>
      <c r="K117"/>
      <c r="L117"/>
      <c r="M117"/>
      <c r="N117"/>
      <c r="O117"/>
      <c r="P117"/>
    </row>
    <row r="118" spans="1:16">
      <c r="A118" s="163">
        <v>15</v>
      </c>
      <c r="B118" s="424" cm="1">
        <f t="array" aca="1" ref="B118" ca="1">IFERROR(
  INDEX(INDIRECT("'"&amp;$C$100&amp;"'!$B$115:$J$164"),
        ROWS($B$104:B118),
        COLUMNS($B$104:B118)
  ),
  ""
)</f>
        <v>0</v>
      </c>
      <c r="C118" s="424"/>
      <c r="D118" s="424"/>
      <c r="E118" s="424"/>
      <c r="F118" s="424"/>
      <c r="G118" s="23" cm="1">
        <f t="array" aca="1" ref="G118" ca="1">IFERROR(INDEX(INDIRECT("'"&amp;$C$100&amp;"'!$G$115:$G$164"), ROWS($G$104:G118)), "")</f>
        <v>0</v>
      </c>
      <c r="H118" s="23" cm="1">
        <f t="array" aca="1" ref="H118" ca="1">IFERROR(INDEX(INDIRECT("'"&amp;$C$100&amp;"'!$H$115:$H$164"), ROWS($H$104:H118)), "")</f>
        <v>0</v>
      </c>
      <c r="I118" s="23" cm="1">
        <f t="array" aca="1" ref="I118" ca="1">IFERROR(INDEX(INDIRECT("'"&amp;$C$100&amp;"'!$I$115:$I$164"), ROWS($I$104:I118)), "")</f>
        <v>0</v>
      </c>
      <c r="J118" s="210" cm="1">
        <f t="array" aca="1" ref="J118" ca="1">IFERROR(INDEX(INDIRECT("'"&amp;$C$100&amp;"'!$J$115:$J$164"), ROWS($J$104:J118)), "")</f>
        <v>0</v>
      </c>
      <c r="K118"/>
      <c r="L118"/>
      <c r="M118"/>
      <c r="N118"/>
      <c r="O118"/>
      <c r="P118"/>
    </row>
    <row r="119" spans="1:16">
      <c r="A119" s="163">
        <v>16</v>
      </c>
      <c r="B119" s="424" cm="1">
        <f t="array" aca="1" ref="B119" ca="1">IFERROR(
  INDEX(INDIRECT("'"&amp;$C$100&amp;"'!$B$115:$J$164"),
        ROWS($B$104:B119),
        COLUMNS($B$104:B119)
  ),
  ""
)</f>
        <v>0</v>
      </c>
      <c r="C119" s="424"/>
      <c r="D119" s="424"/>
      <c r="E119" s="424"/>
      <c r="F119" s="424"/>
      <c r="G119" s="23" cm="1">
        <f t="array" aca="1" ref="G119" ca="1">IFERROR(INDEX(INDIRECT("'"&amp;$C$100&amp;"'!$G$115:$G$164"), ROWS($G$104:G119)), "")</f>
        <v>0</v>
      </c>
      <c r="H119" s="23" cm="1">
        <f t="array" aca="1" ref="H119" ca="1">IFERROR(INDEX(INDIRECT("'"&amp;$C$100&amp;"'!$H$115:$H$164"), ROWS($H$104:H119)), "")</f>
        <v>0</v>
      </c>
      <c r="I119" s="23" cm="1">
        <f t="array" aca="1" ref="I119" ca="1">IFERROR(INDEX(INDIRECT("'"&amp;$C$100&amp;"'!$I$115:$I$164"), ROWS($I$104:I119)), "")</f>
        <v>0</v>
      </c>
      <c r="J119" s="210" cm="1">
        <f t="array" aca="1" ref="J119" ca="1">IFERROR(INDEX(INDIRECT("'"&amp;$C$100&amp;"'!$J$115:$J$164"), ROWS($J$104:J119)), "")</f>
        <v>0</v>
      </c>
      <c r="K119"/>
      <c r="L119"/>
      <c r="M119"/>
      <c r="N119"/>
      <c r="O119"/>
      <c r="P119"/>
    </row>
    <row r="120" spans="1:16">
      <c r="A120" s="163">
        <v>17</v>
      </c>
      <c r="B120" s="424" cm="1">
        <f t="array" aca="1" ref="B120" ca="1">IFERROR(
  INDEX(INDIRECT("'"&amp;$C$100&amp;"'!$B$115:$J$164"),
        ROWS($B$104:B120),
        COLUMNS($B$104:B120)
  ),
  ""
)</f>
        <v>0</v>
      </c>
      <c r="C120" s="424"/>
      <c r="D120" s="424"/>
      <c r="E120" s="424"/>
      <c r="F120" s="424"/>
      <c r="G120" s="23" cm="1">
        <f t="array" aca="1" ref="G120" ca="1">IFERROR(INDEX(INDIRECT("'"&amp;$C$100&amp;"'!$G$115:$G$164"), ROWS($G$104:G120)), "")</f>
        <v>0</v>
      </c>
      <c r="H120" s="23" cm="1">
        <f t="array" aca="1" ref="H120" ca="1">IFERROR(INDEX(INDIRECT("'"&amp;$C$100&amp;"'!$H$115:$H$164"), ROWS($H$104:H120)), "")</f>
        <v>0</v>
      </c>
      <c r="I120" s="23" cm="1">
        <f t="array" aca="1" ref="I120" ca="1">IFERROR(INDEX(INDIRECT("'"&amp;$C$100&amp;"'!$I$115:$I$164"), ROWS($I$104:I120)), "")</f>
        <v>0</v>
      </c>
      <c r="J120" s="210" cm="1">
        <f t="array" aca="1" ref="J120" ca="1">IFERROR(INDEX(INDIRECT("'"&amp;$C$100&amp;"'!$J$115:$J$164"), ROWS($J$104:J120)), "")</f>
        <v>0</v>
      </c>
      <c r="K120"/>
      <c r="L120"/>
      <c r="M120"/>
      <c r="N120"/>
      <c r="O120"/>
      <c r="P120"/>
    </row>
    <row r="121" spans="1:16">
      <c r="A121" s="163">
        <v>18</v>
      </c>
      <c r="B121" s="424" cm="1">
        <f t="array" aca="1" ref="B121" ca="1">IFERROR(
  INDEX(INDIRECT("'"&amp;$C$100&amp;"'!$B$115:$J$164"),
        ROWS($B$104:B121),
        COLUMNS($B$104:B121)
  ),
  ""
)</f>
        <v>0</v>
      </c>
      <c r="C121" s="424"/>
      <c r="D121" s="424"/>
      <c r="E121" s="424"/>
      <c r="F121" s="424"/>
      <c r="G121" s="23" cm="1">
        <f t="array" aca="1" ref="G121" ca="1">IFERROR(INDEX(INDIRECT("'"&amp;$C$100&amp;"'!$G$115:$G$164"), ROWS($G$104:G121)), "")</f>
        <v>0</v>
      </c>
      <c r="H121" s="23" cm="1">
        <f t="array" aca="1" ref="H121" ca="1">IFERROR(INDEX(INDIRECT("'"&amp;$C$100&amp;"'!$H$115:$H$164"), ROWS($H$104:H121)), "")</f>
        <v>0</v>
      </c>
      <c r="I121" s="23" cm="1">
        <f t="array" aca="1" ref="I121" ca="1">IFERROR(INDEX(INDIRECT("'"&amp;$C$100&amp;"'!$I$115:$I$164"), ROWS($I$104:I121)), "")</f>
        <v>0</v>
      </c>
      <c r="J121" s="210" cm="1">
        <f t="array" aca="1" ref="J121" ca="1">IFERROR(INDEX(INDIRECT("'"&amp;$C$100&amp;"'!$J$115:$J$164"), ROWS($J$104:J121)), "")</f>
        <v>0</v>
      </c>
      <c r="K121"/>
      <c r="L121"/>
      <c r="M121"/>
      <c r="N121"/>
      <c r="O121"/>
      <c r="P121"/>
    </row>
    <row r="122" spans="1:16">
      <c r="A122" s="163">
        <v>19</v>
      </c>
      <c r="B122" s="424" cm="1">
        <f t="array" aca="1" ref="B122" ca="1">IFERROR(
  INDEX(INDIRECT("'"&amp;$C$100&amp;"'!$B$115:$J$164"),
        ROWS($B$104:B122),
        COLUMNS($B$104:B122)
  ),
  ""
)</f>
        <v>0</v>
      </c>
      <c r="C122" s="424"/>
      <c r="D122" s="424"/>
      <c r="E122" s="424"/>
      <c r="F122" s="424"/>
      <c r="G122" s="23" cm="1">
        <f t="array" aca="1" ref="G122" ca="1">IFERROR(INDEX(INDIRECT("'"&amp;$C$100&amp;"'!$G$115:$G$164"), ROWS($G$104:G122)), "")</f>
        <v>0</v>
      </c>
      <c r="H122" s="23" cm="1">
        <f t="array" aca="1" ref="H122" ca="1">IFERROR(INDEX(INDIRECT("'"&amp;$C$100&amp;"'!$H$115:$H$164"), ROWS($H$104:H122)), "")</f>
        <v>0</v>
      </c>
      <c r="I122" s="23" cm="1">
        <f t="array" aca="1" ref="I122" ca="1">IFERROR(INDEX(INDIRECT("'"&amp;$C$100&amp;"'!$I$115:$I$164"), ROWS($I$104:I122)), "")</f>
        <v>0</v>
      </c>
      <c r="J122" s="210" cm="1">
        <f t="array" aca="1" ref="J122" ca="1">IFERROR(INDEX(INDIRECT("'"&amp;$C$100&amp;"'!$J$115:$J$164"), ROWS($J$104:J122)), "")</f>
        <v>0</v>
      </c>
      <c r="K122"/>
      <c r="L122"/>
      <c r="M122"/>
      <c r="N122"/>
      <c r="O122"/>
      <c r="P122"/>
    </row>
    <row r="123" spans="1:16">
      <c r="A123" s="163">
        <v>20</v>
      </c>
      <c r="B123" s="424" cm="1">
        <f t="array" aca="1" ref="B123" ca="1">IFERROR(
  INDEX(INDIRECT("'"&amp;$C$100&amp;"'!$B$115:$J$164"),
        ROWS($B$104:B123),
        COLUMNS($B$104:B123)
  ),
  ""
)</f>
        <v>0</v>
      </c>
      <c r="C123" s="424"/>
      <c r="D123" s="424"/>
      <c r="E123" s="424"/>
      <c r="F123" s="424"/>
      <c r="G123" s="23" cm="1">
        <f t="array" aca="1" ref="G123" ca="1">IFERROR(INDEX(INDIRECT("'"&amp;$C$100&amp;"'!$G$115:$G$164"), ROWS($G$104:G123)), "")</f>
        <v>0</v>
      </c>
      <c r="H123" s="23" cm="1">
        <f t="array" aca="1" ref="H123" ca="1">IFERROR(INDEX(INDIRECT("'"&amp;$C$100&amp;"'!$H$115:$H$164"), ROWS($H$104:H123)), "")</f>
        <v>0</v>
      </c>
      <c r="I123" s="23" cm="1">
        <f t="array" aca="1" ref="I123" ca="1">IFERROR(INDEX(INDIRECT("'"&amp;$C$100&amp;"'!$I$115:$I$164"), ROWS($I$104:I123)), "")</f>
        <v>0</v>
      </c>
      <c r="J123" s="210" cm="1">
        <f t="array" aca="1" ref="J123" ca="1">IFERROR(INDEX(INDIRECT("'"&amp;$C$100&amp;"'!$J$115:$J$164"), ROWS($J$104:J123)), "")</f>
        <v>0</v>
      </c>
      <c r="K123"/>
      <c r="L123"/>
      <c r="M123"/>
      <c r="N123"/>
      <c r="O123"/>
      <c r="P123"/>
    </row>
    <row r="124" spans="1:16">
      <c r="A124" s="163">
        <v>21</v>
      </c>
      <c r="B124" s="424" cm="1">
        <f t="array" aca="1" ref="B124" ca="1">IFERROR(
  INDEX(INDIRECT("'"&amp;$C$100&amp;"'!$B$115:$J$164"),
        ROWS($B$104:B124),
        COLUMNS($B$104:B124)
  ),
  ""
)</f>
        <v>0</v>
      </c>
      <c r="C124" s="424"/>
      <c r="D124" s="424"/>
      <c r="E124" s="424"/>
      <c r="F124" s="424"/>
      <c r="G124" s="23" cm="1">
        <f t="array" aca="1" ref="G124" ca="1">IFERROR(INDEX(INDIRECT("'"&amp;$C$100&amp;"'!$G$115:$G$164"), ROWS($G$104:G124)), "")</f>
        <v>0</v>
      </c>
      <c r="H124" s="23" cm="1">
        <f t="array" aca="1" ref="H124" ca="1">IFERROR(INDEX(INDIRECT("'"&amp;$C$100&amp;"'!$H$115:$H$164"), ROWS($H$104:H124)), "")</f>
        <v>0</v>
      </c>
      <c r="I124" s="23" cm="1">
        <f t="array" aca="1" ref="I124" ca="1">IFERROR(INDEX(INDIRECT("'"&amp;$C$100&amp;"'!$I$115:$I$164"), ROWS($I$104:I124)), "")</f>
        <v>0</v>
      </c>
      <c r="J124" s="210" cm="1">
        <f t="array" aca="1" ref="J124" ca="1">IFERROR(INDEX(INDIRECT("'"&amp;$C$100&amp;"'!$J$115:$J$164"), ROWS($J$104:J124)), "")</f>
        <v>0</v>
      </c>
      <c r="K124"/>
      <c r="L124"/>
      <c r="M124"/>
      <c r="N124"/>
      <c r="O124"/>
      <c r="P124"/>
    </row>
    <row r="125" spans="1:16">
      <c r="A125" s="163">
        <v>22</v>
      </c>
      <c r="B125" s="424" cm="1">
        <f t="array" aca="1" ref="B125" ca="1">IFERROR(
  INDEX(INDIRECT("'"&amp;$C$100&amp;"'!$B$115:$J$164"),
        ROWS($B$104:B125),
        COLUMNS($B$104:B125)
  ),
  ""
)</f>
        <v>0</v>
      </c>
      <c r="C125" s="424"/>
      <c r="D125" s="424"/>
      <c r="E125" s="424"/>
      <c r="F125" s="424"/>
      <c r="G125" s="23" cm="1">
        <f t="array" aca="1" ref="G125" ca="1">IFERROR(INDEX(INDIRECT("'"&amp;$C$100&amp;"'!$G$115:$G$164"), ROWS($G$104:G125)), "")</f>
        <v>0</v>
      </c>
      <c r="H125" s="23" cm="1">
        <f t="array" aca="1" ref="H125" ca="1">IFERROR(INDEX(INDIRECT("'"&amp;$C$100&amp;"'!$H$115:$H$164"), ROWS($H$104:H125)), "")</f>
        <v>0</v>
      </c>
      <c r="I125" s="23" cm="1">
        <f t="array" aca="1" ref="I125" ca="1">IFERROR(INDEX(INDIRECT("'"&amp;$C$100&amp;"'!$I$115:$I$164"), ROWS($I$104:I125)), "")</f>
        <v>0</v>
      </c>
      <c r="J125" s="210" cm="1">
        <f t="array" aca="1" ref="J125" ca="1">IFERROR(INDEX(INDIRECT("'"&amp;$C$100&amp;"'!$J$115:$J$164"), ROWS($J$104:J125)), "")</f>
        <v>0</v>
      </c>
      <c r="K125"/>
      <c r="L125"/>
      <c r="M125"/>
      <c r="N125"/>
      <c r="O125"/>
      <c r="P125"/>
    </row>
    <row r="126" spans="1:16">
      <c r="A126" s="163">
        <v>23</v>
      </c>
      <c r="B126" s="424" cm="1">
        <f t="array" aca="1" ref="B126" ca="1">IFERROR(
  INDEX(INDIRECT("'"&amp;$C$100&amp;"'!$B$115:$J$164"),
        ROWS($B$104:B126),
        COLUMNS($B$104:B126)
  ),
  ""
)</f>
        <v>0</v>
      </c>
      <c r="C126" s="424"/>
      <c r="D126" s="424"/>
      <c r="E126" s="424"/>
      <c r="F126" s="424"/>
      <c r="G126" s="23" cm="1">
        <f t="array" aca="1" ref="G126" ca="1">IFERROR(INDEX(INDIRECT("'"&amp;$C$100&amp;"'!$G$115:$G$164"), ROWS($G$104:G126)), "")</f>
        <v>0</v>
      </c>
      <c r="H126" s="23" cm="1">
        <f t="array" aca="1" ref="H126" ca="1">IFERROR(INDEX(INDIRECT("'"&amp;$C$100&amp;"'!$H$115:$H$164"), ROWS($H$104:H126)), "")</f>
        <v>0</v>
      </c>
      <c r="I126" s="23" cm="1">
        <f t="array" aca="1" ref="I126" ca="1">IFERROR(INDEX(INDIRECT("'"&amp;$C$100&amp;"'!$I$115:$I$164"), ROWS($I$104:I126)), "")</f>
        <v>0</v>
      </c>
      <c r="J126" s="210" cm="1">
        <f t="array" aca="1" ref="J126" ca="1">IFERROR(INDEX(INDIRECT("'"&amp;$C$100&amp;"'!$J$115:$J$164"), ROWS($J$104:J126)), "")</f>
        <v>0</v>
      </c>
      <c r="K126"/>
      <c r="L126"/>
      <c r="M126"/>
      <c r="N126"/>
      <c r="O126"/>
      <c r="P126"/>
    </row>
    <row r="127" spans="1:16">
      <c r="A127" s="163">
        <v>24</v>
      </c>
      <c r="B127" s="424" cm="1">
        <f t="array" aca="1" ref="B127" ca="1">IFERROR(
  INDEX(INDIRECT("'"&amp;$C$100&amp;"'!$B$115:$J$164"),
        ROWS($B$104:B127),
        COLUMNS($B$104:B127)
  ),
  ""
)</f>
        <v>0</v>
      </c>
      <c r="C127" s="424"/>
      <c r="D127" s="424"/>
      <c r="E127" s="424"/>
      <c r="F127" s="424"/>
      <c r="G127" s="23" cm="1">
        <f t="array" aca="1" ref="G127" ca="1">IFERROR(INDEX(INDIRECT("'"&amp;$C$100&amp;"'!$G$115:$G$164"), ROWS($G$104:G127)), "")</f>
        <v>0</v>
      </c>
      <c r="H127" s="23" cm="1">
        <f t="array" aca="1" ref="H127" ca="1">IFERROR(INDEX(INDIRECT("'"&amp;$C$100&amp;"'!$H$115:$H$164"), ROWS($H$104:H127)), "")</f>
        <v>0</v>
      </c>
      <c r="I127" s="23" cm="1">
        <f t="array" aca="1" ref="I127" ca="1">IFERROR(INDEX(INDIRECT("'"&amp;$C$100&amp;"'!$I$115:$I$164"), ROWS($I$104:I127)), "")</f>
        <v>0</v>
      </c>
      <c r="J127" s="210" cm="1">
        <f t="array" aca="1" ref="J127" ca="1">IFERROR(INDEX(INDIRECT("'"&amp;$C$100&amp;"'!$J$115:$J$164"), ROWS($J$104:J127)), "")</f>
        <v>0</v>
      </c>
      <c r="K127"/>
      <c r="L127"/>
      <c r="M127"/>
      <c r="N127"/>
      <c r="O127"/>
      <c r="P127"/>
    </row>
    <row r="128" spans="1:16">
      <c r="A128" s="163">
        <v>25</v>
      </c>
      <c r="B128" s="424" cm="1">
        <f t="array" aca="1" ref="B128" ca="1">IFERROR(
  INDEX(INDIRECT("'"&amp;$C$100&amp;"'!$B$115:$J$164"),
        ROWS($B$104:B128),
        COLUMNS($B$104:B128)
  ),
  ""
)</f>
        <v>0</v>
      </c>
      <c r="C128" s="424"/>
      <c r="D128" s="424"/>
      <c r="E128" s="424"/>
      <c r="F128" s="424"/>
      <c r="G128" s="23" cm="1">
        <f t="array" aca="1" ref="G128" ca="1">IFERROR(INDEX(INDIRECT("'"&amp;$C$100&amp;"'!$G$115:$G$164"), ROWS($G$104:G128)), "")</f>
        <v>0</v>
      </c>
      <c r="H128" s="23" cm="1">
        <f t="array" aca="1" ref="H128" ca="1">IFERROR(INDEX(INDIRECT("'"&amp;$C$100&amp;"'!$H$115:$H$164"), ROWS($H$104:H128)), "")</f>
        <v>0</v>
      </c>
      <c r="I128" s="23" cm="1">
        <f t="array" aca="1" ref="I128" ca="1">IFERROR(INDEX(INDIRECT("'"&amp;$C$100&amp;"'!$I$115:$I$164"), ROWS($I$104:I128)), "")</f>
        <v>0</v>
      </c>
      <c r="J128" s="210" cm="1">
        <f t="array" aca="1" ref="J128" ca="1">IFERROR(INDEX(INDIRECT("'"&amp;$C$100&amp;"'!$J$115:$J$164"), ROWS($J$104:J128)), "")</f>
        <v>0</v>
      </c>
      <c r="K128"/>
      <c r="L128"/>
      <c r="M128"/>
      <c r="N128"/>
      <c r="O128"/>
      <c r="P128"/>
    </row>
    <row r="129" spans="1:16">
      <c r="A129" s="163">
        <v>26</v>
      </c>
      <c r="B129" s="424" cm="1">
        <f t="array" aca="1" ref="B129" ca="1">IFERROR(
  INDEX(INDIRECT("'"&amp;$C$100&amp;"'!$B$115:$J$164"),
        ROWS($B$104:B129),
        COLUMNS($B$104:B129)
  ),
  ""
)</f>
        <v>0</v>
      </c>
      <c r="C129" s="424"/>
      <c r="D129" s="424"/>
      <c r="E129" s="424"/>
      <c r="F129" s="424"/>
      <c r="G129" s="23" cm="1">
        <f t="array" aca="1" ref="G129" ca="1">IFERROR(INDEX(INDIRECT("'"&amp;$C$100&amp;"'!$G$115:$G$164"), ROWS($G$104:G129)), "")</f>
        <v>0</v>
      </c>
      <c r="H129" s="23" cm="1">
        <f t="array" aca="1" ref="H129" ca="1">IFERROR(INDEX(INDIRECT("'"&amp;$C$100&amp;"'!$H$115:$H$164"), ROWS($H$104:H129)), "")</f>
        <v>0</v>
      </c>
      <c r="I129" s="23" cm="1">
        <f t="array" aca="1" ref="I129" ca="1">IFERROR(INDEX(INDIRECT("'"&amp;$C$100&amp;"'!$I$115:$I$164"), ROWS($I$104:I129)), "")</f>
        <v>0</v>
      </c>
      <c r="J129" s="210" cm="1">
        <f t="array" aca="1" ref="J129" ca="1">IFERROR(INDEX(INDIRECT("'"&amp;$C$100&amp;"'!$J$115:$J$164"), ROWS($J$104:J129)), "")</f>
        <v>0</v>
      </c>
      <c r="K129"/>
      <c r="L129"/>
      <c r="M129"/>
      <c r="N129"/>
      <c r="O129"/>
      <c r="P129"/>
    </row>
    <row r="130" spans="1:16">
      <c r="A130" s="163">
        <v>27</v>
      </c>
      <c r="B130" s="424" cm="1">
        <f t="array" aca="1" ref="B130" ca="1">IFERROR(
  INDEX(INDIRECT("'"&amp;$C$100&amp;"'!$B$115:$J$164"),
        ROWS($B$104:B130),
        COLUMNS($B$104:B130)
  ),
  ""
)</f>
        <v>0</v>
      </c>
      <c r="C130" s="424"/>
      <c r="D130" s="424"/>
      <c r="E130" s="424"/>
      <c r="F130" s="424"/>
      <c r="G130" s="23" cm="1">
        <f t="array" aca="1" ref="G130" ca="1">IFERROR(INDEX(INDIRECT("'"&amp;$C$100&amp;"'!$G$115:$G$164"), ROWS($G$104:G130)), "")</f>
        <v>0</v>
      </c>
      <c r="H130" s="23" cm="1">
        <f t="array" aca="1" ref="H130" ca="1">IFERROR(INDEX(INDIRECT("'"&amp;$C$100&amp;"'!$H$115:$H$164"), ROWS($H$104:H130)), "")</f>
        <v>0</v>
      </c>
      <c r="I130" s="23" cm="1">
        <f t="array" aca="1" ref="I130" ca="1">IFERROR(INDEX(INDIRECT("'"&amp;$C$100&amp;"'!$I$115:$I$164"), ROWS($I$104:I130)), "")</f>
        <v>0</v>
      </c>
      <c r="J130" s="210" cm="1">
        <f t="array" aca="1" ref="J130" ca="1">IFERROR(INDEX(INDIRECT("'"&amp;$C$100&amp;"'!$J$115:$J$164"), ROWS($J$104:J130)), "")</f>
        <v>0</v>
      </c>
      <c r="K130"/>
      <c r="L130"/>
      <c r="M130"/>
      <c r="N130"/>
      <c r="O130"/>
      <c r="P130"/>
    </row>
    <row r="131" spans="1:16">
      <c r="A131" s="163">
        <v>28</v>
      </c>
      <c r="B131" s="424" cm="1">
        <f t="array" aca="1" ref="B131" ca="1">IFERROR(
  INDEX(INDIRECT("'"&amp;$C$100&amp;"'!$B$115:$J$164"),
        ROWS($B$104:B131),
        COLUMNS($B$104:B131)
  ),
  ""
)</f>
        <v>0</v>
      </c>
      <c r="C131" s="424"/>
      <c r="D131" s="424"/>
      <c r="E131" s="424"/>
      <c r="F131" s="424"/>
      <c r="G131" s="23" cm="1">
        <f t="array" aca="1" ref="G131" ca="1">IFERROR(INDEX(INDIRECT("'"&amp;$C$100&amp;"'!$G$115:$G$164"), ROWS($G$104:G131)), "")</f>
        <v>0</v>
      </c>
      <c r="H131" s="23" cm="1">
        <f t="array" aca="1" ref="H131" ca="1">IFERROR(INDEX(INDIRECT("'"&amp;$C$100&amp;"'!$H$115:$H$164"), ROWS($H$104:H131)), "")</f>
        <v>0</v>
      </c>
      <c r="I131" s="23" cm="1">
        <f t="array" aca="1" ref="I131" ca="1">IFERROR(INDEX(INDIRECT("'"&amp;$C$100&amp;"'!$I$115:$I$164"), ROWS($I$104:I131)), "")</f>
        <v>0</v>
      </c>
      <c r="J131" s="210" cm="1">
        <f t="array" aca="1" ref="J131" ca="1">IFERROR(INDEX(INDIRECT("'"&amp;$C$100&amp;"'!$J$115:$J$164"), ROWS($J$104:J131)), "")</f>
        <v>0</v>
      </c>
      <c r="K131"/>
      <c r="L131"/>
      <c r="M131"/>
      <c r="N131"/>
      <c r="O131"/>
      <c r="P131"/>
    </row>
    <row r="132" spans="1:16">
      <c r="A132" s="163">
        <v>29</v>
      </c>
      <c r="B132" s="424" cm="1">
        <f t="array" aca="1" ref="B132" ca="1">IFERROR(
  INDEX(INDIRECT("'"&amp;$C$100&amp;"'!$B$115:$J$164"),
        ROWS($B$104:B132),
        COLUMNS($B$104:B132)
  ),
  ""
)</f>
        <v>0</v>
      </c>
      <c r="C132" s="424"/>
      <c r="D132" s="424"/>
      <c r="E132" s="424"/>
      <c r="F132" s="424"/>
      <c r="G132" s="23" cm="1">
        <f t="array" aca="1" ref="G132" ca="1">IFERROR(INDEX(INDIRECT("'"&amp;$C$100&amp;"'!$G$115:$G$164"), ROWS($G$104:G132)), "")</f>
        <v>0</v>
      </c>
      <c r="H132" s="23" cm="1">
        <f t="array" aca="1" ref="H132" ca="1">IFERROR(INDEX(INDIRECT("'"&amp;$C$100&amp;"'!$H$115:$H$164"), ROWS($H$104:H132)), "")</f>
        <v>0</v>
      </c>
      <c r="I132" s="23" cm="1">
        <f t="array" aca="1" ref="I132" ca="1">IFERROR(INDEX(INDIRECT("'"&amp;$C$100&amp;"'!$I$115:$I$164"), ROWS($I$104:I132)), "")</f>
        <v>0</v>
      </c>
      <c r="J132" s="210" cm="1">
        <f t="array" aca="1" ref="J132" ca="1">IFERROR(INDEX(INDIRECT("'"&amp;$C$100&amp;"'!$J$115:$J$164"), ROWS($J$104:J132)), "")</f>
        <v>0</v>
      </c>
      <c r="K132"/>
      <c r="L132"/>
      <c r="M132"/>
      <c r="N132"/>
      <c r="O132"/>
      <c r="P132"/>
    </row>
    <row r="133" spans="1:16">
      <c r="A133" s="163">
        <v>30</v>
      </c>
      <c r="B133" s="424" cm="1">
        <f t="array" aca="1" ref="B133" ca="1">IFERROR(
  INDEX(INDIRECT("'"&amp;$C$100&amp;"'!$B$115:$J$164"),
        ROWS($B$104:B133),
        COLUMNS($B$104:B133)
  ),
  ""
)</f>
        <v>0</v>
      </c>
      <c r="C133" s="424"/>
      <c r="D133" s="424"/>
      <c r="E133" s="424"/>
      <c r="F133" s="424"/>
      <c r="G133" s="23" cm="1">
        <f t="array" aca="1" ref="G133" ca="1">IFERROR(INDEX(INDIRECT("'"&amp;$C$100&amp;"'!$G$115:$G$164"), ROWS($G$104:G133)), "")</f>
        <v>0</v>
      </c>
      <c r="H133" s="23" cm="1">
        <f t="array" aca="1" ref="H133" ca="1">IFERROR(INDEX(INDIRECT("'"&amp;$C$100&amp;"'!$H$115:$H$164"), ROWS($H$104:H133)), "")</f>
        <v>0</v>
      </c>
      <c r="I133" s="23" cm="1">
        <f t="array" aca="1" ref="I133" ca="1">IFERROR(INDEX(INDIRECT("'"&amp;$C$100&amp;"'!$I$115:$I$164"), ROWS($I$104:I133)), "")</f>
        <v>0</v>
      </c>
      <c r="J133" s="210" cm="1">
        <f t="array" aca="1" ref="J133" ca="1">IFERROR(INDEX(INDIRECT("'"&amp;$C$100&amp;"'!$J$115:$J$164"), ROWS($J$104:J133)), "")</f>
        <v>0</v>
      </c>
      <c r="K133"/>
      <c r="L133"/>
      <c r="M133"/>
      <c r="N133"/>
      <c r="O133"/>
      <c r="P133"/>
    </row>
    <row r="134" spans="1:16">
      <c r="A134" s="163">
        <v>31</v>
      </c>
      <c r="B134" s="424" cm="1">
        <f t="array" aca="1" ref="B134" ca="1">IFERROR(
  INDEX(INDIRECT("'"&amp;$C$100&amp;"'!$B$115:$J$164"),
        ROWS($B$104:B134),
        COLUMNS($B$104:B134)
  ),
  ""
)</f>
        <v>0</v>
      </c>
      <c r="C134" s="424"/>
      <c r="D134" s="424"/>
      <c r="E134" s="424"/>
      <c r="F134" s="424"/>
      <c r="G134" s="23" cm="1">
        <f t="array" aca="1" ref="G134" ca="1">IFERROR(INDEX(INDIRECT("'"&amp;$C$100&amp;"'!$G$115:$G$164"), ROWS($G$104:G134)), "")</f>
        <v>0</v>
      </c>
      <c r="H134" s="23" cm="1">
        <f t="array" aca="1" ref="H134" ca="1">IFERROR(INDEX(INDIRECT("'"&amp;$C$100&amp;"'!$H$115:$H$164"), ROWS($H$104:H134)), "")</f>
        <v>0</v>
      </c>
      <c r="I134" s="23" cm="1">
        <f t="array" aca="1" ref="I134" ca="1">IFERROR(INDEX(INDIRECT("'"&amp;$C$100&amp;"'!$I$115:$I$164"), ROWS($I$104:I134)), "")</f>
        <v>0</v>
      </c>
      <c r="J134" s="210" cm="1">
        <f t="array" aca="1" ref="J134" ca="1">IFERROR(INDEX(INDIRECT("'"&amp;$C$100&amp;"'!$J$115:$J$164"), ROWS($J$104:J134)), "")</f>
        <v>0</v>
      </c>
      <c r="K134"/>
      <c r="L134"/>
      <c r="M134"/>
      <c r="N134"/>
      <c r="O134"/>
      <c r="P134"/>
    </row>
    <row r="135" spans="1:16">
      <c r="A135" s="163">
        <v>32</v>
      </c>
      <c r="B135" s="424" cm="1">
        <f t="array" aca="1" ref="B135" ca="1">IFERROR(
  INDEX(INDIRECT("'"&amp;$C$100&amp;"'!$B$115:$J$164"),
        ROWS($B$104:B135),
        COLUMNS($B$104:B135)
  ),
  ""
)</f>
        <v>0</v>
      </c>
      <c r="C135" s="424"/>
      <c r="D135" s="424"/>
      <c r="E135" s="424"/>
      <c r="F135" s="424"/>
      <c r="G135" s="23" cm="1">
        <f t="array" aca="1" ref="G135" ca="1">IFERROR(INDEX(INDIRECT("'"&amp;$C$100&amp;"'!$G$115:$G$164"), ROWS($G$104:G135)), "")</f>
        <v>0</v>
      </c>
      <c r="H135" s="23" cm="1">
        <f t="array" aca="1" ref="H135" ca="1">IFERROR(INDEX(INDIRECT("'"&amp;$C$100&amp;"'!$H$115:$H$164"), ROWS($H$104:H135)), "")</f>
        <v>0</v>
      </c>
      <c r="I135" s="23" cm="1">
        <f t="array" aca="1" ref="I135" ca="1">IFERROR(INDEX(INDIRECT("'"&amp;$C$100&amp;"'!$I$115:$I$164"), ROWS($I$104:I135)), "")</f>
        <v>0</v>
      </c>
      <c r="J135" s="210" cm="1">
        <f t="array" aca="1" ref="J135" ca="1">IFERROR(INDEX(INDIRECT("'"&amp;$C$100&amp;"'!$J$115:$J$164"), ROWS($J$104:J135)), "")</f>
        <v>0</v>
      </c>
      <c r="K135"/>
      <c r="L135"/>
      <c r="M135"/>
      <c r="N135"/>
      <c r="O135"/>
      <c r="P135"/>
    </row>
    <row r="136" spans="1:16">
      <c r="A136" s="163">
        <v>33</v>
      </c>
      <c r="B136" s="424" cm="1">
        <f t="array" aca="1" ref="B136" ca="1">IFERROR(
  INDEX(INDIRECT("'"&amp;$C$100&amp;"'!$B$115:$J$164"),
        ROWS($B$104:B136),
        COLUMNS($B$104:B136)
  ),
  ""
)</f>
        <v>0</v>
      </c>
      <c r="C136" s="424"/>
      <c r="D136" s="424"/>
      <c r="E136" s="424"/>
      <c r="F136" s="424"/>
      <c r="G136" s="23" cm="1">
        <f t="array" aca="1" ref="G136" ca="1">IFERROR(INDEX(INDIRECT("'"&amp;$C$100&amp;"'!$G$115:$G$164"), ROWS($G$104:G136)), "")</f>
        <v>0</v>
      </c>
      <c r="H136" s="23" cm="1">
        <f t="array" aca="1" ref="H136" ca="1">IFERROR(INDEX(INDIRECT("'"&amp;$C$100&amp;"'!$H$115:$H$164"), ROWS($H$104:H136)), "")</f>
        <v>0</v>
      </c>
      <c r="I136" s="23" cm="1">
        <f t="array" aca="1" ref="I136" ca="1">IFERROR(INDEX(INDIRECT("'"&amp;$C$100&amp;"'!$I$115:$I$164"), ROWS($I$104:I136)), "")</f>
        <v>0</v>
      </c>
      <c r="J136" s="210" cm="1">
        <f t="array" aca="1" ref="J136" ca="1">IFERROR(INDEX(INDIRECT("'"&amp;$C$100&amp;"'!$J$115:$J$164"), ROWS($J$104:J136)), "")</f>
        <v>0</v>
      </c>
      <c r="K136"/>
      <c r="L136"/>
      <c r="M136"/>
      <c r="N136"/>
      <c r="O136"/>
      <c r="P136"/>
    </row>
    <row r="137" spans="1:16">
      <c r="A137" s="163">
        <v>34</v>
      </c>
      <c r="B137" s="424" cm="1">
        <f t="array" aca="1" ref="B137" ca="1">IFERROR(
  INDEX(INDIRECT("'"&amp;$C$100&amp;"'!$B$115:$J$164"),
        ROWS($B$104:B137),
        COLUMNS($B$104:B137)
  ),
  ""
)</f>
        <v>0</v>
      </c>
      <c r="C137" s="424"/>
      <c r="D137" s="424"/>
      <c r="E137" s="424"/>
      <c r="F137" s="424"/>
      <c r="G137" s="23" cm="1">
        <f t="array" aca="1" ref="G137" ca="1">IFERROR(INDEX(INDIRECT("'"&amp;$C$100&amp;"'!$G$115:$G$164"), ROWS($G$104:G137)), "")</f>
        <v>0</v>
      </c>
      <c r="H137" s="23" cm="1">
        <f t="array" aca="1" ref="H137" ca="1">IFERROR(INDEX(INDIRECT("'"&amp;$C$100&amp;"'!$H$115:$H$164"), ROWS($H$104:H137)), "")</f>
        <v>0</v>
      </c>
      <c r="I137" s="23" cm="1">
        <f t="array" aca="1" ref="I137" ca="1">IFERROR(INDEX(INDIRECT("'"&amp;$C$100&amp;"'!$I$115:$I$164"), ROWS($I$104:I137)), "")</f>
        <v>0</v>
      </c>
      <c r="J137" s="210" cm="1">
        <f t="array" aca="1" ref="J137" ca="1">IFERROR(INDEX(INDIRECT("'"&amp;$C$100&amp;"'!$J$115:$J$164"), ROWS($J$104:J137)), "")</f>
        <v>0</v>
      </c>
      <c r="K137"/>
      <c r="L137"/>
      <c r="M137"/>
      <c r="N137"/>
      <c r="O137"/>
      <c r="P137"/>
    </row>
    <row r="138" spans="1:16">
      <c r="A138" s="163">
        <v>35</v>
      </c>
      <c r="B138" s="424" cm="1">
        <f t="array" aca="1" ref="B138" ca="1">IFERROR(
  INDEX(INDIRECT("'"&amp;$C$100&amp;"'!$B$115:$J$164"),
        ROWS($B$104:B138),
        COLUMNS($B$104:B138)
  ),
  ""
)</f>
        <v>0</v>
      </c>
      <c r="C138" s="424"/>
      <c r="D138" s="424"/>
      <c r="E138" s="424"/>
      <c r="F138" s="424"/>
      <c r="G138" s="23" cm="1">
        <f t="array" aca="1" ref="G138" ca="1">IFERROR(INDEX(INDIRECT("'"&amp;$C$100&amp;"'!$G$115:$G$164"), ROWS($G$104:G138)), "")</f>
        <v>0</v>
      </c>
      <c r="H138" s="23" cm="1">
        <f t="array" aca="1" ref="H138" ca="1">IFERROR(INDEX(INDIRECT("'"&amp;$C$100&amp;"'!$H$115:$H$164"), ROWS($H$104:H138)), "")</f>
        <v>0</v>
      </c>
      <c r="I138" s="23" cm="1">
        <f t="array" aca="1" ref="I138" ca="1">IFERROR(INDEX(INDIRECT("'"&amp;$C$100&amp;"'!$I$115:$I$164"), ROWS($I$104:I138)), "")</f>
        <v>0</v>
      </c>
      <c r="J138" s="210" cm="1">
        <f t="array" aca="1" ref="J138" ca="1">IFERROR(INDEX(INDIRECT("'"&amp;$C$100&amp;"'!$J$115:$J$164"), ROWS($J$104:J138)), "")</f>
        <v>0</v>
      </c>
      <c r="K138"/>
      <c r="L138"/>
      <c r="M138"/>
      <c r="N138"/>
      <c r="O138"/>
      <c r="P138"/>
    </row>
    <row r="139" spans="1:16">
      <c r="A139" s="163">
        <v>36</v>
      </c>
      <c r="B139" s="424" cm="1">
        <f t="array" aca="1" ref="B139" ca="1">IFERROR(
  INDEX(INDIRECT("'"&amp;$C$100&amp;"'!$B$115:$J$164"),
        ROWS($B$104:B139),
        COLUMNS($B$104:B139)
  ),
  ""
)</f>
        <v>0</v>
      </c>
      <c r="C139" s="424"/>
      <c r="D139" s="424"/>
      <c r="E139" s="424"/>
      <c r="F139" s="424"/>
      <c r="G139" s="23" cm="1">
        <f t="array" aca="1" ref="G139" ca="1">IFERROR(INDEX(INDIRECT("'"&amp;$C$100&amp;"'!$G$115:$G$164"), ROWS($G$104:G139)), "")</f>
        <v>0</v>
      </c>
      <c r="H139" s="23" cm="1">
        <f t="array" aca="1" ref="H139" ca="1">IFERROR(INDEX(INDIRECT("'"&amp;$C$100&amp;"'!$H$115:$H$164"), ROWS($H$104:H139)), "")</f>
        <v>0</v>
      </c>
      <c r="I139" s="23" cm="1">
        <f t="array" aca="1" ref="I139" ca="1">IFERROR(INDEX(INDIRECT("'"&amp;$C$100&amp;"'!$I$115:$I$164"), ROWS($I$104:I139)), "")</f>
        <v>0</v>
      </c>
      <c r="J139" s="210" cm="1">
        <f t="array" aca="1" ref="J139" ca="1">IFERROR(INDEX(INDIRECT("'"&amp;$C$100&amp;"'!$J$115:$J$164"), ROWS($J$104:J139)), "")</f>
        <v>0</v>
      </c>
      <c r="K139"/>
      <c r="L139"/>
      <c r="M139"/>
      <c r="N139"/>
      <c r="O139"/>
      <c r="P139"/>
    </row>
    <row r="140" spans="1:16">
      <c r="A140" s="163">
        <v>37</v>
      </c>
      <c r="B140" s="424" cm="1">
        <f t="array" aca="1" ref="B140" ca="1">IFERROR(
  INDEX(INDIRECT("'"&amp;$C$100&amp;"'!$B$115:$J$164"),
        ROWS($B$104:B140),
        COLUMNS($B$104:B140)
  ),
  ""
)</f>
        <v>0</v>
      </c>
      <c r="C140" s="424"/>
      <c r="D140" s="424"/>
      <c r="E140" s="424"/>
      <c r="F140" s="424"/>
      <c r="G140" s="23" cm="1">
        <f t="array" aca="1" ref="G140" ca="1">IFERROR(INDEX(INDIRECT("'"&amp;$C$100&amp;"'!$G$115:$G$164"), ROWS($G$104:G140)), "")</f>
        <v>0</v>
      </c>
      <c r="H140" s="23" cm="1">
        <f t="array" aca="1" ref="H140" ca="1">IFERROR(INDEX(INDIRECT("'"&amp;$C$100&amp;"'!$H$115:$H$164"), ROWS($H$104:H140)), "")</f>
        <v>0</v>
      </c>
      <c r="I140" s="23" cm="1">
        <f t="array" aca="1" ref="I140" ca="1">IFERROR(INDEX(INDIRECT("'"&amp;$C$100&amp;"'!$I$115:$I$164"), ROWS($I$104:I140)), "")</f>
        <v>0</v>
      </c>
      <c r="J140" s="210" cm="1">
        <f t="array" aca="1" ref="J140" ca="1">IFERROR(INDEX(INDIRECT("'"&amp;$C$100&amp;"'!$J$115:$J$164"), ROWS($J$104:J140)), "")</f>
        <v>0</v>
      </c>
      <c r="K140"/>
      <c r="L140"/>
      <c r="M140"/>
      <c r="N140"/>
      <c r="O140"/>
      <c r="P140"/>
    </row>
    <row r="141" spans="1:16">
      <c r="A141" s="163">
        <v>38</v>
      </c>
      <c r="B141" s="424" cm="1">
        <f t="array" aca="1" ref="B141" ca="1">IFERROR(
  INDEX(INDIRECT("'"&amp;$C$100&amp;"'!$B$115:$J$164"),
        ROWS($B$104:B141),
        COLUMNS($B$104:B141)
  ),
  ""
)</f>
        <v>0</v>
      </c>
      <c r="C141" s="424"/>
      <c r="D141" s="424"/>
      <c r="E141" s="424"/>
      <c r="F141" s="424"/>
      <c r="G141" s="23" cm="1">
        <f t="array" aca="1" ref="G141" ca="1">IFERROR(INDEX(INDIRECT("'"&amp;$C$100&amp;"'!$G$115:$G$164"), ROWS($G$104:G141)), "")</f>
        <v>0</v>
      </c>
      <c r="H141" s="23" cm="1">
        <f t="array" aca="1" ref="H141" ca="1">IFERROR(INDEX(INDIRECT("'"&amp;$C$100&amp;"'!$H$115:$H$164"), ROWS($H$104:H141)), "")</f>
        <v>0</v>
      </c>
      <c r="I141" s="23" cm="1">
        <f t="array" aca="1" ref="I141" ca="1">IFERROR(INDEX(INDIRECT("'"&amp;$C$100&amp;"'!$I$115:$I$164"), ROWS($I$104:I141)), "")</f>
        <v>0</v>
      </c>
      <c r="J141" s="210" cm="1">
        <f t="array" aca="1" ref="J141" ca="1">IFERROR(INDEX(INDIRECT("'"&amp;$C$100&amp;"'!$J$115:$J$164"), ROWS($J$104:J141)), "")</f>
        <v>0</v>
      </c>
      <c r="K141"/>
      <c r="L141"/>
      <c r="M141"/>
      <c r="N141"/>
      <c r="O141"/>
      <c r="P141"/>
    </row>
    <row r="142" spans="1:16">
      <c r="A142" s="163">
        <v>39</v>
      </c>
      <c r="B142" s="424" cm="1">
        <f t="array" aca="1" ref="B142" ca="1">IFERROR(
  INDEX(INDIRECT("'"&amp;$C$100&amp;"'!$B$115:$J$164"),
        ROWS($B$104:B142),
        COLUMNS($B$104:B142)
  ),
  ""
)</f>
        <v>0</v>
      </c>
      <c r="C142" s="424"/>
      <c r="D142" s="424"/>
      <c r="E142" s="424"/>
      <c r="F142" s="424"/>
      <c r="G142" s="23" cm="1">
        <f t="array" aca="1" ref="G142" ca="1">IFERROR(INDEX(INDIRECT("'"&amp;$C$100&amp;"'!$G$115:$G$164"), ROWS($G$104:G142)), "")</f>
        <v>0</v>
      </c>
      <c r="H142" s="23" cm="1">
        <f t="array" aca="1" ref="H142" ca="1">IFERROR(INDEX(INDIRECT("'"&amp;$C$100&amp;"'!$H$115:$H$164"), ROWS($H$104:H142)), "")</f>
        <v>0</v>
      </c>
      <c r="I142" s="23" cm="1">
        <f t="array" aca="1" ref="I142" ca="1">IFERROR(INDEX(INDIRECT("'"&amp;$C$100&amp;"'!$I$115:$I$164"), ROWS($I$104:I142)), "")</f>
        <v>0</v>
      </c>
      <c r="J142" s="210" cm="1">
        <f t="array" aca="1" ref="J142" ca="1">IFERROR(INDEX(INDIRECT("'"&amp;$C$100&amp;"'!$J$115:$J$164"), ROWS($J$104:J142)), "")</f>
        <v>0</v>
      </c>
      <c r="K142"/>
      <c r="L142"/>
      <c r="M142"/>
      <c r="N142"/>
      <c r="O142"/>
      <c r="P142"/>
    </row>
    <row r="143" spans="1:16">
      <c r="A143" s="163">
        <v>40</v>
      </c>
      <c r="B143" s="424" cm="1">
        <f t="array" aca="1" ref="B143" ca="1">IFERROR(
  INDEX(INDIRECT("'"&amp;$C$100&amp;"'!$B$115:$J$164"),
        ROWS($B$104:B143),
        COLUMNS($B$104:B143)
  ),
  ""
)</f>
        <v>0</v>
      </c>
      <c r="C143" s="424"/>
      <c r="D143" s="424"/>
      <c r="E143" s="424"/>
      <c r="F143" s="424"/>
      <c r="G143" s="23" cm="1">
        <f t="array" aca="1" ref="G143" ca="1">IFERROR(INDEX(INDIRECT("'"&amp;$C$100&amp;"'!$G$115:$G$164"), ROWS($G$104:G143)), "")</f>
        <v>0</v>
      </c>
      <c r="H143" s="23" cm="1">
        <f t="array" aca="1" ref="H143" ca="1">IFERROR(INDEX(INDIRECT("'"&amp;$C$100&amp;"'!$H$115:$H$164"), ROWS($H$104:H143)), "")</f>
        <v>0</v>
      </c>
      <c r="I143" s="23" cm="1">
        <f t="array" aca="1" ref="I143" ca="1">IFERROR(INDEX(INDIRECT("'"&amp;$C$100&amp;"'!$I$115:$I$164"), ROWS($I$104:I143)), "")</f>
        <v>0</v>
      </c>
      <c r="J143" s="210" cm="1">
        <f t="array" aca="1" ref="J143" ca="1">IFERROR(INDEX(INDIRECT("'"&amp;$C$100&amp;"'!$J$115:$J$164"), ROWS($J$104:J143)), "")</f>
        <v>0</v>
      </c>
      <c r="K143"/>
      <c r="L143"/>
      <c r="M143"/>
      <c r="N143"/>
      <c r="O143"/>
      <c r="P143"/>
    </row>
    <row r="144" spans="1:16">
      <c r="A144" s="163">
        <v>41</v>
      </c>
      <c r="B144" s="424" cm="1">
        <f t="array" aca="1" ref="B144" ca="1">IFERROR(
  INDEX(INDIRECT("'"&amp;$C$100&amp;"'!$B$115:$J$164"),
        ROWS($B$104:B144),
        COLUMNS($B$104:B144)
  ),
  ""
)</f>
        <v>0</v>
      </c>
      <c r="C144" s="424"/>
      <c r="D144" s="424"/>
      <c r="E144" s="424"/>
      <c r="F144" s="424"/>
      <c r="G144" s="23" cm="1">
        <f t="array" aca="1" ref="G144" ca="1">IFERROR(INDEX(INDIRECT("'"&amp;$C$100&amp;"'!$G$115:$G$164"), ROWS($G$104:G144)), "")</f>
        <v>0</v>
      </c>
      <c r="H144" s="23" cm="1">
        <f t="array" aca="1" ref="H144" ca="1">IFERROR(INDEX(INDIRECT("'"&amp;$C$100&amp;"'!$H$115:$H$164"), ROWS($H$104:H144)), "")</f>
        <v>0</v>
      </c>
      <c r="I144" s="23" cm="1">
        <f t="array" aca="1" ref="I144" ca="1">IFERROR(INDEX(INDIRECT("'"&amp;$C$100&amp;"'!$I$115:$I$164"), ROWS($I$104:I144)), "")</f>
        <v>0</v>
      </c>
      <c r="J144" s="210" cm="1">
        <f t="array" aca="1" ref="J144" ca="1">IFERROR(INDEX(INDIRECT("'"&amp;$C$100&amp;"'!$J$115:$J$164"), ROWS($J$104:J144)), "")</f>
        <v>0</v>
      </c>
      <c r="K144"/>
      <c r="L144"/>
      <c r="M144"/>
      <c r="N144"/>
      <c r="O144"/>
      <c r="P144"/>
    </row>
    <row r="145" spans="1:16">
      <c r="A145" s="163">
        <v>42</v>
      </c>
      <c r="B145" s="424" cm="1">
        <f t="array" aca="1" ref="B145" ca="1">IFERROR(
  INDEX(INDIRECT("'"&amp;$C$100&amp;"'!$B$115:$J$164"),
        ROWS($B$104:B145),
        COLUMNS($B$104:B145)
  ),
  ""
)</f>
        <v>0</v>
      </c>
      <c r="C145" s="424"/>
      <c r="D145" s="424"/>
      <c r="E145" s="424"/>
      <c r="F145" s="424"/>
      <c r="G145" s="23" cm="1">
        <f t="array" aca="1" ref="G145" ca="1">IFERROR(INDEX(INDIRECT("'"&amp;$C$100&amp;"'!$G$115:$G$164"), ROWS($G$104:G145)), "")</f>
        <v>0</v>
      </c>
      <c r="H145" s="23" cm="1">
        <f t="array" aca="1" ref="H145" ca="1">IFERROR(INDEX(INDIRECT("'"&amp;$C$100&amp;"'!$H$115:$H$164"), ROWS($H$104:H145)), "")</f>
        <v>0</v>
      </c>
      <c r="I145" s="23" cm="1">
        <f t="array" aca="1" ref="I145" ca="1">IFERROR(INDEX(INDIRECT("'"&amp;$C$100&amp;"'!$I$115:$I$164"), ROWS($I$104:I145)), "")</f>
        <v>0</v>
      </c>
      <c r="J145" s="210" cm="1">
        <f t="array" aca="1" ref="J145" ca="1">IFERROR(INDEX(INDIRECT("'"&amp;$C$100&amp;"'!$J$115:$J$164"), ROWS($J$104:J145)), "")</f>
        <v>0</v>
      </c>
      <c r="K145"/>
      <c r="L145"/>
      <c r="M145"/>
      <c r="N145"/>
      <c r="O145"/>
      <c r="P145"/>
    </row>
    <row r="146" spans="1:16">
      <c r="A146" s="163">
        <v>43</v>
      </c>
      <c r="B146" s="424" cm="1">
        <f t="array" aca="1" ref="B146" ca="1">IFERROR(
  INDEX(INDIRECT("'"&amp;$C$100&amp;"'!$B$115:$J$164"),
        ROWS($B$104:B146),
        COLUMNS($B$104:B146)
  ),
  ""
)</f>
        <v>0</v>
      </c>
      <c r="C146" s="424"/>
      <c r="D146" s="424"/>
      <c r="E146" s="424"/>
      <c r="F146" s="424"/>
      <c r="G146" s="23" cm="1">
        <f t="array" aca="1" ref="G146" ca="1">IFERROR(INDEX(INDIRECT("'"&amp;$C$100&amp;"'!$G$115:$G$164"), ROWS($G$104:G146)), "")</f>
        <v>0</v>
      </c>
      <c r="H146" s="23" cm="1">
        <f t="array" aca="1" ref="H146" ca="1">IFERROR(INDEX(INDIRECT("'"&amp;$C$100&amp;"'!$H$115:$H$164"), ROWS($H$104:H146)), "")</f>
        <v>0</v>
      </c>
      <c r="I146" s="23" cm="1">
        <f t="array" aca="1" ref="I146" ca="1">IFERROR(INDEX(INDIRECT("'"&amp;$C$100&amp;"'!$I$115:$I$164"), ROWS($I$104:I146)), "")</f>
        <v>0</v>
      </c>
      <c r="J146" s="210" cm="1">
        <f t="array" aca="1" ref="J146" ca="1">IFERROR(INDEX(INDIRECT("'"&amp;$C$100&amp;"'!$J$115:$J$164"), ROWS($J$104:J146)), "")</f>
        <v>0</v>
      </c>
      <c r="K146"/>
      <c r="L146"/>
      <c r="M146"/>
      <c r="N146"/>
      <c r="O146"/>
      <c r="P146"/>
    </row>
    <row r="147" spans="1:16">
      <c r="A147" s="163">
        <v>44</v>
      </c>
      <c r="B147" s="424" cm="1">
        <f t="array" aca="1" ref="B147" ca="1">IFERROR(
  INDEX(INDIRECT("'"&amp;$C$100&amp;"'!$B$115:$J$164"),
        ROWS($B$104:B147),
        COLUMNS($B$104:B147)
  ),
  ""
)</f>
        <v>0</v>
      </c>
      <c r="C147" s="424"/>
      <c r="D147" s="424"/>
      <c r="E147" s="424"/>
      <c r="F147" s="424"/>
      <c r="G147" s="23" cm="1">
        <f t="array" aca="1" ref="G147" ca="1">IFERROR(INDEX(INDIRECT("'"&amp;$C$100&amp;"'!$G$115:$G$164"), ROWS($G$104:G147)), "")</f>
        <v>0</v>
      </c>
      <c r="H147" s="23" cm="1">
        <f t="array" aca="1" ref="H147" ca="1">IFERROR(INDEX(INDIRECT("'"&amp;$C$100&amp;"'!$H$115:$H$164"), ROWS($H$104:H147)), "")</f>
        <v>0</v>
      </c>
      <c r="I147" s="23" cm="1">
        <f t="array" aca="1" ref="I147" ca="1">IFERROR(INDEX(INDIRECT("'"&amp;$C$100&amp;"'!$I$115:$I$164"), ROWS($I$104:I147)), "")</f>
        <v>0</v>
      </c>
      <c r="J147" s="210" cm="1">
        <f t="array" aca="1" ref="J147" ca="1">IFERROR(INDEX(INDIRECT("'"&amp;$C$100&amp;"'!$J$115:$J$164"), ROWS($J$104:J147)), "")</f>
        <v>0</v>
      </c>
      <c r="K147"/>
      <c r="L147"/>
      <c r="M147"/>
      <c r="N147"/>
      <c r="O147"/>
      <c r="P147"/>
    </row>
    <row r="148" spans="1:16">
      <c r="A148" s="163">
        <v>45</v>
      </c>
      <c r="B148" s="424" cm="1">
        <f t="array" aca="1" ref="B148" ca="1">IFERROR(
  INDEX(INDIRECT("'"&amp;$C$100&amp;"'!$B$115:$J$164"),
        ROWS($B$104:B148),
        COLUMNS($B$104:B148)
  ),
  ""
)</f>
        <v>0</v>
      </c>
      <c r="C148" s="424"/>
      <c r="D148" s="424"/>
      <c r="E148" s="424"/>
      <c r="F148" s="424"/>
      <c r="G148" s="23" cm="1">
        <f t="array" aca="1" ref="G148" ca="1">IFERROR(INDEX(INDIRECT("'"&amp;$C$100&amp;"'!$G$115:$G$164"), ROWS($G$104:G148)), "")</f>
        <v>0</v>
      </c>
      <c r="H148" s="23" cm="1">
        <f t="array" aca="1" ref="H148" ca="1">IFERROR(INDEX(INDIRECT("'"&amp;$C$100&amp;"'!$H$115:$H$164"), ROWS($H$104:H148)), "")</f>
        <v>0</v>
      </c>
      <c r="I148" s="23" cm="1">
        <f t="array" aca="1" ref="I148" ca="1">IFERROR(INDEX(INDIRECT("'"&amp;$C$100&amp;"'!$I$115:$I$164"), ROWS($I$104:I148)), "")</f>
        <v>0</v>
      </c>
      <c r="J148" s="210" cm="1">
        <f t="array" aca="1" ref="J148" ca="1">IFERROR(INDEX(INDIRECT("'"&amp;$C$100&amp;"'!$J$115:$J$164"), ROWS($J$104:J148)), "")</f>
        <v>0</v>
      </c>
      <c r="K148"/>
      <c r="L148"/>
      <c r="M148"/>
      <c r="N148"/>
      <c r="O148"/>
      <c r="P148"/>
    </row>
    <row r="149" spans="1:16">
      <c r="A149" s="163">
        <v>46</v>
      </c>
      <c r="B149" s="424" cm="1">
        <f t="array" aca="1" ref="B149" ca="1">IFERROR(
  INDEX(INDIRECT("'"&amp;$C$100&amp;"'!$B$115:$J$164"),
        ROWS($B$104:B149),
        COLUMNS($B$104:B149)
  ),
  ""
)</f>
        <v>0</v>
      </c>
      <c r="C149" s="424"/>
      <c r="D149" s="424"/>
      <c r="E149" s="424"/>
      <c r="F149" s="424"/>
      <c r="G149" s="23" cm="1">
        <f t="array" aca="1" ref="G149" ca="1">IFERROR(INDEX(INDIRECT("'"&amp;$C$100&amp;"'!$G$115:$G$164"), ROWS($G$104:G149)), "")</f>
        <v>0</v>
      </c>
      <c r="H149" s="23" cm="1">
        <f t="array" aca="1" ref="H149" ca="1">IFERROR(INDEX(INDIRECT("'"&amp;$C$100&amp;"'!$H$115:$H$164"), ROWS($H$104:H149)), "")</f>
        <v>0</v>
      </c>
      <c r="I149" s="23" cm="1">
        <f t="array" aca="1" ref="I149" ca="1">IFERROR(INDEX(INDIRECT("'"&amp;$C$100&amp;"'!$I$115:$I$164"), ROWS($I$104:I149)), "")</f>
        <v>0</v>
      </c>
      <c r="J149" s="210" cm="1">
        <f t="array" aca="1" ref="J149" ca="1">IFERROR(INDEX(INDIRECT("'"&amp;$C$100&amp;"'!$J$115:$J$164"), ROWS($J$104:J149)), "")</f>
        <v>0</v>
      </c>
      <c r="K149"/>
      <c r="L149"/>
      <c r="M149"/>
      <c r="N149"/>
      <c r="O149"/>
      <c r="P149"/>
    </row>
    <row r="150" spans="1:16">
      <c r="A150" s="163">
        <v>47</v>
      </c>
      <c r="B150" s="424" cm="1">
        <f t="array" aca="1" ref="B150" ca="1">IFERROR(
  INDEX(INDIRECT("'"&amp;$C$100&amp;"'!$B$115:$J$164"),
        ROWS($B$104:B150),
        COLUMNS($B$104:B150)
  ),
  ""
)</f>
        <v>0</v>
      </c>
      <c r="C150" s="424"/>
      <c r="D150" s="424"/>
      <c r="E150" s="424"/>
      <c r="F150" s="424"/>
      <c r="G150" s="23" cm="1">
        <f t="array" aca="1" ref="G150" ca="1">IFERROR(INDEX(INDIRECT("'"&amp;$C$100&amp;"'!$G$115:$G$164"), ROWS($G$104:G150)), "")</f>
        <v>0</v>
      </c>
      <c r="H150" s="23" cm="1">
        <f t="array" aca="1" ref="H150" ca="1">IFERROR(INDEX(INDIRECT("'"&amp;$C$100&amp;"'!$H$115:$H$164"), ROWS($H$104:H150)), "")</f>
        <v>0</v>
      </c>
      <c r="I150" s="23" cm="1">
        <f t="array" aca="1" ref="I150" ca="1">IFERROR(INDEX(INDIRECT("'"&amp;$C$100&amp;"'!$I$115:$I$164"), ROWS($I$104:I150)), "")</f>
        <v>0</v>
      </c>
      <c r="J150" s="210" cm="1">
        <f t="array" aca="1" ref="J150" ca="1">IFERROR(INDEX(INDIRECT("'"&amp;$C$100&amp;"'!$J$115:$J$164"), ROWS($J$104:J150)), "")</f>
        <v>0</v>
      </c>
      <c r="K150"/>
      <c r="L150"/>
      <c r="M150"/>
      <c r="N150"/>
      <c r="O150"/>
      <c r="P150"/>
    </row>
    <row r="151" spans="1:16">
      <c r="A151" s="163">
        <v>48</v>
      </c>
      <c r="B151" s="424" cm="1">
        <f t="array" aca="1" ref="B151" ca="1">IFERROR(
  INDEX(INDIRECT("'"&amp;$C$100&amp;"'!$B$115:$J$164"),
        ROWS($B$104:B151),
        COLUMNS($B$104:B151)
  ),
  ""
)</f>
        <v>0</v>
      </c>
      <c r="C151" s="424"/>
      <c r="D151" s="424"/>
      <c r="E151" s="424"/>
      <c r="F151" s="424"/>
      <c r="G151" s="23" cm="1">
        <f t="array" aca="1" ref="G151" ca="1">IFERROR(INDEX(INDIRECT("'"&amp;$C$100&amp;"'!$G$115:$G$164"), ROWS($G$104:G151)), "")</f>
        <v>0</v>
      </c>
      <c r="H151" s="23" cm="1">
        <f t="array" aca="1" ref="H151" ca="1">IFERROR(INDEX(INDIRECT("'"&amp;$C$100&amp;"'!$H$115:$H$164"), ROWS($H$104:H151)), "")</f>
        <v>0</v>
      </c>
      <c r="I151" s="23" cm="1">
        <f t="array" aca="1" ref="I151" ca="1">IFERROR(INDEX(INDIRECT("'"&amp;$C$100&amp;"'!$I$115:$I$164"), ROWS($I$104:I151)), "")</f>
        <v>0</v>
      </c>
      <c r="J151" s="210" cm="1">
        <f t="array" aca="1" ref="J151" ca="1">IFERROR(INDEX(INDIRECT("'"&amp;$C$100&amp;"'!$J$115:$J$164"), ROWS($J$104:J151)), "")</f>
        <v>0</v>
      </c>
      <c r="K151"/>
      <c r="L151"/>
      <c r="M151"/>
      <c r="N151"/>
      <c r="O151"/>
      <c r="P151"/>
    </row>
    <row r="152" spans="1:16">
      <c r="A152" s="163">
        <v>49</v>
      </c>
      <c r="B152" s="424" cm="1">
        <f t="array" aca="1" ref="B152" ca="1">IFERROR(
  INDEX(INDIRECT("'"&amp;$C$100&amp;"'!$B$115:$J$164"),
        ROWS($B$104:B152),
        COLUMNS($B$104:B152)
  ),
  ""
)</f>
        <v>0</v>
      </c>
      <c r="C152" s="424"/>
      <c r="D152" s="424"/>
      <c r="E152" s="424"/>
      <c r="F152" s="424"/>
      <c r="G152" s="23" cm="1">
        <f t="array" aca="1" ref="G152" ca="1">IFERROR(INDEX(INDIRECT("'"&amp;$C$100&amp;"'!$G$115:$G$164"), ROWS($G$104:G152)), "")</f>
        <v>0</v>
      </c>
      <c r="H152" s="23" cm="1">
        <f t="array" aca="1" ref="H152" ca="1">IFERROR(INDEX(INDIRECT("'"&amp;$C$100&amp;"'!$H$115:$H$164"), ROWS($H$104:H152)), "")</f>
        <v>0</v>
      </c>
      <c r="I152" s="23" cm="1">
        <f t="array" aca="1" ref="I152" ca="1">IFERROR(INDEX(INDIRECT("'"&amp;$C$100&amp;"'!$I$115:$I$164"), ROWS($I$104:I152)), "")</f>
        <v>0</v>
      </c>
      <c r="J152" s="210" cm="1">
        <f t="array" aca="1" ref="J152" ca="1">IFERROR(INDEX(INDIRECT("'"&amp;$C$100&amp;"'!$J$115:$J$164"), ROWS($J$104:J152)), "")</f>
        <v>0</v>
      </c>
      <c r="K152"/>
      <c r="L152"/>
      <c r="M152"/>
      <c r="N152"/>
      <c r="O152"/>
      <c r="P152"/>
    </row>
    <row r="153" spans="1:16" ht="18.600000000000001" thickBot="1">
      <c r="A153" s="164">
        <v>50</v>
      </c>
      <c r="B153" s="425" cm="1">
        <f t="array" aca="1" ref="B153" ca="1">IFERROR(
  INDEX(INDIRECT("'"&amp;$C$100&amp;"'!$B$115:$J$164"),
        ROWS($B$104:B153),
        COLUMNS($B$104:B153)
  ),
  ""
)</f>
        <v>0</v>
      </c>
      <c r="C153" s="425"/>
      <c r="D153" s="425"/>
      <c r="E153" s="425"/>
      <c r="F153" s="425"/>
      <c r="G153" s="211" cm="1">
        <f t="array" aca="1" ref="G153" ca="1">IFERROR(INDEX(INDIRECT("'"&amp;$C$100&amp;"'!$G$115:$G$164"), ROWS($G$104:G153)), "")</f>
        <v>0</v>
      </c>
      <c r="H153" s="211" cm="1">
        <f t="array" aca="1" ref="H153" ca="1">IFERROR(INDEX(INDIRECT("'"&amp;$C$100&amp;"'!$H$115:$H$164"), ROWS($H$104:H153)), "")</f>
        <v>0</v>
      </c>
      <c r="I153" s="211" cm="1">
        <f t="array" aca="1" ref="I153" ca="1">IFERROR(INDEX(INDIRECT("'"&amp;$C$100&amp;"'!$I$115:$I$164"), ROWS($I$104:I153)), "")</f>
        <v>0</v>
      </c>
      <c r="J153" s="212" cm="1">
        <f t="array" aca="1" ref="J153" ca="1">IFERROR(INDEX(INDIRECT("'"&amp;$C$100&amp;"'!$J$115:$J$164"), ROWS($J$104:J153)), "")</f>
        <v>0</v>
      </c>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sheetData>
  <mergeCells count="52">
    <mergeCell ref="N16:O16"/>
    <mergeCell ref="B103:F103"/>
    <mergeCell ref="B104:F104"/>
    <mergeCell ref="B105:F105"/>
    <mergeCell ref="B106:F106"/>
    <mergeCell ref="B107:F107"/>
    <mergeCell ref="B108:F108"/>
    <mergeCell ref="B109:F109"/>
    <mergeCell ref="B110:F110"/>
    <mergeCell ref="B111:F111"/>
    <mergeCell ref="B112:F112"/>
    <mergeCell ref="B113:F113"/>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32:F132"/>
    <mergeCell ref="B133:F133"/>
    <mergeCell ref="B134:F134"/>
    <mergeCell ref="B135:F135"/>
    <mergeCell ref="B136:F136"/>
    <mergeCell ref="B137:F137"/>
    <mergeCell ref="B138:F138"/>
    <mergeCell ref="B139:F139"/>
    <mergeCell ref="B140:F140"/>
    <mergeCell ref="B141:F141"/>
    <mergeCell ref="B142:F142"/>
    <mergeCell ref="B143:F143"/>
    <mergeCell ref="B144:F144"/>
    <mergeCell ref="B145:F145"/>
    <mergeCell ref="B146:F146"/>
    <mergeCell ref="B152:F152"/>
    <mergeCell ref="B153:F153"/>
    <mergeCell ref="B147:F147"/>
    <mergeCell ref="B148:F148"/>
    <mergeCell ref="B149:F149"/>
    <mergeCell ref="B150:F150"/>
    <mergeCell ref="B151:F151"/>
  </mergeCells>
  <phoneticPr fontId="5"/>
  <conditionalFormatting sqref="I104:I153">
    <cfRule type="cellIs" dxfId="141" priority="4" operator="equal">
      <formula>$K$99</formula>
    </cfRule>
    <cfRule type="cellIs" dxfId="140" priority="5" operator="equal">
      <formula>$J$99</formula>
    </cfRule>
    <cfRule type="cellIs" dxfId="139" priority="6" operator="equal">
      <formula>$I$99</formula>
    </cfRule>
  </conditionalFormatting>
  <conditionalFormatting sqref="J104:J153">
    <cfRule type="cellIs" dxfId="138" priority="1" operator="equal">
      <formula>$P$99</formula>
    </cfRule>
    <cfRule type="cellIs" dxfId="137" priority="2" operator="equal">
      <formula>$O$99</formula>
    </cfRule>
    <cfRule type="cellIs" dxfId="136" priority="3" operator="equal">
      <formula>$N$99</formula>
    </cfRule>
  </conditionalFormatting>
  <dataValidations count="2">
    <dataValidation type="list" allowBlank="1" showInputMessage="1" showErrorMessage="1" sqref="I104:I153" xr:uid="{135D279A-40CA-41C4-BBD1-0A9751FB93C6}">
      <formula1>$I$99:$K$99</formula1>
    </dataValidation>
    <dataValidation type="list" allowBlank="1" showInputMessage="1" showErrorMessage="1" sqref="J104:J153" xr:uid="{D66DED79-03C5-47A2-84A4-06A840C491DD}">
      <formula1>$N$99:$P$99</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4C7A4-543C-494B-935F-2CE37E0412CA}">
  <sheetPr>
    <tabColor theme="6" tint="0.39997558519241921"/>
  </sheetPr>
  <dimension ref="A1:U439"/>
  <sheetViews>
    <sheetView workbookViewId="0">
      <selection activeCell="A2" sqref="A2"/>
    </sheetView>
  </sheetViews>
  <sheetFormatPr defaultRowHeight="18"/>
  <cols>
    <col min="1" max="1" width="15.69921875" customWidth="1"/>
  </cols>
  <sheetData>
    <row r="1" spans="1:21" ht="40.950000000000003" customHeight="1" thickBot="1">
      <c r="A1" s="367" t="s">
        <v>329</v>
      </c>
      <c r="B1" s="368"/>
      <c r="C1" s="368"/>
      <c r="D1" s="35" t="s">
        <v>360</v>
      </c>
      <c r="E1" s="368"/>
      <c r="F1" s="368"/>
      <c r="G1" s="368"/>
      <c r="H1" s="368"/>
      <c r="I1" s="366" t="s">
        <v>108</v>
      </c>
      <c r="J1" s="364"/>
      <c r="K1" s="365"/>
      <c r="L1" s="369"/>
      <c r="M1" s="369"/>
      <c r="N1" s="369"/>
      <c r="O1" s="369"/>
      <c r="P1" s="369"/>
      <c r="Q1" s="369"/>
      <c r="R1" s="369"/>
      <c r="S1" s="369"/>
      <c r="T1" s="370"/>
      <c r="U1" s="8"/>
    </row>
    <row r="2" spans="1:21">
      <c r="A2" s="362"/>
      <c r="B2" s="362"/>
      <c r="C2" s="362"/>
      <c r="D2" s="362"/>
      <c r="E2" s="362"/>
      <c r="F2" s="362"/>
      <c r="G2" s="362"/>
      <c r="H2" s="362"/>
      <c r="I2" s="362"/>
      <c r="J2" s="362"/>
      <c r="K2" s="362"/>
      <c r="L2" s="362"/>
      <c r="M2" s="362"/>
      <c r="N2" s="362"/>
      <c r="O2" s="362"/>
      <c r="P2" s="362"/>
      <c r="Q2" s="362"/>
      <c r="R2" s="362"/>
      <c r="S2" s="362"/>
      <c r="T2" s="362"/>
      <c r="U2" s="362"/>
    </row>
    <row r="3" spans="1:21">
      <c r="A3" s="363" t="s">
        <v>361</v>
      </c>
      <c r="B3" s="362"/>
      <c r="C3" s="362"/>
      <c r="D3" s="362"/>
      <c r="E3" s="362"/>
      <c r="F3" s="362"/>
      <c r="G3" s="362"/>
      <c r="H3" s="362"/>
      <c r="I3" s="362"/>
      <c r="J3" s="362"/>
      <c r="K3" s="362"/>
      <c r="L3" s="362"/>
      <c r="M3" s="362"/>
      <c r="N3" s="362"/>
      <c r="O3" s="362"/>
      <c r="P3" s="362"/>
      <c r="Q3" s="362"/>
      <c r="R3" s="362"/>
      <c r="S3" s="362"/>
      <c r="T3" s="362"/>
      <c r="U3" s="362"/>
    </row>
    <row r="4" spans="1:21">
      <c r="A4" s="363" t="s">
        <v>358</v>
      </c>
      <c r="B4" s="362"/>
      <c r="C4" s="362"/>
      <c r="D4" s="362"/>
      <c r="E4" s="362"/>
      <c r="F4" s="362"/>
      <c r="G4" s="362"/>
      <c r="H4" s="362"/>
      <c r="I4" s="362"/>
      <c r="J4" s="362"/>
      <c r="K4" s="362"/>
      <c r="L4" s="362"/>
      <c r="M4" s="362"/>
      <c r="N4" s="362"/>
      <c r="O4" s="362"/>
      <c r="P4" s="362"/>
      <c r="Q4" s="362"/>
      <c r="R4" s="362"/>
      <c r="S4" s="362"/>
      <c r="T4" s="362"/>
      <c r="U4" s="362"/>
    </row>
    <row r="5" spans="1:21">
      <c r="A5" s="335" t="s">
        <v>333</v>
      </c>
      <c r="B5" s="362"/>
      <c r="C5" s="362"/>
      <c r="D5" s="362"/>
      <c r="E5" s="362"/>
      <c r="F5" s="362"/>
      <c r="G5" s="362"/>
      <c r="H5" s="362"/>
      <c r="I5" s="362"/>
      <c r="J5" s="362"/>
      <c r="K5" s="362"/>
      <c r="L5" s="362"/>
      <c r="M5" s="362"/>
      <c r="N5" s="362"/>
      <c r="O5" s="362"/>
      <c r="P5" s="362"/>
      <c r="Q5" s="362"/>
      <c r="R5" s="362"/>
      <c r="S5" s="362"/>
      <c r="T5" s="362"/>
      <c r="U5" s="362"/>
    </row>
    <row r="6" spans="1:21">
      <c r="A6" s="362"/>
      <c r="B6" s="362"/>
      <c r="C6" s="362"/>
      <c r="D6" s="362"/>
      <c r="E6" s="362"/>
      <c r="F6" s="362"/>
      <c r="G6" s="362"/>
      <c r="H6" s="362"/>
      <c r="I6" s="362"/>
      <c r="J6" s="362"/>
      <c r="K6" s="362"/>
      <c r="L6" s="362"/>
      <c r="M6" s="362"/>
      <c r="N6" s="362"/>
      <c r="O6" s="362"/>
      <c r="P6" s="362"/>
      <c r="Q6" s="362"/>
      <c r="R6" s="362"/>
      <c r="S6" s="362"/>
      <c r="T6" s="362"/>
      <c r="U6" s="362"/>
    </row>
    <row r="7" spans="1:21">
      <c r="A7" s="362"/>
      <c r="B7" s="362"/>
      <c r="C7" s="362"/>
      <c r="D7" s="362"/>
      <c r="E7" s="362"/>
      <c r="F7" s="362"/>
      <c r="G7" s="362"/>
      <c r="H7" s="362"/>
      <c r="I7" s="362"/>
      <c r="J7" s="362"/>
      <c r="K7" s="362"/>
      <c r="L7" s="362"/>
      <c r="M7" s="362"/>
      <c r="N7" s="362"/>
      <c r="O7" s="362"/>
      <c r="P7" s="362"/>
      <c r="Q7" s="362"/>
      <c r="R7" s="362"/>
      <c r="S7" s="362"/>
      <c r="T7" s="362"/>
      <c r="U7" s="362"/>
    </row>
    <row r="8" spans="1:21">
      <c r="A8" s="362"/>
      <c r="B8" s="362"/>
      <c r="C8" s="362"/>
      <c r="D8" s="362"/>
      <c r="E8" s="362"/>
      <c r="F8" s="362"/>
      <c r="G8" s="362"/>
      <c r="H8" s="362"/>
      <c r="I8" s="362"/>
      <c r="J8" s="362"/>
      <c r="K8" s="362"/>
      <c r="L8" s="362"/>
      <c r="M8" s="362"/>
      <c r="N8" s="362"/>
      <c r="O8" s="362"/>
      <c r="P8" s="362"/>
      <c r="Q8" s="362"/>
      <c r="R8" s="362"/>
      <c r="S8" s="362"/>
      <c r="T8" s="362"/>
      <c r="U8" s="362"/>
    </row>
    <row r="9" spans="1:21">
      <c r="A9" s="362"/>
      <c r="B9" s="362"/>
      <c r="C9" s="362"/>
      <c r="D9" s="362"/>
      <c r="E9" s="362"/>
      <c r="F9" s="362"/>
      <c r="G9" s="362"/>
      <c r="H9" s="362"/>
      <c r="I9" s="362"/>
      <c r="J9" s="362"/>
      <c r="K9" s="362"/>
      <c r="L9" s="362"/>
      <c r="M9" s="362"/>
      <c r="N9" s="362"/>
      <c r="O9" s="362"/>
      <c r="P9" s="362"/>
      <c r="Q9" s="362"/>
      <c r="R9" s="362"/>
      <c r="S9" s="362"/>
      <c r="T9" s="362"/>
      <c r="U9" s="362"/>
    </row>
    <row r="10" spans="1:21">
      <c r="A10" s="362"/>
      <c r="B10" s="362"/>
      <c r="C10" s="362"/>
      <c r="D10" s="362"/>
      <c r="E10" s="362"/>
      <c r="F10" s="362"/>
      <c r="G10" s="362"/>
      <c r="H10" s="362"/>
      <c r="I10" s="362"/>
      <c r="J10" s="362"/>
      <c r="K10" s="362"/>
      <c r="L10" s="362"/>
      <c r="M10" s="362"/>
      <c r="N10" s="362"/>
      <c r="O10" s="362"/>
      <c r="P10" s="362"/>
      <c r="Q10" s="362"/>
      <c r="R10" s="362"/>
      <c r="S10" s="362"/>
      <c r="T10" s="362"/>
      <c r="U10" s="362"/>
    </row>
    <row r="11" spans="1:21">
      <c r="A11" s="362"/>
      <c r="B11" s="362"/>
      <c r="C11" s="362"/>
      <c r="D11" s="362"/>
      <c r="E11" s="362"/>
      <c r="F11" s="362"/>
      <c r="G11" s="362"/>
      <c r="H11" s="362"/>
      <c r="I11" s="362"/>
      <c r="J11" s="362"/>
      <c r="K11" s="362"/>
      <c r="L11" s="362"/>
      <c r="M11" s="362"/>
      <c r="N11" s="362"/>
      <c r="O11" s="362"/>
      <c r="P11" s="362"/>
      <c r="Q11" s="362"/>
      <c r="R11" s="362"/>
      <c r="S11" s="362"/>
      <c r="T11" s="362"/>
      <c r="U11" s="362"/>
    </row>
    <row r="12" spans="1:21">
      <c r="A12" s="362"/>
      <c r="B12" s="362"/>
      <c r="C12" s="362"/>
      <c r="D12" s="362"/>
      <c r="E12" s="362"/>
      <c r="F12" s="362"/>
      <c r="G12" s="362"/>
      <c r="H12" s="362"/>
      <c r="I12" s="362"/>
      <c r="J12" s="362"/>
      <c r="K12" s="362"/>
      <c r="L12" s="362"/>
      <c r="M12" s="362"/>
      <c r="N12" s="362"/>
      <c r="O12" s="362"/>
      <c r="P12" s="362"/>
      <c r="Q12" s="362"/>
      <c r="R12" s="362"/>
      <c r="S12" s="362"/>
      <c r="T12" s="362"/>
      <c r="U12" s="362"/>
    </row>
    <row r="13" spans="1:21">
      <c r="A13" s="362"/>
      <c r="B13" s="362"/>
      <c r="C13" s="362"/>
      <c r="D13" s="362"/>
      <c r="E13" s="362"/>
      <c r="F13" s="362"/>
      <c r="G13" s="362"/>
      <c r="H13" s="362"/>
      <c r="I13" s="362"/>
      <c r="J13" s="362"/>
      <c r="K13" s="362"/>
      <c r="L13" s="362"/>
      <c r="M13" s="362"/>
      <c r="N13" s="362"/>
      <c r="O13" s="362"/>
      <c r="P13" s="362"/>
      <c r="Q13" s="362"/>
      <c r="R13" s="362"/>
      <c r="S13" s="362"/>
      <c r="T13" s="362"/>
      <c r="U13" s="362"/>
    </row>
    <row r="14" spans="1:21">
      <c r="A14" s="362"/>
      <c r="B14" s="362"/>
      <c r="C14" s="362"/>
      <c r="D14" s="362"/>
      <c r="E14" s="362"/>
      <c r="F14" s="362"/>
      <c r="G14" s="362"/>
      <c r="H14" s="362"/>
      <c r="I14" s="362"/>
      <c r="J14" s="362"/>
      <c r="K14" s="362"/>
      <c r="L14" s="362"/>
      <c r="M14" s="362"/>
      <c r="N14" s="362"/>
      <c r="O14" s="362"/>
      <c r="P14" s="362"/>
      <c r="Q14" s="362"/>
      <c r="R14" s="362"/>
      <c r="S14" s="362"/>
      <c r="T14" s="362"/>
      <c r="U14" s="362"/>
    </row>
    <row r="15" spans="1:21">
      <c r="A15" s="362"/>
      <c r="B15" s="362"/>
      <c r="C15" s="362"/>
      <c r="D15" s="362"/>
      <c r="E15" s="362"/>
      <c r="F15" s="362"/>
      <c r="G15" s="362"/>
      <c r="H15" s="362"/>
      <c r="I15" s="362"/>
      <c r="J15" s="362"/>
      <c r="K15" s="362"/>
      <c r="L15" s="362"/>
      <c r="M15" s="362"/>
      <c r="N15" s="362"/>
      <c r="O15" s="362"/>
      <c r="P15" s="362"/>
      <c r="Q15" s="362"/>
      <c r="R15" s="362"/>
      <c r="S15" s="362"/>
      <c r="T15" s="362"/>
      <c r="U15" s="362"/>
    </row>
    <row r="16" spans="1:21">
      <c r="A16" s="362"/>
      <c r="B16" s="362"/>
      <c r="C16" s="362"/>
      <c r="D16" s="362"/>
      <c r="E16" s="362"/>
      <c r="F16" s="362"/>
      <c r="G16" s="362"/>
      <c r="H16" s="362"/>
      <c r="I16" s="362"/>
      <c r="J16" s="362"/>
      <c r="K16" s="362"/>
      <c r="L16" s="362"/>
      <c r="M16" s="362"/>
      <c r="N16" s="362"/>
      <c r="O16" s="362"/>
      <c r="P16" s="362"/>
      <c r="Q16" s="362"/>
      <c r="R16" s="362"/>
      <c r="S16" s="362"/>
      <c r="T16" s="362"/>
      <c r="U16" s="362"/>
    </row>
    <row r="17" spans="1:21">
      <c r="A17" s="362"/>
      <c r="B17" s="362"/>
      <c r="C17" s="362"/>
      <c r="D17" s="362"/>
      <c r="E17" s="362"/>
      <c r="F17" s="362"/>
      <c r="G17" s="362"/>
      <c r="H17" s="362"/>
      <c r="I17" s="362"/>
      <c r="J17" s="362"/>
      <c r="K17" s="362"/>
      <c r="L17" s="362"/>
      <c r="M17" s="362"/>
      <c r="N17" s="362"/>
      <c r="O17" s="362"/>
      <c r="P17" s="362"/>
      <c r="Q17" s="362"/>
      <c r="R17" s="362"/>
      <c r="S17" s="362"/>
      <c r="T17" s="362"/>
      <c r="U17" s="362"/>
    </row>
    <row r="18" spans="1:21">
      <c r="A18" s="362"/>
      <c r="B18" s="362"/>
      <c r="C18" s="362"/>
      <c r="D18" s="362"/>
      <c r="E18" s="362"/>
      <c r="F18" s="362"/>
      <c r="G18" s="362"/>
      <c r="H18" s="362"/>
      <c r="I18" s="362"/>
      <c r="J18" s="362"/>
      <c r="K18" s="362"/>
      <c r="L18" s="362"/>
      <c r="M18" s="362"/>
      <c r="N18" s="362"/>
      <c r="O18" s="362"/>
      <c r="P18" s="362"/>
      <c r="Q18" s="362"/>
      <c r="R18" s="362"/>
      <c r="S18" s="362"/>
      <c r="T18" s="362"/>
      <c r="U18" s="362"/>
    </row>
    <row r="19" spans="1:21">
      <c r="A19" s="362"/>
      <c r="B19" s="362"/>
      <c r="C19" s="362"/>
      <c r="D19" s="362"/>
      <c r="E19" s="362"/>
      <c r="F19" s="362"/>
      <c r="G19" s="362"/>
      <c r="H19" s="362"/>
      <c r="I19" s="362"/>
      <c r="J19" s="362"/>
      <c r="K19" s="362"/>
      <c r="L19" s="362"/>
      <c r="M19" s="362"/>
      <c r="N19" s="362"/>
      <c r="O19" s="362"/>
      <c r="P19" s="362"/>
      <c r="Q19" s="362"/>
      <c r="R19" s="362"/>
      <c r="S19" s="362"/>
      <c r="T19" s="362"/>
      <c r="U19" s="362"/>
    </row>
    <row r="20" spans="1:21">
      <c r="A20" s="362"/>
      <c r="B20" s="362"/>
      <c r="C20" s="362"/>
      <c r="D20" s="362"/>
      <c r="E20" s="362"/>
      <c r="F20" s="362"/>
      <c r="G20" s="362"/>
      <c r="H20" s="362"/>
      <c r="I20" s="362"/>
      <c r="J20" s="362"/>
      <c r="K20" s="362"/>
      <c r="L20" s="362"/>
      <c r="M20" s="362"/>
      <c r="N20" s="362"/>
      <c r="O20" s="362"/>
      <c r="P20" s="362"/>
      <c r="Q20" s="362"/>
      <c r="R20" s="362"/>
      <c r="S20" s="362"/>
      <c r="T20" s="362"/>
      <c r="U20" s="362"/>
    </row>
    <row r="21" spans="1:21">
      <c r="A21" s="362"/>
      <c r="B21" s="362"/>
      <c r="C21" s="362"/>
      <c r="D21" s="362"/>
      <c r="E21" s="362"/>
      <c r="F21" s="362"/>
      <c r="G21" s="362"/>
      <c r="H21" s="362"/>
      <c r="I21" s="362"/>
      <c r="J21" s="362"/>
      <c r="K21" s="362"/>
      <c r="L21" s="362"/>
      <c r="M21" s="362"/>
      <c r="N21" s="362"/>
      <c r="O21" s="362"/>
      <c r="P21" s="362"/>
      <c r="Q21" s="362"/>
      <c r="R21" s="362"/>
      <c r="S21" s="362"/>
      <c r="T21" s="362"/>
      <c r="U21" s="362"/>
    </row>
    <row r="22" spans="1:21">
      <c r="A22" s="362"/>
      <c r="B22" s="362"/>
      <c r="C22" s="362"/>
      <c r="D22" s="362"/>
      <c r="E22" s="362"/>
      <c r="F22" s="362"/>
      <c r="G22" s="362"/>
      <c r="H22" s="362"/>
      <c r="I22" s="362"/>
      <c r="J22" s="362"/>
      <c r="K22" s="362"/>
      <c r="L22" s="362"/>
      <c r="M22" s="362"/>
      <c r="N22" s="362"/>
      <c r="O22" s="362"/>
      <c r="P22" s="362"/>
      <c r="Q22" s="362"/>
      <c r="R22" s="362"/>
      <c r="S22" s="362"/>
      <c r="T22" s="362"/>
      <c r="U22" s="362"/>
    </row>
    <row r="23" spans="1:21">
      <c r="A23" s="362"/>
      <c r="B23" s="362"/>
      <c r="C23" s="362"/>
      <c r="D23" s="362"/>
      <c r="E23" s="362"/>
      <c r="F23" s="362"/>
      <c r="G23" s="362"/>
      <c r="H23" s="362"/>
      <c r="I23" s="362"/>
      <c r="J23" s="362"/>
      <c r="K23" s="362"/>
      <c r="L23" s="362"/>
      <c r="M23" s="362"/>
      <c r="N23" s="362"/>
      <c r="O23" s="362"/>
      <c r="P23" s="362"/>
      <c r="Q23" s="362"/>
      <c r="R23" s="362"/>
      <c r="S23" s="362"/>
      <c r="T23" s="362"/>
      <c r="U23" s="362"/>
    </row>
    <row r="24" spans="1:21">
      <c r="A24" s="362"/>
      <c r="B24" s="362"/>
      <c r="C24" s="362"/>
      <c r="D24" s="362"/>
      <c r="E24" s="362"/>
      <c r="F24" s="362"/>
      <c r="G24" s="362"/>
      <c r="H24" s="362"/>
      <c r="I24" s="362"/>
      <c r="J24" s="362"/>
      <c r="K24" s="362"/>
      <c r="L24" s="362"/>
      <c r="M24" s="362"/>
      <c r="N24" s="362"/>
      <c r="O24" s="362"/>
      <c r="P24" s="362"/>
      <c r="Q24" s="362"/>
      <c r="R24" s="362"/>
      <c r="S24" s="362"/>
      <c r="T24" s="362"/>
      <c r="U24" s="362"/>
    </row>
    <row r="25" spans="1:21">
      <c r="A25" s="362"/>
      <c r="B25" s="362"/>
      <c r="C25" s="362"/>
      <c r="D25" s="362"/>
      <c r="E25" s="362"/>
      <c r="F25" s="362"/>
      <c r="G25" s="362"/>
      <c r="H25" s="362"/>
      <c r="I25" s="362"/>
      <c r="J25" s="362"/>
      <c r="K25" s="362"/>
      <c r="L25" s="362"/>
      <c r="M25" s="362"/>
      <c r="N25" s="362"/>
      <c r="O25" s="362"/>
      <c r="P25" s="362"/>
      <c r="Q25" s="362"/>
      <c r="R25" s="362"/>
      <c r="S25" s="362"/>
      <c r="T25" s="362"/>
      <c r="U25" s="362"/>
    </row>
    <row r="26" spans="1:21">
      <c r="A26" s="362"/>
      <c r="B26" s="362"/>
      <c r="C26" s="362"/>
      <c r="D26" s="362"/>
      <c r="E26" s="362"/>
      <c r="F26" s="362"/>
      <c r="G26" s="362"/>
      <c r="H26" s="362"/>
      <c r="I26" s="362"/>
      <c r="J26" s="362"/>
      <c r="K26" s="362"/>
      <c r="L26" s="362"/>
      <c r="M26" s="362"/>
      <c r="N26" s="362"/>
      <c r="O26" s="362"/>
      <c r="P26" s="362"/>
      <c r="Q26" s="362"/>
      <c r="R26" s="362"/>
      <c r="S26" s="362"/>
      <c r="T26" s="362"/>
      <c r="U26" s="362"/>
    </row>
    <row r="27" spans="1:21" ht="18.600000000000001" thickBot="1">
      <c r="A27" s="335" t="s">
        <v>328</v>
      </c>
      <c r="B27" s="362"/>
      <c r="C27" s="362"/>
      <c r="D27" s="362"/>
      <c r="E27" s="362"/>
      <c r="F27" s="362"/>
      <c r="G27" s="362"/>
      <c r="H27" s="362"/>
      <c r="I27" s="362"/>
      <c r="J27" s="362"/>
      <c r="K27" s="362"/>
      <c r="L27" s="362"/>
      <c r="M27" s="362"/>
      <c r="N27" s="362"/>
      <c r="O27" s="362"/>
      <c r="P27" s="362"/>
      <c r="Q27" s="362"/>
      <c r="R27" s="362"/>
      <c r="S27" s="362"/>
      <c r="T27" s="362"/>
      <c r="U27" s="362"/>
    </row>
    <row r="28" spans="1:21" ht="40.950000000000003" customHeight="1" thickBot="1">
      <c r="A28" s="383" t="s">
        <v>330</v>
      </c>
      <c r="B28" s="384"/>
      <c r="C28" s="384"/>
      <c r="D28" s="384"/>
      <c r="E28" s="384"/>
      <c r="F28" s="384"/>
      <c r="G28" s="384"/>
      <c r="H28" s="384"/>
      <c r="I28" s="385" t="s">
        <v>108</v>
      </c>
      <c r="J28" s="386"/>
      <c r="K28" s="387"/>
      <c r="L28" s="388"/>
      <c r="M28" s="388"/>
      <c r="N28" s="388"/>
      <c r="O28" s="388"/>
      <c r="P28" s="388"/>
      <c r="Q28" s="388"/>
      <c r="R28" s="388"/>
      <c r="S28" s="388"/>
      <c r="T28" s="388"/>
      <c r="U28" s="389"/>
    </row>
    <row r="30" spans="1:21">
      <c r="A30" s="239" t="s">
        <v>359</v>
      </c>
    </row>
    <row r="31" spans="1:21" ht="18.600000000000001" thickBot="1">
      <c r="A31" s="2" t="s">
        <v>334</v>
      </c>
    </row>
    <row r="32" spans="1:21" ht="18.600000000000001" thickBot="1">
      <c r="A32" s="397" t="s">
        <v>135</v>
      </c>
      <c r="B32" s="398" t="s">
        <v>113</v>
      </c>
      <c r="C32" s="399" t="s">
        <v>148</v>
      </c>
      <c r="D32" s="400" t="s">
        <v>147</v>
      </c>
      <c r="E32" s="400" t="s">
        <v>149</v>
      </c>
      <c r="F32" s="400" t="s">
        <v>150</v>
      </c>
      <c r="G32" s="400" t="s">
        <v>151</v>
      </c>
      <c r="H32" s="400" t="s">
        <v>152</v>
      </c>
      <c r="I32" s="434" t="s">
        <v>134</v>
      </c>
      <c r="J32" s="434"/>
      <c r="K32" s="434"/>
      <c r="L32" s="435"/>
      <c r="N32" s="390" t="s">
        <v>335</v>
      </c>
    </row>
    <row r="33" spans="1:20">
      <c r="A33" s="395"/>
      <c r="B33" s="396"/>
      <c r="C33" s="396"/>
      <c r="D33" s="396"/>
      <c r="E33" s="396"/>
      <c r="F33" s="396"/>
      <c r="G33" s="396"/>
      <c r="H33" s="396"/>
      <c r="I33" s="436"/>
      <c r="J33" s="436"/>
      <c r="K33" s="436"/>
      <c r="L33" s="437"/>
      <c r="N33" s="401" t="s">
        <v>334</v>
      </c>
    </row>
    <row r="34" spans="1:20">
      <c r="A34" s="392"/>
      <c r="B34" s="391"/>
      <c r="C34" s="391"/>
      <c r="D34" s="391"/>
      <c r="E34" s="391"/>
      <c r="F34" s="391"/>
      <c r="G34" s="391"/>
      <c r="H34" s="391"/>
      <c r="I34" s="430"/>
      <c r="J34" s="430"/>
      <c r="K34" s="430"/>
      <c r="L34" s="431"/>
      <c r="N34" s="401" t="s">
        <v>336</v>
      </c>
    </row>
    <row r="35" spans="1:20">
      <c r="A35" s="392"/>
      <c r="B35" s="391"/>
      <c r="C35" s="391"/>
      <c r="D35" s="391"/>
      <c r="E35" s="391"/>
      <c r="F35" s="391"/>
      <c r="G35" s="391"/>
      <c r="H35" s="391"/>
      <c r="I35" s="430"/>
      <c r="J35" s="430"/>
      <c r="K35" s="430"/>
      <c r="L35" s="431"/>
      <c r="N35" s="401" t="s">
        <v>338</v>
      </c>
    </row>
    <row r="36" spans="1:20">
      <c r="A36" s="392"/>
      <c r="B36" s="391"/>
      <c r="C36" s="391"/>
      <c r="D36" s="391"/>
      <c r="E36" s="391"/>
      <c r="F36" s="391"/>
      <c r="G36" s="391"/>
      <c r="H36" s="391"/>
      <c r="I36" s="430"/>
      <c r="J36" s="430"/>
      <c r="K36" s="430"/>
      <c r="L36" s="431"/>
      <c r="N36" s="401" t="s">
        <v>340</v>
      </c>
    </row>
    <row r="37" spans="1:20">
      <c r="A37" s="392"/>
      <c r="B37" s="391"/>
      <c r="C37" s="391"/>
      <c r="D37" s="391"/>
      <c r="E37" s="391"/>
      <c r="F37" s="391"/>
      <c r="G37" s="391"/>
      <c r="H37" s="391"/>
      <c r="I37" s="430"/>
      <c r="J37" s="430"/>
      <c r="K37" s="430"/>
      <c r="L37" s="431"/>
      <c r="N37" s="401" t="s">
        <v>341</v>
      </c>
    </row>
    <row r="38" spans="1:20">
      <c r="A38" s="392"/>
      <c r="B38" s="391"/>
      <c r="C38" s="391"/>
      <c r="D38" s="391"/>
      <c r="E38" s="391"/>
      <c r="F38" s="391"/>
      <c r="G38" s="391"/>
      <c r="H38" s="391"/>
      <c r="I38" s="430"/>
      <c r="J38" s="430"/>
      <c r="K38" s="430"/>
      <c r="L38" s="431"/>
      <c r="N38" s="401" t="s">
        <v>342</v>
      </c>
    </row>
    <row r="39" spans="1:20">
      <c r="A39" s="392"/>
      <c r="B39" s="391"/>
      <c r="C39" s="391"/>
      <c r="D39" s="391"/>
      <c r="E39" s="391"/>
      <c r="F39" s="391"/>
      <c r="G39" s="391"/>
      <c r="H39" s="391"/>
      <c r="I39" s="430"/>
      <c r="J39" s="430"/>
      <c r="K39" s="430"/>
      <c r="L39" s="431"/>
      <c r="N39" s="401" t="s">
        <v>343</v>
      </c>
    </row>
    <row r="40" spans="1:20">
      <c r="A40" s="392"/>
      <c r="B40" s="391"/>
      <c r="C40" s="391"/>
      <c r="D40" s="391"/>
      <c r="E40" s="391"/>
      <c r="F40" s="391"/>
      <c r="G40" s="391"/>
      <c r="H40" s="391"/>
      <c r="I40" s="430"/>
      <c r="J40" s="430"/>
      <c r="K40" s="430"/>
      <c r="L40" s="431"/>
      <c r="N40" s="401" t="s">
        <v>344</v>
      </c>
    </row>
    <row r="41" spans="1:20">
      <c r="A41" s="392"/>
      <c r="B41" s="391"/>
      <c r="C41" s="391"/>
      <c r="D41" s="391"/>
      <c r="E41" s="391"/>
      <c r="F41" s="391"/>
      <c r="G41" s="391"/>
      <c r="H41" s="391"/>
      <c r="I41" s="430"/>
      <c r="J41" s="430"/>
      <c r="K41" s="430"/>
      <c r="L41" s="431"/>
      <c r="N41" s="401" t="s">
        <v>345</v>
      </c>
    </row>
    <row r="42" spans="1:20">
      <c r="A42" s="392"/>
      <c r="B42" s="391"/>
      <c r="C42" s="391"/>
      <c r="D42" s="391"/>
      <c r="E42" s="391"/>
      <c r="F42" s="391"/>
      <c r="G42" s="391"/>
      <c r="H42" s="391"/>
      <c r="I42" s="430"/>
      <c r="J42" s="430"/>
      <c r="K42" s="430"/>
      <c r="L42" s="431"/>
      <c r="N42" s="401" t="s">
        <v>346</v>
      </c>
    </row>
    <row r="43" spans="1:20">
      <c r="A43" s="392"/>
      <c r="B43" s="391"/>
      <c r="C43" s="391"/>
      <c r="D43" s="391"/>
      <c r="E43" s="391"/>
      <c r="F43" s="391"/>
      <c r="G43" s="391"/>
      <c r="H43" s="391"/>
      <c r="I43" s="430"/>
      <c r="J43" s="430"/>
      <c r="K43" s="430"/>
      <c r="L43" s="431"/>
      <c r="N43" s="401" t="s">
        <v>347</v>
      </c>
    </row>
    <row r="44" spans="1:20" ht="18.600000000000001" thickBot="1">
      <c r="A44" s="392"/>
      <c r="B44" s="391"/>
      <c r="C44" s="391"/>
      <c r="D44" s="391"/>
      <c r="E44" s="391"/>
      <c r="F44" s="391"/>
      <c r="G44" s="391"/>
      <c r="H44" s="391"/>
      <c r="I44" s="430"/>
      <c r="J44" s="430"/>
      <c r="K44" s="430"/>
      <c r="L44" s="431"/>
      <c r="N44" s="402" t="s">
        <v>348</v>
      </c>
    </row>
    <row r="45" spans="1:20">
      <c r="A45" s="392"/>
      <c r="B45" s="391"/>
      <c r="C45" s="391"/>
      <c r="D45" s="391"/>
      <c r="E45" s="391"/>
      <c r="F45" s="391"/>
      <c r="G45" s="391"/>
      <c r="H45" s="391"/>
      <c r="I45" s="430"/>
      <c r="J45" s="430"/>
      <c r="K45" s="430"/>
      <c r="L45" s="431"/>
    </row>
    <row r="46" spans="1:20">
      <c r="A46" s="392"/>
      <c r="B46" s="391"/>
      <c r="C46" s="391"/>
      <c r="D46" s="391"/>
      <c r="E46" s="391"/>
      <c r="F46" s="391"/>
      <c r="G46" s="391"/>
      <c r="H46" s="391"/>
      <c r="I46" s="430"/>
      <c r="J46" s="430"/>
      <c r="K46" s="430"/>
      <c r="L46" s="431"/>
    </row>
    <row r="47" spans="1:20">
      <c r="A47" s="392"/>
      <c r="B47" s="391"/>
      <c r="C47" s="391"/>
      <c r="D47" s="391"/>
      <c r="E47" s="391"/>
      <c r="F47" s="391"/>
      <c r="G47" s="391"/>
      <c r="H47" s="391"/>
      <c r="I47" s="430"/>
      <c r="J47" s="430"/>
      <c r="K47" s="430"/>
      <c r="L47" s="431"/>
      <c r="N47" s="3" t="s">
        <v>365</v>
      </c>
    </row>
    <row r="48" spans="1:20">
      <c r="A48" s="392"/>
      <c r="B48" s="391"/>
      <c r="C48" s="391"/>
      <c r="D48" s="391"/>
      <c r="E48" s="391"/>
      <c r="F48" s="391"/>
      <c r="G48" s="391"/>
      <c r="H48" s="391"/>
      <c r="I48" s="430"/>
      <c r="J48" s="430"/>
      <c r="K48" s="430"/>
      <c r="L48" s="431"/>
      <c r="N48" s="404"/>
      <c r="O48" s="404"/>
      <c r="P48" s="404"/>
      <c r="Q48" s="404"/>
      <c r="R48" s="404"/>
      <c r="S48" s="404"/>
      <c r="T48" s="404"/>
    </row>
    <row r="49" spans="1:20">
      <c r="A49" s="392"/>
      <c r="B49" s="391"/>
      <c r="C49" s="391"/>
      <c r="D49" s="391"/>
      <c r="E49" s="391"/>
      <c r="F49" s="391"/>
      <c r="G49" s="391"/>
      <c r="H49" s="391"/>
      <c r="I49" s="430"/>
      <c r="J49" s="430"/>
      <c r="K49" s="430"/>
      <c r="L49" s="431"/>
      <c r="N49" s="404"/>
      <c r="O49" s="404"/>
      <c r="P49" s="404"/>
      <c r="Q49" s="404"/>
      <c r="R49" s="404"/>
      <c r="S49" s="404"/>
      <c r="T49" s="404"/>
    </row>
    <row r="50" spans="1:20">
      <c r="A50" s="392"/>
      <c r="B50" s="391"/>
      <c r="C50" s="391"/>
      <c r="D50" s="391"/>
      <c r="E50" s="391"/>
      <c r="F50" s="391"/>
      <c r="G50" s="391"/>
      <c r="H50" s="391"/>
      <c r="I50" s="430"/>
      <c r="J50" s="430"/>
      <c r="K50" s="430"/>
      <c r="L50" s="431"/>
      <c r="N50" s="404"/>
      <c r="O50" s="404"/>
      <c r="P50" s="404"/>
      <c r="Q50" s="404"/>
      <c r="R50" s="404"/>
      <c r="S50" s="404"/>
      <c r="T50" s="404"/>
    </row>
    <row r="51" spans="1:20">
      <c r="A51" s="392"/>
      <c r="B51" s="391"/>
      <c r="C51" s="391"/>
      <c r="D51" s="391"/>
      <c r="E51" s="391"/>
      <c r="F51" s="391"/>
      <c r="G51" s="391"/>
      <c r="H51" s="391"/>
      <c r="I51" s="430"/>
      <c r="J51" s="430"/>
      <c r="K51" s="430"/>
      <c r="L51" s="431"/>
      <c r="N51" s="404"/>
      <c r="O51" s="404"/>
      <c r="P51" s="404"/>
      <c r="Q51" s="404"/>
      <c r="R51" s="404"/>
      <c r="S51" s="404"/>
      <c r="T51" s="404"/>
    </row>
    <row r="52" spans="1:20">
      <c r="A52" s="392"/>
      <c r="B52" s="391"/>
      <c r="C52" s="391"/>
      <c r="D52" s="391"/>
      <c r="E52" s="391"/>
      <c r="F52" s="391"/>
      <c r="G52" s="391"/>
      <c r="H52" s="391"/>
      <c r="I52" s="430"/>
      <c r="J52" s="430"/>
      <c r="K52" s="430"/>
      <c r="L52" s="431"/>
      <c r="N52" s="404"/>
      <c r="O52" s="404"/>
      <c r="P52" s="404"/>
      <c r="Q52" s="404"/>
      <c r="R52" s="404"/>
      <c r="S52" s="404"/>
      <c r="T52" s="404"/>
    </row>
    <row r="53" spans="1:20">
      <c r="A53" s="392"/>
      <c r="B53" s="391"/>
      <c r="C53" s="391"/>
      <c r="D53" s="391"/>
      <c r="E53" s="391"/>
      <c r="F53" s="391"/>
      <c r="G53" s="391"/>
      <c r="H53" s="391"/>
      <c r="I53" s="430"/>
      <c r="J53" s="430"/>
      <c r="K53" s="430"/>
      <c r="L53" s="431"/>
      <c r="N53" s="404"/>
      <c r="O53" s="404"/>
      <c r="P53" s="404"/>
      <c r="Q53" s="404"/>
      <c r="R53" s="404"/>
      <c r="S53" s="404"/>
      <c r="T53" s="404"/>
    </row>
    <row r="54" spans="1:20">
      <c r="A54" s="392"/>
      <c r="B54" s="391"/>
      <c r="C54" s="391"/>
      <c r="D54" s="391"/>
      <c r="E54" s="391"/>
      <c r="F54" s="391"/>
      <c r="G54" s="391"/>
      <c r="H54" s="391"/>
      <c r="I54" s="430"/>
      <c r="J54" s="430"/>
      <c r="K54" s="430"/>
      <c r="L54" s="431"/>
      <c r="N54" s="404"/>
      <c r="O54" s="404"/>
      <c r="P54" s="404"/>
      <c r="Q54" s="404"/>
      <c r="R54" s="404"/>
      <c r="S54" s="404"/>
      <c r="T54" s="404"/>
    </row>
    <row r="55" spans="1:20">
      <c r="A55" s="392"/>
      <c r="B55" s="391"/>
      <c r="C55" s="391"/>
      <c r="D55" s="391"/>
      <c r="E55" s="391"/>
      <c r="F55" s="391"/>
      <c r="G55" s="391"/>
      <c r="H55" s="391"/>
      <c r="I55" s="430"/>
      <c r="J55" s="430"/>
      <c r="K55" s="430"/>
      <c r="L55" s="431"/>
      <c r="N55" s="404"/>
      <c r="O55" s="404"/>
      <c r="P55" s="404"/>
      <c r="Q55" s="404"/>
      <c r="R55" s="404"/>
      <c r="S55" s="404"/>
      <c r="T55" s="404"/>
    </row>
    <row r="56" spans="1:20">
      <c r="A56" s="392"/>
      <c r="B56" s="391"/>
      <c r="C56" s="391"/>
      <c r="D56" s="391"/>
      <c r="E56" s="391"/>
      <c r="F56" s="391"/>
      <c r="G56" s="391"/>
      <c r="H56" s="391"/>
      <c r="I56" s="430"/>
      <c r="J56" s="430"/>
      <c r="K56" s="430"/>
      <c r="L56" s="431"/>
      <c r="N56" s="404"/>
      <c r="O56" s="404"/>
      <c r="P56" s="404"/>
      <c r="Q56" s="404"/>
      <c r="R56" s="404"/>
      <c r="S56" s="404"/>
      <c r="T56" s="404"/>
    </row>
    <row r="57" spans="1:20">
      <c r="A57" s="392"/>
      <c r="B57" s="391"/>
      <c r="C57" s="391"/>
      <c r="D57" s="391"/>
      <c r="E57" s="391"/>
      <c r="F57" s="391"/>
      <c r="G57" s="391"/>
      <c r="H57" s="391"/>
      <c r="I57" s="430"/>
      <c r="J57" s="430"/>
      <c r="K57" s="430"/>
      <c r="L57" s="431"/>
      <c r="N57" s="404"/>
      <c r="O57" s="404"/>
      <c r="P57" s="404"/>
      <c r="Q57" s="404"/>
      <c r="R57" s="404"/>
      <c r="S57" s="404"/>
      <c r="T57" s="404"/>
    </row>
    <row r="58" spans="1:20">
      <c r="A58" s="392"/>
      <c r="B58" s="391"/>
      <c r="C58" s="391"/>
      <c r="D58" s="391"/>
      <c r="E58" s="391"/>
      <c r="F58" s="391"/>
      <c r="G58" s="391"/>
      <c r="H58" s="391"/>
      <c r="I58" s="430"/>
      <c r="J58" s="430"/>
      <c r="K58" s="430"/>
      <c r="L58" s="431"/>
      <c r="N58" s="404"/>
      <c r="O58" s="404"/>
      <c r="P58" s="404"/>
      <c r="Q58" s="404"/>
      <c r="R58" s="404"/>
      <c r="S58" s="404"/>
      <c r="T58" s="404"/>
    </row>
    <row r="59" spans="1:20">
      <c r="A59" s="392"/>
      <c r="B59" s="391"/>
      <c r="C59" s="391"/>
      <c r="D59" s="391"/>
      <c r="E59" s="391"/>
      <c r="F59" s="391"/>
      <c r="G59" s="391"/>
      <c r="H59" s="391"/>
      <c r="I59" s="430"/>
      <c r="J59" s="430"/>
      <c r="K59" s="430"/>
      <c r="L59" s="431"/>
      <c r="N59" s="404"/>
      <c r="O59" s="404"/>
      <c r="P59" s="404"/>
      <c r="Q59" s="404"/>
      <c r="R59" s="404"/>
      <c r="S59" s="404"/>
      <c r="T59" s="404"/>
    </row>
    <row r="60" spans="1:20">
      <c r="A60" s="392"/>
      <c r="B60" s="391"/>
      <c r="C60" s="391"/>
      <c r="D60" s="391"/>
      <c r="E60" s="391"/>
      <c r="F60" s="391"/>
      <c r="G60" s="391"/>
      <c r="H60" s="391"/>
      <c r="I60" s="430"/>
      <c r="J60" s="430"/>
      <c r="K60" s="430"/>
      <c r="L60" s="431"/>
      <c r="N60" s="404"/>
      <c r="O60" s="404"/>
      <c r="P60" s="404"/>
      <c r="Q60" s="404"/>
      <c r="R60" s="404"/>
      <c r="S60" s="404"/>
      <c r="T60" s="404"/>
    </row>
    <row r="61" spans="1:20">
      <c r="A61" s="392"/>
      <c r="B61" s="391"/>
      <c r="C61" s="391"/>
      <c r="D61" s="391"/>
      <c r="E61" s="391"/>
      <c r="F61" s="391"/>
      <c r="G61" s="391"/>
      <c r="H61" s="391"/>
      <c r="I61" s="430"/>
      <c r="J61" s="430"/>
      <c r="K61" s="430"/>
      <c r="L61" s="431"/>
      <c r="N61" s="404"/>
      <c r="O61" s="404"/>
      <c r="P61" s="404"/>
      <c r="Q61" s="404"/>
      <c r="R61" s="404"/>
      <c r="S61" s="404"/>
      <c r="T61" s="404"/>
    </row>
    <row r="62" spans="1:20">
      <c r="A62" s="392"/>
      <c r="B62" s="391"/>
      <c r="C62" s="391"/>
      <c r="D62" s="391"/>
      <c r="E62" s="391"/>
      <c r="F62" s="391"/>
      <c r="G62" s="391"/>
      <c r="H62" s="391"/>
      <c r="I62" s="430"/>
      <c r="J62" s="430"/>
      <c r="K62" s="430"/>
      <c r="L62" s="431"/>
      <c r="N62" s="404"/>
      <c r="O62" s="404"/>
      <c r="P62" s="404"/>
      <c r="Q62" s="404"/>
      <c r="R62" s="404"/>
      <c r="S62" s="404"/>
      <c r="T62" s="404"/>
    </row>
    <row r="63" spans="1:20" ht="18.600000000000001" thickBot="1">
      <c r="A63" s="393"/>
      <c r="B63" s="394"/>
      <c r="C63" s="394"/>
      <c r="D63" s="394"/>
      <c r="E63" s="394"/>
      <c r="F63" s="394"/>
      <c r="G63" s="394"/>
      <c r="H63" s="394"/>
      <c r="I63" s="432"/>
      <c r="J63" s="432"/>
      <c r="K63" s="432"/>
      <c r="L63" s="433"/>
      <c r="N63" s="404"/>
      <c r="O63" s="404"/>
      <c r="P63" s="404"/>
      <c r="Q63" s="404"/>
      <c r="R63" s="404"/>
      <c r="S63" s="404"/>
      <c r="T63" s="404"/>
    </row>
    <row r="65" spans="1:14" ht="18.600000000000001" thickBot="1">
      <c r="A65" s="2" t="s">
        <v>337</v>
      </c>
    </row>
    <row r="66" spans="1:14" ht="18.600000000000001" thickBot="1">
      <c r="A66" s="397" t="s">
        <v>135</v>
      </c>
      <c r="B66" s="398" t="s">
        <v>113</v>
      </c>
      <c r="C66" s="399" t="s">
        <v>148</v>
      </c>
      <c r="D66" s="400" t="s">
        <v>147</v>
      </c>
      <c r="E66" s="400" t="s">
        <v>149</v>
      </c>
      <c r="F66" s="400" t="s">
        <v>150</v>
      </c>
      <c r="G66" s="400" t="s">
        <v>151</v>
      </c>
      <c r="H66" s="400" t="s">
        <v>152</v>
      </c>
      <c r="I66" s="434" t="s">
        <v>134</v>
      </c>
      <c r="J66" s="434"/>
      <c r="K66" s="434"/>
      <c r="L66" s="435"/>
      <c r="N66" s="390" t="s">
        <v>335</v>
      </c>
    </row>
    <row r="67" spans="1:14">
      <c r="A67" s="395"/>
      <c r="B67" s="396"/>
      <c r="C67" s="396"/>
      <c r="D67" s="396"/>
      <c r="E67" s="396"/>
      <c r="F67" s="396"/>
      <c r="G67" s="396"/>
      <c r="H67" s="396"/>
      <c r="I67" s="436"/>
      <c r="J67" s="436"/>
      <c r="K67" s="436"/>
      <c r="L67" s="437"/>
      <c r="N67" s="401" t="s">
        <v>334</v>
      </c>
    </row>
    <row r="68" spans="1:14">
      <c r="A68" s="392"/>
      <c r="B68" s="391"/>
      <c r="C68" s="391"/>
      <c r="D68" s="391"/>
      <c r="E68" s="391"/>
      <c r="F68" s="391"/>
      <c r="G68" s="391"/>
      <c r="H68" s="391"/>
      <c r="I68" s="430"/>
      <c r="J68" s="430"/>
      <c r="K68" s="430"/>
      <c r="L68" s="431"/>
      <c r="N68" s="401" t="s">
        <v>336</v>
      </c>
    </row>
    <row r="69" spans="1:14">
      <c r="A69" s="392"/>
      <c r="B69" s="391"/>
      <c r="C69" s="391"/>
      <c r="D69" s="391"/>
      <c r="E69" s="391"/>
      <c r="F69" s="391"/>
      <c r="G69" s="391"/>
      <c r="H69" s="391"/>
      <c r="I69" s="430"/>
      <c r="J69" s="430"/>
      <c r="K69" s="430"/>
      <c r="L69" s="431"/>
      <c r="N69" s="401" t="s">
        <v>338</v>
      </c>
    </row>
    <row r="70" spans="1:14">
      <c r="A70" s="392"/>
      <c r="B70" s="391"/>
      <c r="C70" s="391"/>
      <c r="D70" s="391"/>
      <c r="E70" s="391"/>
      <c r="F70" s="391"/>
      <c r="G70" s="391"/>
      <c r="H70" s="391"/>
      <c r="I70" s="430"/>
      <c r="J70" s="430"/>
      <c r="K70" s="430"/>
      <c r="L70" s="431"/>
      <c r="N70" s="401" t="s">
        <v>340</v>
      </c>
    </row>
    <row r="71" spans="1:14">
      <c r="A71" s="392"/>
      <c r="B71" s="391"/>
      <c r="C71" s="391"/>
      <c r="D71" s="391"/>
      <c r="E71" s="391"/>
      <c r="F71" s="391"/>
      <c r="G71" s="391"/>
      <c r="H71" s="391"/>
      <c r="I71" s="430"/>
      <c r="J71" s="430"/>
      <c r="K71" s="430"/>
      <c r="L71" s="431"/>
      <c r="N71" s="401" t="s">
        <v>341</v>
      </c>
    </row>
    <row r="72" spans="1:14">
      <c r="A72" s="392"/>
      <c r="B72" s="391"/>
      <c r="C72" s="391"/>
      <c r="D72" s="391"/>
      <c r="E72" s="391"/>
      <c r="F72" s="391"/>
      <c r="G72" s="391"/>
      <c r="H72" s="391"/>
      <c r="I72" s="430"/>
      <c r="J72" s="430"/>
      <c r="K72" s="430"/>
      <c r="L72" s="431"/>
      <c r="N72" s="401" t="s">
        <v>342</v>
      </c>
    </row>
    <row r="73" spans="1:14">
      <c r="A73" s="392"/>
      <c r="B73" s="391"/>
      <c r="C73" s="391"/>
      <c r="D73" s="391"/>
      <c r="E73" s="391"/>
      <c r="F73" s="391"/>
      <c r="G73" s="391"/>
      <c r="H73" s="391"/>
      <c r="I73" s="430"/>
      <c r="J73" s="430"/>
      <c r="K73" s="430"/>
      <c r="L73" s="431"/>
      <c r="N73" s="401" t="s">
        <v>343</v>
      </c>
    </row>
    <row r="74" spans="1:14">
      <c r="A74" s="392"/>
      <c r="B74" s="391"/>
      <c r="C74" s="391"/>
      <c r="D74" s="391"/>
      <c r="E74" s="391"/>
      <c r="F74" s="391"/>
      <c r="G74" s="391"/>
      <c r="H74" s="391"/>
      <c r="I74" s="430"/>
      <c r="J74" s="430"/>
      <c r="K74" s="430"/>
      <c r="L74" s="431"/>
      <c r="N74" s="401" t="s">
        <v>344</v>
      </c>
    </row>
    <row r="75" spans="1:14">
      <c r="A75" s="392"/>
      <c r="B75" s="391"/>
      <c r="C75" s="391"/>
      <c r="D75" s="391"/>
      <c r="E75" s="391"/>
      <c r="F75" s="391"/>
      <c r="G75" s="391"/>
      <c r="H75" s="391"/>
      <c r="I75" s="430"/>
      <c r="J75" s="430"/>
      <c r="K75" s="430"/>
      <c r="L75" s="431"/>
      <c r="N75" s="401" t="s">
        <v>345</v>
      </c>
    </row>
    <row r="76" spans="1:14">
      <c r="A76" s="392"/>
      <c r="B76" s="391"/>
      <c r="C76" s="391"/>
      <c r="D76" s="391"/>
      <c r="E76" s="391"/>
      <c r="F76" s="391"/>
      <c r="G76" s="391"/>
      <c r="H76" s="391"/>
      <c r="I76" s="430"/>
      <c r="J76" s="430"/>
      <c r="K76" s="430"/>
      <c r="L76" s="431"/>
      <c r="N76" s="401" t="s">
        <v>346</v>
      </c>
    </row>
    <row r="77" spans="1:14">
      <c r="A77" s="392"/>
      <c r="B77" s="391"/>
      <c r="C77" s="391"/>
      <c r="D77" s="391"/>
      <c r="E77" s="391"/>
      <c r="F77" s="391"/>
      <c r="G77" s="391"/>
      <c r="H77" s="391"/>
      <c r="I77" s="430"/>
      <c r="J77" s="430"/>
      <c r="K77" s="430"/>
      <c r="L77" s="431"/>
      <c r="N77" s="401" t="s">
        <v>347</v>
      </c>
    </row>
    <row r="78" spans="1:14" ht="18.600000000000001" thickBot="1">
      <c r="A78" s="392"/>
      <c r="B78" s="391"/>
      <c r="C78" s="391"/>
      <c r="D78" s="391"/>
      <c r="E78" s="391"/>
      <c r="F78" s="391"/>
      <c r="G78" s="391"/>
      <c r="H78" s="391"/>
      <c r="I78" s="430"/>
      <c r="J78" s="430"/>
      <c r="K78" s="430"/>
      <c r="L78" s="431"/>
      <c r="N78" s="402" t="s">
        <v>348</v>
      </c>
    </row>
    <row r="79" spans="1:14">
      <c r="A79" s="392"/>
      <c r="B79" s="391"/>
      <c r="C79" s="391"/>
      <c r="D79" s="391"/>
      <c r="E79" s="391"/>
      <c r="F79" s="391"/>
      <c r="G79" s="391"/>
      <c r="H79" s="391"/>
      <c r="I79" s="430"/>
      <c r="J79" s="430"/>
      <c r="K79" s="430"/>
      <c r="L79" s="431"/>
    </row>
    <row r="80" spans="1:14">
      <c r="A80" s="392"/>
      <c r="B80" s="391"/>
      <c r="C80" s="391"/>
      <c r="D80" s="391"/>
      <c r="E80" s="391"/>
      <c r="F80" s="391"/>
      <c r="G80" s="391"/>
      <c r="H80" s="391"/>
      <c r="I80" s="430"/>
      <c r="J80" s="430"/>
      <c r="K80" s="430"/>
      <c r="L80" s="431"/>
    </row>
    <row r="81" spans="1:20">
      <c r="A81" s="392"/>
      <c r="B81" s="391"/>
      <c r="C81" s="391"/>
      <c r="D81" s="391"/>
      <c r="E81" s="391"/>
      <c r="F81" s="391"/>
      <c r="G81" s="391"/>
      <c r="H81" s="391"/>
      <c r="I81" s="430"/>
      <c r="J81" s="430"/>
      <c r="K81" s="430"/>
      <c r="L81" s="431"/>
      <c r="N81" s="3" t="s">
        <v>365</v>
      </c>
    </row>
    <row r="82" spans="1:20">
      <c r="A82" s="392"/>
      <c r="B82" s="391"/>
      <c r="C82" s="391"/>
      <c r="D82" s="391"/>
      <c r="E82" s="391"/>
      <c r="F82" s="391"/>
      <c r="G82" s="391"/>
      <c r="H82" s="391"/>
      <c r="I82" s="430"/>
      <c r="J82" s="430"/>
      <c r="K82" s="430"/>
      <c r="L82" s="431"/>
      <c r="N82" s="404"/>
      <c r="O82" s="404"/>
      <c r="P82" s="404"/>
      <c r="Q82" s="404"/>
      <c r="R82" s="404"/>
      <c r="S82" s="404"/>
      <c r="T82" s="404"/>
    </row>
    <row r="83" spans="1:20">
      <c r="A83" s="392"/>
      <c r="B83" s="391"/>
      <c r="C83" s="391"/>
      <c r="D83" s="391"/>
      <c r="E83" s="391"/>
      <c r="F83" s="391"/>
      <c r="G83" s="391"/>
      <c r="H83" s="391"/>
      <c r="I83" s="430"/>
      <c r="J83" s="430"/>
      <c r="K83" s="430"/>
      <c r="L83" s="431"/>
      <c r="N83" s="404"/>
      <c r="O83" s="404"/>
      <c r="P83" s="404"/>
      <c r="Q83" s="404"/>
      <c r="R83" s="404"/>
      <c r="S83" s="404"/>
      <c r="T83" s="404"/>
    </row>
    <row r="84" spans="1:20">
      <c r="A84" s="392"/>
      <c r="B84" s="391"/>
      <c r="C84" s="391"/>
      <c r="D84" s="391"/>
      <c r="E84" s="391"/>
      <c r="F84" s="391"/>
      <c r="G84" s="391"/>
      <c r="H84" s="391"/>
      <c r="I84" s="430"/>
      <c r="J84" s="430"/>
      <c r="K84" s="430"/>
      <c r="L84" s="431"/>
      <c r="N84" s="404"/>
      <c r="O84" s="404"/>
      <c r="P84" s="404"/>
      <c r="Q84" s="404"/>
      <c r="R84" s="404"/>
      <c r="S84" s="404"/>
      <c r="T84" s="404"/>
    </row>
    <row r="85" spans="1:20">
      <c r="A85" s="392"/>
      <c r="B85" s="391"/>
      <c r="C85" s="391"/>
      <c r="D85" s="391"/>
      <c r="E85" s="391"/>
      <c r="F85" s="391"/>
      <c r="G85" s="391"/>
      <c r="H85" s="391"/>
      <c r="I85" s="430"/>
      <c r="J85" s="430"/>
      <c r="K85" s="430"/>
      <c r="L85" s="431"/>
      <c r="N85" s="404"/>
      <c r="O85" s="404"/>
      <c r="P85" s="404"/>
      <c r="Q85" s="404"/>
      <c r="R85" s="404"/>
      <c r="S85" s="404"/>
      <c r="T85" s="404"/>
    </row>
    <row r="86" spans="1:20">
      <c r="A86" s="392"/>
      <c r="B86" s="391"/>
      <c r="C86" s="391"/>
      <c r="D86" s="391"/>
      <c r="E86" s="391"/>
      <c r="F86" s="391"/>
      <c r="G86" s="391"/>
      <c r="H86" s="391"/>
      <c r="I86" s="430"/>
      <c r="J86" s="430"/>
      <c r="K86" s="430"/>
      <c r="L86" s="431"/>
      <c r="N86" s="404"/>
      <c r="O86" s="404"/>
      <c r="P86" s="404"/>
      <c r="Q86" s="404"/>
      <c r="R86" s="404"/>
      <c r="S86" s="404"/>
      <c r="T86" s="404"/>
    </row>
    <row r="87" spans="1:20">
      <c r="A87" s="392"/>
      <c r="B87" s="391"/>
      <c r="C87" s="391"/>
      <c r="D87" s="391"/>
      <c r="E87" s="391"/>
      <c r="F87" s="391"/>
      <c r="G87" s="391"/>
      <c r="H87" s="391"/>
      <c r="I87" s="430"/>
      <c r="J87" s="430"/>
      <c r="K87" s="430"/>
      <c r="L87" s="431"/>
      <c r="N87" s="404"/>
      <c r="O87" s="404"/>
      <c r="P87" s="404"/>
      <c r="Q87" s="404"/>
      <c r="R87" s="404"/>
      <c r="S87" s="404"/>
      <c r="T87" s="404"/>
    </row>
    <row r="88" spans="1:20">
      <c r="A88" s="392"/>
      <c r="B88" s="391"/>
      <c r="C88" s="391"/>
      <c r="D88" s="391"/>
      <c r="E88" s="391"/>
      <c r="F88" s="391"/>
      <c r="G88" s="391"/>
      <c r="H88" s="391"/>
      <c r="I88" s="430"/>
      <c r="J88" s="430"/>
      <c r="K88" s="430"/>
      <c r="L88" s="431"/>
      <c r="N88" s="404"/>
      <c r="O88" s="404"/>
      <c r="P88" s="404"/>
      <c r="Q88" s="404"/>
      <c r="R88" s="404"/>
      <c r="S88" s="404"/>
      <c r="T88" s="404"/>
    </row>
    <row r="89" spans="1:20">
      <c r="A89" s="392"/>
      <c r="B89" s="391"/>
      <c r="C89" s="391"/>
      <c r="D89" s="391"/>
      <c r="E89" s="391"/>
      <c r="F89" s="391"/>
      <c r="G89" s="391"/>
      <c r="H89" s="391"/>
      <c r="I89" s="430"/>
      <c r="J89" s="430"/>
      <c r="K89" s="430"/>
      <c r="L89" s="431"/>
      <c r="N89" s="404"/>
      <c r="O89" s="404"/>
      <c r="P89" s="404"/>
      <c r="Q89" s="404"/>
      <c r="R89" s="404"/>
      <c r="S89" s="404"/>
      <c r="T89" s="404"/>
    </row>
    <row r="90" spans="1:20">
      <c r="A90" s="392"/>
      <c r="B90" s="391"/>
      <c r="C90" s="391"/>
      <c r="D90" s="391"/>
      <c r="E90" s="391"/>
      <c r="F90" s="391"/>
      <c r="G90" s="391"/>
      <c r="H90" s="391"/>
      <c r="I90" s="430"/>
      <c r="J90" s="430"/>
      <c r="K90" s="430"/>
      <c r="L90" s="431"/>
      <c r="N90" s="404"/>
      <c r="O90" s="404"/>
      <c r="P90" s="404"/>
      <c r="Q90" s="404"/>
      <c r="R90" s="404"/>
      <c r="S90" s="404"/>
      <c r="T90" s="404"/>
    </row>
    <row r="91" spans="1:20">
      <c r="A91" s="392"/>
      <c r="B91" s="391"/>
      <c r="C91" s="391"/>
      <c r="D91" s="391"/>
      <c r="E91" s="391"/>
      <c r="F91" s="391"/>
      <c r="G91" s="391"/>
      <c r="H91" s="391"/>
      <c r="I91" s="430"/>
      <c r="J91" s="430"/>
      <c r="K91" s="430"/>
      <c r="L91" s="431"/>
      <c r="N91" s="404"/>
      <c r="O91" s="404"/>
      <c r="P91" s="404"/>
      <c r="Q91" s="404"/>
      <c r="R91" s="404"/>
      <c r="S91" s="404"/>
      <c r="T91" s="404"/>
    </row>
    <row r="92" spans="1:20">
      <c r="A92" s="392"/>
      <c r="B92" s="391"/>
      <c r="C92" s="391"/>
      <c r="D92" s="391"/>
      <c r="E92" s="391"/>
      <c r="F92" s="391"/>
      <c r="G92" s="391"/>
      <c r="H92" s="391"/>
      <c r="I92" s="430"/>
      <c r="J92" s="430"/>
      <c r="K92" s="430"/>
      <c r="L92" s="431"/>
      <c r="N92" s="404"/>
      <c r="O92" s="404"/>
      <c r="P92" s="404"/>
      <c r="Q92" s="404"/>
      <c r="R92" s="404"/>
      <c r="S92" s="404"/>
      <c r="T92" s="404"/>
    </row>
    <row r="93" spans="1:20">
      <c r="A93" s="392"/>
      <c r="B93" s="391"/>
      <c r="C93" s="391"/>
      <c r="D93" s="391"/>
      <c r="E93" s="391"/>
      <c r="F93" s="391"/>
      <c r="G93" s="391"/>
      <c r="H93" s="391"/>
      <c r="I93" s="430"/>
      <c r="J93" s="430"/>
      <c r="K93" s="430"/>
      <c r="L93" s="431"/>
      <c r="N93" s="404"/>
      <c r="O93" s="404"/>
      <c r="P93" s="404"/>
      <c r="Q93" s="404"/>
      <c r="R93" s="404"/>
      <c r="S93" s="404"/>
      <c r="T93" s="404"/>
    </row>
    <row r="94" spans="1:20">
      <c r="A94" s="392"/>
      <c r="B94" s="391"/>
      <c r="C94" s="391"/>
      <c r="D94" s="391"/>
      <c r="E94" s="391"/>
      <c r="F94" s="391"/>
      <c r="G94" s="391"/>
      <c r="H94" s="391"/>
      <c r="I94" s="430"/>
      <c r="J94" s="430"/>
      <c r="K94" s="430"/>
      <c r="L94" s="431"/>
      <c r="N94" s="404"/>
      <c r="O94" s="404"/>
      <c r="P94" s="404"/>
      <c r="Q94" s="404"/>
      <c r="R94" s="404"/>
      <c r="S94" s="404"/>
      <c r="T94" s="404"/>
    </row>
    <row r="95" spans="1:20">
      <c r="A95" s="392"/>
      <c r="B95" s="391"/>
      <c r="C95" s="391"/>
      <c r="D95" s="391"/>
      <c r="E95" s="391"/>
      <c r="F95" s="391"/>
      <c r="G95" s="391"/>
      <c r="H95" s="391"/>
      <c r="I95" s="430"/>
      <c r="J95" s="430"/>
      <c r="K95" s="430"/>
      <c r="L95" s="431"/>
      <c r="N95" s="404"/>
      <c r="O95" s="404"/>
      <c r="P95" s="404"/>
      <c r="Q95" s="404"/>
      <c r="R95" s="404"/>
      <c r="S95" s="404"/>
      <c r="T95" s="404"/>
    </row>
    <row r="96" spans="1:20">
      <c r="A96" s="392"/>
      <c r="B96" s="391"/>
      <c r="C96" s="391"/>
      <c r="D96" s="391"/>
      <c r="E96" s="391"/>
      <c r="F96" s="391"/>
      <c r="G96" s="391"/>
      <c r="H96" s="391"/>
      <c r="I96" s="430"/>
      <c r="J96" s="430"/>
      <c r="K96" s="430"/>
      <c r="L96" s="431"/>
      <c r="N96" s="404"/>
      <c r="O96" s="404"/>
      <c r="P96" s="404"/>
      <c r="Q96" s="404"/>
      <c r="R96" s="404"/>
      <c r="S96" s="404"/>
      <c r="T96" s="404"/>
    </row>
    <row r="97" spans="1:20" ht="18.600000000000001" thickBot="1">
      <c r="A97" s="393"/>
      <c r="B97" s="394"/>
      <c r="C97" s="394"/>
      <c r="D97" s="394"/>
      <c r="E97" s="394"/>
      <c r="F97" s="394"/>
      <c r="G97" s="394"/>
      <c r="H97" s="394"/>
      <c r="I97" s="432"/>
      <c r="J97" s="432"/>
      <c r="K97" s="432"/>
      <c r="L97" s="433"/>
      <c r="N97" s="404"/>
      <c r="O97" s="404"/>
      <c r="P97" s="404"/>
      <c r="Q97" s="404"/>
      <c r="R97" s="404"/>
      <c r="S97" s="404"/>
      <c r="T97" s="404"/>
    </row>
    <row r="99" spans="1:20" ht="18.600000000000001" thickBot="1">
      <c r="A99" s="2" t="s">
        <v>339</v>
      </c>
    </row>
    <row r="100" spans="1:20" ht="18.600000000000001" thickBot="1">
      <c r="A100" s="397" t="s">
        <v>135</v>
      </c>
      <c r="B100" s="398" t="s">
        <v>113</v>
      </c>
      <c r="C100" s="399" t="s">
        <v>148</v>
      </c>
      <c r="D100" s="400" t="s">
        <v>147</v>
      </c>
      <c r="E100" s="400" t="s">
        <v>149</v>
      </c>
      <c r="F100" s="400" t="s">
        <v>150</v>
      </c>
      <c r="G100" s="400" t="s">
        <v>151</v>
      </c>
      <c r="H100" s="400" t="s">
        <v>152</v>
      </c>
      <c r="I100" s="434" t="s">
        <v>134</v>
      </c>
      <c r="J100" s="434"/>
      <c r="K100" s="434"/>
      <c r="L100" s="435"/>
      <c r="N100" s="390" t="s">
        <v>335</v>
      </c>
    </row>
    <row r="101" spans="1:20">
      <c r="A101" s="395"/>
      <c r="B101" s="396"/>
      <c r="C101" s="396"/>
      <c r="D101" s="396"/>
      <c r="E101" s="396"/>
      <c r="F101" s="396"/>
      <c r="G101" s="396"/>
      <c r="H101" s="396"/>
      <c r="I101" s="436"/>
      <c r="J101" s="436"/>
      <c r="K101" s="436"/>
      <c r="L101" s="437"/>
      <c r="N101" s="401" t="s">
        <v>334</v>
      </c>
    </row>
    <row r="102" spans="1:20">
      <c r="A102" s="392"/>
      <c r="B102" s="391"/>
      <c r="C102" s="391"/>
      <c r="D102" s="391"/>
      <c r="E102" s="391"/>
      <c r="F102" s="391"/>
      <c r="G102" s="391"/>
      <c r="H102" s="391"/>
      <c r="I102" s="430"/>
      <c r="J102" s="430"/>
      <c r="K102" s="430"/>
      <c r="L102" s="431"/>
      <c r="N102" s="401" t="s">
        <v>336</v>
      </c>
    </row>
    <row r="103" spans="1:20">
      <c r="A103" s="392"/>
      <c r="B103" s="391"/>
      <c r="C103" s="391"/>
      <c r="D103" s="391"/>
      <c r="E103" s="391"/>
      <c r="F103" s="391"/>
      <c r="G103" s="391"/>
      <c r="H103" s="391"/>
      <c r="I103" s="430"/>
      <c r="J103" s="430"/>
      <c r="K103" s="430"/>
      <c r="L103" s="431"/>
      <c r="N103" s="401" t="s">
        <v>338</v>
      </c>
    </row>
    <row r="104" spans="1:20">
      <c r="A104" s="392"/>
      <c r="B104" s="391"/>
      <c r="C104" s="391"/>
      <c r="D104" s="391"/>
      <c r="E104" s="391"/>
      <c r="F104" s="391"/>
      <c r="G104" s="391"/>
      <c r="H104" s="391"/>
      <c r="I104" s="430"/>
      <c r="J104" s="430"/>
      <c r="K104" s="430"/>
      <c r="L104" s="431"/>
      <c r="N104" s="401" t="s">
        <v>340</v>
      </c>
    </row>
    <row r="105" spans="1:20">
      <c r="A105" s="392"/>
      <c r="B105" s="391"/>
      <c r="C105" s="391"/>
      <c r="D105" s="391"/>
      <c r="E105" s="391"/>
      <c r="F105" s="391"/>
      <c r="G105" s="391"/>
      <c r="H105" s="391"/>
      <c r="I105" s="430"/>
      <c r="J105" s="430"/>
      <c r="K105" s="430"/>
      <c r="L105" s="431"/>
      <c r="N105" s="401" t="s">
        <v>341</v>
      </c>
    </row>
    <row r="106" spans="1:20">
      <c r="A106" s="392"/>
      <c r="B106" s="391"/>
      <c r="C106" s="391"/>
      <c r="D106" s="391"/>
      <c r="E106" s="391"/>
      <c r="F106" s="391"/>
      <c r="G106" s="391"/>
      <c r="H106" s="391"/>
      <c r="I106" s="430"/>
      <c r="J106" s="430"/>
      <c r="K106" s="430"/>
      <c r="L106" s="431"/>
      <c r="N106" s="401" t="s">
        <v>342</v>
      </c>
    </row>
    <row r="107" spans="1:20">
      <c r="A107" s="392"/>
      <c r="B107" s="391"/>
      <c r="C107" s="391"/>
      <c r="D107" s="391"/>
      <c r="E107" s="391"/>
      <c r="F107" s="391"/>
      <c r="G107" s="391"/>
      <c r="H107" s="391"/>
      <c r="I107" s="430"/>
      <c r="J107" s="430"/>
      <c r="K107" s="430"/>
      <c r="L107" s="431"/>
      <c r="N107" s="401" t="s">
        <v>343</v>
      </c>
    </row>
    <row r="108" spans="1:20">
      <c r="A108" s="392"/>
      <c r="B108" s="391"/>
      <c r="C108" s="391"/>
      <c r="D108" s="391"/>
      <c r="E108" s="391"/>
      <c r="F108" s="391"/>
      <c r="G108" s="391"/>
      <c r="H108" s="391"/>
      <c r="I108" s="430"/>
      <c r="J108" s="430"/>
      <c r="K108" s="430"/>
      <c r="L108" s="431"/>
      <c r="N108" s="401" t="s">
        <v>344</v>
      </c>
    </row>
    <row r="109" spans="1:20">
      <c r="A109" s="392"/>
      <c r="B109" s="391"/>
      <c r="C109" s="391"/>
      <c r="D109" s="391"/>
      <c r="E109" s="391"/>
      <c r="F109" s="391"/>
      <c r="G109" s="391"/>
      <c r="H109" s="391"/>
      <c r="I109" s="430"/>
      <c r="J109" s="430"/>
      <c r="K109" s="430"/>
      <c r="L109" s="431"/>
      <c r="N109" s="401" t="s">
        <v>345</v>
      </c>
    </row>
    <row r="110" spans="1:20">
      <c r="A110" s="392"/>
      <c r="B110" s="391"/>
      <c r="C110" s="391"/>
      <c r="D110" s="391"/>
      <c r="E110" s="391"/>
      <c r="F110" s="391"/>
      <c r="G110" s="391"/>
      <c r="H110" s="391"/>
      <c r="I110" s="430"/>
      <c r="J110" s="430"/>
      <c r="K110" s="430"/>
      <c r="L110" s="431"/>
      <c r="N110" s="401" t="s">
        <v>346</v>
      </c>
    </row>
    <row r="111" spans="1:20">
      <c r="A111" s="392"/>
      <c r="B111" s="391"/>
      <c r="C111" s="391"/>
      <c r="D111" s="391"/>
      <c r="E111" s="391"/>
      <c r="F111" s="391"/>
      <c r="G111" s="391"/>
      <c r="H111" s="391"/>
      <c r="I111" s="430"/>
      <c r="J111" s="430"/>
      <c r="K111" s="430"/>
      <c r="L111" s="431"/>
      <c r="N111" s="401" t="s">
        <v>347</v>
      </c>
    </row>
    <row r="112" spans="1:20" ht="18.600000000000001" thickBot="1">
      <c r="A112" s="392"/>
      <c r="B112" s="391"/>
      <c r="C112" s="391"/>
      <c r="D112" s="391"/>
      <c r="E112" s="391"/>
      <c r="F112" s="391"/>
      <c r="G112" s="391"/>
      <c r="H112" s="391"/>
      <c r="I112" s="430"/>
      <c r="J112" s="430"/>
      <c r="K112" s="430"/>
      <c r="L112" s="431"/>
      <c r="N112" s="402" t="s">
        <v>348</v>
      </c>
    </row>
    <row r="113" spans="1:20">
      <c r="A113" s="392"/>
      <c r="B113" s="391"/>
      <c r="C113" s="391"/>
      <c r="D113" s="391"/>
      <c r="E113" s="391"/>
      <c r="F113" s="391"/>
      <c r="G113" s="391"/>
      <c r="H113" s="391"/>
      <c r="I113" s="430"/>
      <c r="J113" s="430"/>
      <c r="K113" s="430"/>
      <c r="L113" s="431"/>
    </row>
    <row r="114" spans="1:20">
      <c r="A114" s="392"/>
      <c r="B114" s="391"/>
      <c r="C114" s="391"/>
      <c r="D114" s="391"/>
      <c r="E114" s="391"/>
      <c r="F114" s="391"/>
      <c r="G114" s="391"/>
      <c r="H114" s="391"/>
      <c r="I114" s="430"/>
      <c r="J114" s="430"/>
      <c r="K114" s="430"/>
      <c r="L114" s="431"/>
    </row>
    <row r="115" spans="1:20">
      <c r="A115" s="392"/>
      <c r="B115" s="391"/>
      <c r="C115" s="391"/>
      <c r="D115" s="391"/>
      <c r="E115" s="391"/>
      <c r="F115" s="391"/>
      <c r="G115" s="391"/>
      <c r="H115" s="391"/>
      <c r="I115" s="430"/>
      <c r="J115" s="430"/>
      <c r="K115" s="430"/>
      <c r="L115" s="431"/>
      <c r="N115" s="3" t="s">
        <v>365</v>
      </c>
    </row>
    <row r="116" spans="1:20">
      <c r="A116" s="392"/>
      <c r="B116" s="391"/>
      <c r="C116" s="391"/>
      <c r="D116" s="391"/>
      <c r="E116" s="391"/>
      <c r="F116" s="391"/>
      <c r="G116" s="391"/>
      <c r="H116" s="391"/>
      <c r="I116" s="430"/>
      <c r="J116" s="430"/>
      <c r="K116" s="430"/>
      <c r="L116" s="431"/>
      <c r="N116" s="404"/>
      <c r="O116" s="404"/>
      <c r="P116" s="404"/>
      <c r="Q116" s="404"/>
      <c r="R116" s="404"/>
      <c r="S116" s="404"/>
      <c r="T116" s="404"/>
    </row>
    <row r="117" spans="1:20">
      <c r="A117" s="392"/>
      <c r="B117" s="391"/>
      <c r="C117" s="391"/>
      <c r="D117" s="391"/>
      <c r="E117" s="391"/>
      <c r="F117" s="391"/>
      <c r="G117" s="391"/>
      <c r="H117" s="391"/>
      <c r="I117" s="430"/>
      <c r="J117" s="430"/>
      <c r="K117" s="430"/>
      <c r="L117" s="431"/>
      <c r="N117" s="404"/>
      <c r="O117" s="404"/>
      <c r="P117" s="404"/>
      <c r="Q117" s="404"/>
      <c r="R117" s="404"/>
      <c r="S117" s="404"/>
      <c r="T117" s="404"/>
    </row>
    <row r="118" spans="1:20">
      <c r="A118" s="392"/>
      <c r="B118" s="391"/>
      <c r="C118" s="391"/>
      <c r="D118" s="391"/>
      <c r="E118" s="391"/>
      <c r="F118" s="391"/>
      <c r="G118" s="391"/>
      <c r="H118" s="391"/>
      <c r="I118" s="430"/>
      <c r="J118" s="430"/>
      <c r="K118" s="430"/>
      <c r="L118" s="431"/>
      <c r="N118" s="404"/>
      <c r="O118" s="404"/>
      <c r="P118" s="404"/>
      <c r="Q118" s="404"/>
      <c r="R118" s="404"/>
      <c r="S118" s="404"/>
      <c r="T118" s="404"/>
    </row>
    <row r="119" spans="1:20">
      <c r="A119" s="392"/>
      <c r="B119" s="391"/>
      <c r="C119" s="391"/>
      <c r="D119" s="391"/>
      <c r="E119" s="391"/>
      <c r="F119" s="391"/>
      <c r="G119" s="391"/>
      <c r="H119" s="391"/>
      <c r="I119" s="430"/>
      <c r="J119" s="430"/>
      <c r="K119" s="430"/>
      <c r="L119" s="431"/>
      <c r="N119" s="404"/>
      <c r="O119" s="404"/>
      <c r="P119" s="404"/>
      <c r="Q119" s="404"/>
      <c r="R119" s="404"/>
      <c r="S119" s="404"/>
      <c r="T119" s="404"/>
    </row>
    <row r="120" spans="1:20">
      <c r="A120" s="392"/>
      <c r="B120" s="391"/>
      <c r="C120" s="391"/>
      <c r="D120" s="391"/>
      <c r="E120" s="391"/>
      <c r="F120" s="391"/>
      <c r="G120" s="391"/>
      <c r="H120" s="391"/>
      <c r="I120" s="430"/>
      <c r="J120" s="430"/>
      <c r="K120" s="430"/>
      <c r="L120" s="431"/>
      <c r="N120" s="404"/>
      <c r="O120" s="404"/>
      <c r="P120" s="404"/>
      <c r="Q120" s="404"/>
      <c r="R120" s="404"/>
      <c r="S120" s="404"/>
      <c r="T120" s="404"/>
    </row>
    <row r="121" spans="1:20">
      <c r="A121" s="392"/>
      <c r="B121" s="391"/>
      <c r="C121" s="391"/>
      <c r="D121" s="391"/>
      <c r="E121" s="391"/>
      <c r="F121" s="391"/>
      <c r="G121" s="391"/>
      <c r="H121" s="391"/>
      <c r="I121" s="430"/>
      <c r="J121" s="430"/>
      <c r="K121" s="430"/>
      <c r="L121" s="431"/>
      <c r="N121" s="404"/>
      <c r="O121" s="404"/>
      <c r="P121" s="404"/>
      <c r="Q121" s="404"/>
      <c r="R121" s="404"/>
      <c r="S121" s="404"/>
      <c r="T121" s="404"/>
    </row>
    <row r="122" spans="1:20">
      <c r="A122" s="392"/>
      <c r="B122" s="391"/>
      <c r="C122" s="391"/>
      <c r="D122" s="391"/>
      <c r="E122" s="391"/>
      <c r="F122" s="391"/>
      <c r="G122" s="391"/>
      <c r="H122" s="391"/>
      <c r="I122" s="430"/>
      <c r="J122" s="430"/>
      <c r="K122" s="430"/>
      <c r="L122" s="431"/>
      <c r="N122" s="404"/>
      <c r="O122" s="404"/>
      <c r="P122" s="404"/>
      <c r="Q122" s="404"/>
      <c r="R122" s="404"/>
      <c r="S122" s="404"/>
      <c r="T122" s="404"/>
    </row>
    <row r="123" spans="1:20">
      <c r="A123" s="392"/>
      <c r="B123" s="391"/>
      <c r="C123" s="391"/>
      <c r="D123" s="391"/>
      <c r="E123" s="391"/>
      <c r="F123" s="391"/>
      <c r="G123" s="391"/>
      <c r="H123" s="391"/>
      <c r="I123" s="430"/>
      <c r="J123" s="430"/>
      <c r="K123" s="430"/>
      <c r="L123" s="431"/>
      <c r="N123" s="404"/>
      <c r="O123" s="404"/>
      <c r="P123" s="404"/>
      <c r="Q123" s="404"/>
      <c r="R123" s="404"/>
      <c r="S123" s="404"/>
      <c r="T123" s="404"/>
    </row>
    <row r="124" spans="1:20">
      <c r="A124" s="392"/>
      <c r="B124" s="391"/>
      <c r="C124" s="391"/>
      <c r="D124" s="391"/>
      <c r="E124" s="391"/>
      <c r="F124" s="391"/>
      <c r="G124" s="391"/>
      <c r="H124" s="391"/>
      <c r="I124" s="430"/>
      <c r="J124" s="430"/>
      <c r="K124" s="430"/>
      <c r="L124" s="431"/>
      <c r="N124" s="404"/>
      <c r="O124" s="404"/>
      <c r="P124" s="404"/>
      <c r="Q124" s="404"/>
      <c r="R124" s="404"/>
      <c r="S124" s="404"/>
      <c r="T124" s="404"/>
    </row>
    <row r="125" spans="1:20">
      <c r="A125" s="392"/>
      <c r="B125" s="391"/>
      <c r="C125" s="391"/>
      <c r="D125" s="391"/>
      <c r="E125" s="391"/>
      <c r="F125" s="391"/>
      <c r="G125" s="391"/>
      <c r="H125" s="391"/>
      <c r="I125" s="430"/>
      <c r="J125" s="430"/>
      <c r="K125" s="430"/>
      <c r="L125" s="431"/>
      <c r="N125" s="404"/>
      <c r="O125" s="404"/>
      <c r="P125" s="404"/>
      <c r="Q125" s="404"/>
      <c r="R125" s="404"/>
      <c r="S125" s="404"/>
      <c r="T125" s="404"/>
    </row>
    <row r="126" spans="1:20">
      <c r="A126" s="392"/>
      <c r="B126" s="391"/>
      <c r="C126" s="391"/>
      <c r="D126" s="391"/>
      <c r="E126" s="391"/>
      <c r="F126" s="391"/>
      <c r="G126" s="391"/>
      <c r="H126" s="391"/>
      <c r="I126" s="430"/>
      <c r="J126" s="430"/>
      <c r="K126" s="430"/>
      <c r="L126" s="431"/>
      <c r="N126" s="404"/>
      <c r="O126" s="404"/>
      <c r="P126" s="404"/>
      <c r="Q126" s="404"/>
      <c r="R126" s="404"/>
      <c r="S126" s="404"/>
      <c r="T126" s="404"/>
    </row>
    <row r="127" spans="1:20">
      <c r="A127" s="392"/>
      <c r="B127" s="391"/>
      <c r="C127" s="391"/>
      <c r="D127" s="391"/>
      <c r="E127" s="391"/>
      <c r="F127" s="391"/>
      <c r="G127" s="391"/>
      <c r="H127" s="391"/>
      <c r="I127" s="430"/>
      <c r="J127" s="430"/>
      <c r="K127" s="430"/>
      <c r="L127" s="431"/>
      <c r="N127" s="404"/>
      <c r="O127" s="404"/>
      <c r="P127" s="404"/>
      <c r="Q127" s="404"/>
      <c r="R127" s="404"/>
      <c r="S127" s="404"/>
      <c r="T127" s="404"/>
    </row>
    <row r="128" spans="1:20">
      <c r="A128" s="392"/>
      <c r="B128" s="391"/>
      <c r="C128" s="391"/>
      <c r="D128" s="391"/>
      <c r="E128" s="391"/>
      <c r="F128" s="391"/>
      <c r="G128" s="391"/>
      <c r="H128" s="391"/>
      <c r="I128" s="430"/>
      <c r="J128" s="430"/>
      <c r="K128" s="430"/>
      <c r="L128" s="431"/>
      <c r="N128" s="404"/>
      <c r="O128" s="404"/>
      <c r="P128" s="404"/>
      <c r="Q128" s="404"/>
      <c r="R128" s="404"/>
      <c r="S128" s="404"/>
      <c r="T128" s="404"/>
    </row>
    <row r="129" spans="1:20">
      <c r="A129" s="392"/>
      <c r="B129" s="391"/>
      <c r="C129" s="391"/>
      <c r="D129" s="391"/>
      <c r="E129" s="391"/>
      <c r="F129" s="391"/>
      <c r="G129" s="391"/>
      <c r="H129" s="391"/>
      <c r="I129" s="430"/>
      <c r="J129" s="430"/>
      <c r="K129" s="430"/>
      <c r="L129" s="431"/>
      <c r="N129" s="404"/>
      <c r="O129" s="404"/>
      <c r="P129" s="404"/>
      <c r="Q129" s="404"/>
      <c r="R129" s="404"/>
      <c r="S129" s="404"/>
      <c r="T129" s="404"/>
    </row>
    <row r="130" spans="1:20">
      <c r="A130" s="392"/>
      <c r="B130" s="391"/>
      <c r="C130" s="391"/>
      <c r="D130" s="391"/>
      <c r="E130" s="391"/>
      <c r="F130" s="391"/>
      <c r="G130" s="391"/>
      <c r="H130" s="391"/>
      <c r="I130" s="430"/>
      <c r="J130" s="430"/>
      <c r="K130" s="430"/>
      <c r="L130" s="431"/>
      <c r="N130" s="404"/>
      <c r="O130" s="404"/>
      <c r="P130" s="404"/>
      <c r="Q130" s="404"/>
      <c r="R130" s="404"/>
      <c r="S130" s="404"/>
      <c r="T130" s="404"/>
    </row>
    <row r="131" spans="1:20" ht="18.600000000000001" thickBot="1">
      <c r="A131" s="393"/>
      <c r="B131" s="394"/>
      <c r="C131" s="394"/>
      <c r="D131" s="394"/>
      <c r="E131" s="394"/>
      <c r="F131" s="394"/>
      <c r="G131" s="394"/>
      <c r="H131" s="394"/>
      <c r="I131" s="432"/>
      <c r="J131" s="432"/>
      <c r="K131" s="432"/>
      <c r="L131" s="433"/>
      <c r="N131" s="404"/>
      <c r="O131" s="404"/>
      <c r="P131" s="404"/>
      <c r="Q131" s="404"/>
      <c r="R131" s="404"/>
      <c r="S131" s="404"/>
      <c r="T131" s="404"/>
    </row>
    <row r="133" spans="1:20" ht="18.600000000000001" thickBot="1">
      <c r="A133" s="2" t="s">
        <v>349</v>
      </c>
    </row>
    <row r="134" spans="1:20" ht="18.600000000000001" thickBot="1">
      <c r="A134" s="397" t="s">
        <v>135</v>
      </c>
      <c r="B134" s="398" t="s">
        <v>113</v>
      </c>
      <c r="C134" s="399" t="s">
        <v>148</v>
      </c>
      <c r="D134" s="400" t="s">
        <v>147</v>
      </c>
      <c r="E134" s="400" t="s">
        <v>149</v>
      </c>
      <c r="F134" s="400" t="s">
        <v>150</v>
      </c>
      <c r="G134" s="400" t="s">
        <v>151</v>
      </c>
      <c r="H134" s="400" t="s">
        <v>152</v>
      </c>
      <c r="I134" s="434" t="s">
        <v>134</v>
      </c>
      <c r="J134" s="434"/>
      <c r="K134" s="434"/>
      <c r="L134" s="435"/>
      <c r="N134" s="390" t="s">
        <v>335</v>
      </c>
    </row>
    <row r="135" spans="1:20">
      <c r="A135" s="395"/>
      <c r="B135" s="396"/>
      <c r="C135" s="396"/>
      <c r="D135" s="396"/>
      <c r="E135" s="396"/>
      <c r="F135" s="396"/>
      <c r="G135" s="396"/>
      <c r="H135" s="396"/>
      <c r="I135" s="436"/>
      <c r="J135" s="436"/>
      <c r="K135" s="436"/>
      <c r="L135" s="437"/>
      <c r="N135" s="401" t="s">
        <v>334</v>
      </c>
    </row>
    <row r="136" spans="1:20">
      <c r="A136" s="392"/>
      <c r="B136" s="391"/>
      <c r="C136" s="391"/>
      <c r="D136" s="391"/>
      <c r="E136" s="391"/>
      <c r="F136" s="391"/>
      <c r="G136" s="391"/>
      <c r="H136" s="391"/>
      <c r="I136" s="430"/>
      <c r="J136" s="430"/>
      <c r="K136" s="430"/>
      <c r="L136" s="431"/>
      <c r="N136" s="401" t="s">
        <v>336</v>
      </c>
    </row>
    <row r="137" spans="1:20">
      <c r="A137" s="392"/>
      <c r="B137" s="391"/>
      <c r="C137" s="391"/>
      <c r="D137" s="391"/>
      <c r="E137" s="391"/>
      <c r="F137" s="391"/>
      <c r="G137" s="391"/>
      <c r="H137" s="391"/>
      <c r="I137" s="430"/>
      <c r="J137" s="430"/>
      <c r="K137" s="430"/>
      <c r="L137" s="431"/>
      <c r="N137" s="401" t="s">
        <v>338</v>
      </c>
    </row>
    <row r="138" spans="1:20">
      <c r="A138" s="392"/>
      <c r="B138" s="391"/>
      <c r="C138" s="391"/>
      <c r="D138" s="391"/>
      <c r="E138" s="391"/>
      <c r="F138" s="391"/>
      <c r="G138" s="391"/>
      <c r="H138" s="391"/>
      <c r="I138" s="430"/>
      <c r="J138" s="430"/>
      <c r="K138" s="430"/>
      <c r="L138" s="431"/>
      <c r="N138" s="401" t="s">
        <v>340</v>
      </c>
    </row>
    <row r="139" spans="1:20">
      <c r="A139" s="392"/>
      <c r="B139" s="391"/>
      <c r="C139" s="391"/>
      <c r="D139" s="391"/>
      <c r="E139" s="391"/>
      <c r="F139" s="391"/>
      <c r="G139" s="391"/>
      <c r="H139" s="391"/>
      <c r="I139" s="430"/>
      <c r="J139" s="430"/>
      <c r="K139" s="430"/>
      <c r="L139" s="431"/>
      <c r="N139" s="401" t="s">
        <v>341</v>
      </c>
    </row>
    <row r="140" spans="1:20">
      <c r="A140" s="392"/>
      <c r="B140" s="391"/>
      <c r="C140" s="391"/>
      <c r="D140" s="391"/>
      <c r="E140" s="391"/>
      <c r="F140" s="391"/>
      <c r="G140" s="391"/>
      <c r="H140" s="391"/>
      <c r="I140" s="430"/>
      <c r="J140" s="430"/>
      <c r="K140" s="430"/>
      <c r="L140" s="431"/>
      <c r="N140" s="401" t="s">
        <v>342</v>
      </c>
    </row>
    <row r="141" spans="1:20">
      <c r="A141" s="392"/>
      <c r="B141" s="391"/>
      <c r="C141" s="391"/>
      <c r="D141" s="391"/>
      <c r="E141" s="391"/>
      <c r="F141" s="391"/>
      <c r="G141" s="391"/>
      <c r="H141" s="391"/>
      <c r="I141" s="430"/>
      <c r="J141" s="430"/>
      <c r="K141" s="430"/>
      <c r="L141" s="431"/>
      <c r="N141" s="401" t="s">
        <v>343</v>
      </c>
    </row>
    <row r="142" spans="1:20">
      <c r="A142" s="392"/>
      <c r="B142" s="391"/>
      <c r="C142" s="391"/>
      <c r="D142" s="391"/>
      <c r="E142" s="391"/>
      <c r="F142" s="391"/>
      <c r="G142" s="391"/>
      <c r="H142" s="391"/>
      <c r="I142" s="430"/>
      <c r="J142" s="430"/>
      <c r="K142" s="430"/>
      <c r="L142" s="431"/>
      <c r="N142" s="401" t="s">
        <v>344</v>
      </c>
    </row>
    <row r="143" spans="1:20">
      <c r="A143" s="392"/>
      <c r="B143" s="391"/>
      <c r="C143" s="391"/>
      <c r="D143" s="391"/>
      <c r="E143" s="391"/>
      <c r="F143" s="391"/>
      <c r="G143" s="391"/>
      <c r="H143" s="391"/>
      <c r="I143" s="430"/>
      <c r="J143" s="430"/>
      <c r="K143" s="430"/>
      <c r="L143" s="431"/>
      <c r="N143" s="401" t="s">
        <v>345</v>
      </c>
    </row>
    <row r="144" spans="1:20">
      <c r="A144" s="392"/>
      <c r="B144" s="391"/>
      <c r="C144" s="391"/>
      <c r="D144" s="391"/>
      <c r="E144" s="391"/>
      <c r="F144" s="391"/>
      <c r="G144" s="391"/>
      <c r="H144" s="391"/>
      <c r="I144" s="430"/>
      <c r="J144" s="430"/>
      <c r="K144" s="430"/>
      <c r="L144" s="431"/>
      <c r="N144" s="401" t="s">
        <v>346</v>
      </c>
    </row>
    <row r="145" spans="1:20">
      <c r="A145" s="392"/>
      <c r="B145" s="391"/>
      <c r="C145" s="391"/>
      <c r="D145" s="391"/>
      <c r="E145" s="391"/>
      <c r="F145" s="391"/>
      <c r="G145" s="391"/>
      <c r="H145" s="391"/>
      <c r="I145" s="430"/>
      <c r="J145" s="430"/>
      <c r="K145" s="430"/>
      <c r="L145" s="431"/>
      <c r="N145" s="401" t="s">
        <v>347</v>
      </c>
    </row>
    <row r="146" spans="1:20" ht="18.600000000000001" thickBot="1">
      <c r="A146" s="392"/>
      <c r="B146" s="391"/>
      <c r="C146" s="391"/>
      <c r="D146" s="391"/>
      <c r="E146" s="391"/>
      <c r="F146" s="391"/>
      <c r="G146" s="391"/>
      <c r="H146" s="391"/>
      <c r="I146" s="430"/>
      <c r="J146" s="430"/>
      <c r="K146" s="430"/>
      <c r="L146" s="431"/>
      <c r="N146" s="402" t="s">
        <v>348</v>
      </c>
    </row>
    <row r="147" spans="1:20">
      <c r="A147" s="392"/>
      <c r="B147" s="391"/>
      <c r="C147" s="391"/>
      <c r="D147" s="391"/>
      <c r="E147" s="391"/>
      <c r="F147" s="391"/>
      <c r="G147" s="391"/>
      <c r="H147" s="391"/>
      <c r="I147" s="430"/>
      <c r="J147" s="430"/>
      <c r="K147" s="430"/>
      <c r="L147" s="431"/>
    </row>
    <row r="148" spans="1:20">
      <c r="A148" s="392"/>
      <c r="B148" s="391"/>
      <c r="C148" s="391"/>
      <c r="D148" s="391"/>
      <c r="E148" s="391"/>
      <c r="F148" s="391"/>
      <c r="G148" s="391"/>
      <c r="H148" s="391"/>
      <c r="I148" s="430"/>
      <c r="J148" s="430"/>
      <c r="K148" s="430"/>
      <c r="L148" s="431"/>
    </row>
    <row r="149" spans="1:20">
      <c r="A149" s="392"/>
      <c r="B149" s="391"/>
      <c r="C149" s="391"/>
      <c r="D149" s="391"/>
      <c r="E149" s="391"/>
      <c r="F149" s="391"/>
      <c r="G149" s="391"/>
      <c r="H149" s="391"/>
      <c r="I149" s="430"/>
      <c r="J149" s="430"/>
      <c r="K149" s="430"/>
      <c r="L149" s="431"/>
      <c r="N149" s="3" t="s">
        <v>365</v>
      </c>
    </row>
    <row r="150" spans="1:20">
      <c r="A150" s="392"/>
      <c r="B150" s="391"/>
      <c r="C150" s="391"/>
      <c r="D150" s="391"/>
      <c r="E150" s="391"/>
      <c r="F150" s="391"/>
      <c r="G150" s="391"/>
      <c r="H150" s="391"/>
      <c r="I150" s="430"/>
      <c r="J150" s="430"/>
      <c r="K150" s="430"/>
      <c r="L150" s="431"/>
      <c r="N150" s="404"/>
      <c r="O150" s="404"/>
      <c r="P150" s="404"/>
      <c r="Q150" s="404"/>
      <c r="R150" s="404"/>
      <c r="S150" s="404"/>
      <c r="T150" s="404"/>
    </row>
    <row r="151" spans="1:20">
      <c r="A151" s="392"/>
      <c r="B151" s="391"/>
      <c r="C151" s="391"/>
      <c r="D151" s="391"/>
      <c r="E151" s="391"/>
      <c r="F151" s="391"/>
      <c r="G151" s="391"/>
      <c r="H151" s="391"/>
      <c r="I151" s="430"/>
      <c r="J151" s="430"/>
      <c r="K151" s="430"/>
      <c r="L151" s="431"/>
      <c r="N151" s="404"/>
      <c r="O151" s="404"/>
      <c r="P151" s="404"/>
      <c r="Q151" s="404"/>
      <c r="R151" s="404"/>
      <c r="S151" s="404"/>
      <c r="T151" s="404"/>
    </row>
    <row r="152" spans="1:20">
      <c r="A152" s="392"/>
      <c r="B152" s="391"/>
      <c r="C152" s="391"/>
      <c r="D152" s="391"/>
      <c r="E152" s="391"/>
      <c r="F152" s="391"/>
      <c r="G152" s="391"/>
      <c r="H152" s="391"/>
      <c r="I152" s="430"/>
      <c r="J152" s="430"/>
      <c r="K152" s="430"/>
      <c r="L152" s="431"/>
      <c r="N152" s="404"/>
      <c r="O152" s="404"/>
      <c r="P152" s="404"/>
      <c r="Q152" s="404"/>
      <c r="R152" s="404"/>
      <c r="S152" s="404"/>
      <c r="T152" s="404"/>
    </row>
    <row r="153" spans="1:20">
      <c r="A153" s="392"/>
      <c r="B153" s="391"/>
      <c r="C153" s="391"/>
      <c r="D153" s="391"/>
      <c r="E153" s="391"/>
      <c r="F153" s="391"/>
      <c r="G153" s="391"/>
      <c r="H153" s="391"/>
      <c r="I153" s="430"/>
      <c r="J153" s="430"/>
      <c r="K153" s="430"/>
      <c r="L153" s="431"/>
      <c r="N153" s="404"/>
      <c r="O153" s="404"/>
      <c r="P153" s="404"/>
      <c r="Q153" s="404"/>
      <c r="R153" s="404"/>
      <c r="S153" s="404"/>
      <c r="T153" s="404"/>
    </row>
    <row r="154" spans="1:20">
      <c r="A154" s="392"/>
      <c r="B154" s="391"/>
      <c r="C154" s="391"/>
      <c r="D154" s="391"/>
      <c r="E154" s="391"/>
      <c r="F154" s="391"/>
      <c r="G154" s="391"/>
      <c r="H154" s="391"/>
      <c r="I154" s="430"/>
      <c r="J154" s="430"/>
      <c r="K154" s="430"/>
      <c r="L154" s="431"/>
      <c r="N154" s="404"/>
      <c r="O154" s="404"/>
      <c r="P154" s="404"/>
      <c r="Q154" s="404"/>
      <c r="R154" s="404"/>
      <c r="S154" s="404"/>
      <c r="T154" s="404"/>
    </row>
    <row r="155" spans="1:20">
      <c r="A155" s="392"/>
      <c r="B155" s="391"/>
      <c r="C155" s="391"/>
      <c r="D155" s="391"/>
      <c r="E155" s="391"/>
      <c r="F155" s="391"/>
      <c r="G155" s="391"/>
      <c r="H155" s="391"/>
      <c r="I155" s="430"/>
      <c r="J155" s="430"/>
      <c r="K155" s="430"/>
      <c r="L155" s="431"/>
      <c r="N155" s="404"/>
      <c r="O155" s="404"/>
      <c r="P155" s="404"/>
      <c r="Q155" s="404"/>
      <c r="R155" s="404"/>
      <c r="S155" s="404"/>
      <c r="T155" s="404"/>
    </row>
    <row r="156" spans="1:20">
      <c r="A156" s="392"/>
      <c r="B156" s="391"/>
      <c r="C156" s="391"/>
      <c r="D156" s="391"/>
      <c r="E156" s="391"/>
      <c r="F156" s="391"/>
      <c r="G156" s="391"/>
      <c r="H156" s="391"/>
      <c r="I156" s="430"/>
      <c r="J156" s="430"/>
      <c r="K156" s="430"/>
      <c r="L156" s="431"/>
      <c r="N156" s="404"/>
      <c r="O156" s="404"/>
      <c r="P156" s="404"/>
      <c r="Q156" s="404"/>
      <c r="R156" s="404"/>
      <c r="S156" s="404"/>
      <c r="T156" s="404"/>
    </row>
    <row r="157" spans="1:20">
      <c r="A157" s="392"/>
      <c r="B157" s="391"/>
      <c r="C157" s="391"/>
      <c r="D157" s="391"/>
      <c r="E157" s="391"/>
      <c r="F157" s="391"/>
      <c r="G157" s="391"/>
      <c r="H157" s="391"/>
      <c r="I157" s="430"/>
      <c r="J157" s="430"/>
      <c r="K157" s="430"/>
      <c r="L157" s="431"/>
      <c r="N157" s="404"/>
      <c r="O157" s="404"/>
      <c r="P157" s="404"/>
      <c r="Q157" s="404"/>
      <c r="R157" s="404"/>
      <c r="S157" s="404"/>
      <c r="T157" s="404"/>
    </row>
    <row r="158" spans="1:20">
      <c r="A158" s="392"/>
      <c r="B158" s="391"/>
      <c r="C158" s="391"/>
      <c r="D158" s="391"/>
      <c r="E158" s="391"/>
      <c r="F158" s="391"/>
      <c r="G158" s="391"/>
      <c r="H158" s="391"/>
      <c r="I158" s="430"/>
      <c r="J158" s="430"/>
      <c r="K158" s="430"/>
      <c r="L158" s="431"/>
      <c r="N158" s="404"/>
      <c r="O158" s="404"/>
      <c r="P158" s="404"/>
      <c r="Q158" s="404"/>
      <c r="R158" s="404"/>
      <c r="S158" s="404"/>
      <c r="T158" s="404"/>
    </row>
    <row r="159" spans="1:20">
      <c r="A159" s="392"/>
      <c r="B159" s="391"/>
      <c r="C159" s="391"/>
      <c r="D159" s="391"/>
      <c r="E159" s="391"/>
      <c r="F159" s="391"/>
      <c r="G159" s="391"/>
      <c r="H159" s="391"/>
      <c r="I159" s="430"/>
      <c r="J159" s="430"/>
      <c r="K159" s="430"/>
      <c r="L159" s="431"/>
      <c r="N159" s="404"/>
      <c r="O159" s="404"/>
      <c r="P159" s="404"/>
      <c r="Q159" s="404"/>
      <c r="R159" s="404"/>
      <c r="S159" s="404"/>
      <c r="T159" s="404"/>
    </row>
    <row r="160" spans="1:20">
      <c r="A160" s="392"/>
      <c r="B160" s="391"/>
      <c r="C160" s="391"/>
      <c r="D160" s="391"/>
      <c r="E160" s="391"/>
      <c r="F160" s="391"/>
      <c r="G160" s="391"/>
      <c r="H160" s="391"/>
      <c r="I160" s="430"/>
      <c r="J160" s="430"/>
      <c r="K160" s="430"/>
      <c r="L160" s="431"/>
      <c r="N160" s="404"/>
      <c r="O160" s="404"/>
      <c r="P160" s="404"/>
      <c r="Q160" s="404"/>
      <c r="R160" s="404"/>
      <c r="S160" s="404"/>
      <c r="T160" s="404"/>
    </row>
    <row r="161" spans="1:20">
      <c r="A161" s="392"/>
      <c r="B161" s="391"/>
      <c r="C161" s="391"/>
      <c r="D161" s="391"/>
      <c r="E161" s="391"/>
      <c r="F161" s="391"/>
      <c r="G161" s="391"/>
      <c r="H161" s="391"/>
      <c r="I161" s="430"/>
      <c r="J161" s="430"/>
      <c r="K161" s="430"/>
      <c r="L161" s="431"/>
      <c r="N161" s="404"/>
      <c r="O161" s="404"/>
      <c r="P161" s="404"/>
      <c r="Q161" s="404"/>
      <c r="R161" s="404"/>
      <c r="S161" s="404"/>
      <c r="T161" s="404"/>
    </row>
    <row r="162" spans="1:20">
      <c r="A162" s="392"/>
      <c r="B162" s="391"/>
      <c r="C162" s="391"/>
      <c r="D162" s="391"/>
      <c r="E162" s="391"/>
      <c r="F162" s="391"/>
      <c r="G162" s="391"/>
      <c r="H162" s="391"/>
      <c r="I162" s="430"/>
      <c r="J162" s="430"/>
      <c r="K162" s="430"/>
      <c r="L162" s="431"/>
      <c r="N162" s="404"/>
      <c r="O162" s="404"/>
      <c r="P162" s="404"/>
      <c r="Q162" s="404"/>
      <c r="R162" s="404"/>
      <c r="S162" s="404"/>
      <c r="T162" s="404"/>
    </row>
    <row r="163" spans="1:20">
      <c r="A163" s="392"/>
      <c r="B163" s="391"/>
      <c r="C163" s="391"/>
      <c r="D163" s="391"/>
      <c r="E163" s="391"/>
      <c r="F163" s="391"/>
      <c r="G163" s="391"/>
      <c r="H163" s="391"/>
      <c r="I163" s="430"/>
      <c r="J163" s="430"/>
      <c r="K163" s="430"/>
      <c r="L163" s="431"/>
      <c r="N163" s="404"/>
      <c r="O163" s="404"/>
      <c r="P163" s="404"/>
      <c r="Q163" s="404"/>
      <c r="R163" s="404"/>
      <c r="S163" s="404"/>
      <c r="T163" s="404"/>
    </row>
    <row r="164" spans="1:20">
      <c r="A164" s="392"/>
      <c r="B164" s="391"/>
      <c r="C164" s="391"/>
      <c r="D164" s="391"/>
      <c r="E164" s="391"/>
      <c r="F164" s="391"/>
      <c r="G164" s="391"/>
      <c r="H164" s="391"/>
      <c r="I164" s="430"/>
      <c r="J164" s="430"/>
      <c r="K164" s="430"/>
      <c r="L164" s="431"/>
      <c r="N164" s="404"/>
      <c r="O164" s="404"/>
      <c r="P164" s="404"/>
      <c r="Q164" s="404"/>
      <c r="R164" s="404"/>
      <c r="S164" s="404"/>
      <c r="T164" s="404"/>
    </row>
    <row r="165" spans="1:20" ht="18.600000000000001" thickBot="1">
      <c r="A165" s="393"/>
      <c r="B165" s="394"/>
      <c r="C165" s="394"/>
      <c r="D165" s="394"/>
      <c r="E165" s="394"/>
      <c r="F165" s="394"/>
      <c r="G165" s="394"/>
      <c r="H165" s="394"/>
      <c r="I165" s="432"/>
      <c r="J165" s="432"/>
      <c r="K165" s="432"/>
      <c r="L165" s="433"/>
      <c r="N165" s="404"/>
      <c r="O165" s="404"/>
      <c r="P165" s="404"/>
      <c r="Q165" s="404"/>
      <c r="R165" s="404"/>
      <c r="S165" s="404"/>
      <c r="T165" s="404"/>
    </row>
    <row r="167" spans="1:20" ht="18.600000000000001" thickBot="1">
      <c r="A167" s="2" t="s">
        <v>350</v>
      </c>
    </row>
    <row r="168" spans="1:20" ht="18.600000000000001" thickBot="1">
      <c r="A168" s="397" t="s">
        <v>135</v>
      </c>
      <c r="B168" s="398" t="s">
        <v>113</v>
      </c>
      <c r="C168" s="399" t="s">
        <v>148</v>
      </c>
      <c r="D168" s="400" t="s">
        <v>147</v>
      </c>
      <c r="E168" s="400" t="s">
        <v>149</v>
      </c>
      <c r="F168" s="400" t="s">
        <v>150</v>
      </c>
      <c r="G168" s="400" t="s">
        <v>151</v>
      </c>
      <c r="H168" s="400" t="s">
        <v>152</v>
      </c>
      <c r="I168" s="434" t="s">
        <v>134</v>
      </c>
      <c r="J168" s="434"/>
      <c r="K168" s="434"/>
      <c r="L168" s="435"/>
      <c r="N168" s="390" t="s">
        <v>335</v>
      </c>
    </row>
    <row r="169" spans="1:20">
      <c r="A169" s="395"/>
      <c r="B169" s="396"/>
      <c r="C169" s="396"/>
      <c r="D169" s="396"/>
      <c r="E169" s="396"/>
      <c r="F169" s="396"/>
      <c r="G169" s="396"/>
      <c r="H169" s="396"/>
      <c r="I169" s="436"/>
      <c r="J169" s="436"/>
      <c r="K169" s="436"/>
      <c r="L169" s="437"/>
      <c r="N169" s="401" t="s">
        <v>334</v>
      </c>
    </row>
    <row r="170" spans="1:20">
      <c r="A170" s="392"/>
      <c r="B170" s="391"/>
      <c r="C170" s="391"/>
      <c r="D170" s="391"/>
      <c r="E170" s="391"/>
      <c r="F170" s="391"/>
      <c r="G170" s="391"/>
      <c r="H170" s="391"/>
      <c r="I170" s="430"/>
      <c r="J170" s="430"/>
      <c r="K170" s="430"/>
      <c r="L170" s="431"/>
      <c r="N170" s="401" t="s">
        <v>336</v>
      </c>
    </row>
    <row r="171" spans="1:20">
      <c r="A171" s="392"/>
      <c r="B171" s="391"/>
      <c r="C171" s="391"/>
      <c r="D171" s="391"/>
      <c r="E171" s="391"/>
      <c r="F171" s="391"/>
      <c r="G171" s="391"/>
      <c r="H171" s="391"/>
      <c r="I171" s="430"/>
      <c r="J171" s="430"/>
      <c r="K171" s="430"/>
      <c r="L171" s="431"/>
      <c r="N171" s="401" t="s">
        <v>338</v>
      </c>
    </row>
    <row r="172" spans="1:20">
      <c r="A172" s="392"/>
      <c r="B172" s="391"/>
      <c r="C172" s="391"/>
      <c r="D172" s="391"/>
      <c r="E172" s="391"/>
      <c r="F172" s="391"/>
      <c r="G172" s="391"/>
      <c r="H172" s="391"/>
      <c r="I172" s="430"/>
      <c r="J172" s="430"/>
      <c r="K172" s="430"/>
      <c r="L172" s="431"/>
      <c r="N172" s="401" t="s">
        <v>340</v>
      </c>
    </row>
    <row r="173" spans="1:20">
      <c r="A173" s="392"/>
      <c r="B173" s="391"/>
      <c r="C173" s="391"/>
      <c r="D173" s="391"/>
      <c r="E173" s="391"/>
      <c r="F173" s="391"/>
      <c r="G173" s="391"/>
      <c r="H173" s="391"/>
      <c r="I173" s="430"/>
      <c r="J173" s="430"/>
      <c r="K173" s="430"/>
      <c r="L173" s="431"/>
      <c r="N173" s="401" t="s">
        <v>341</v>
      </c>
    </row>
    <row r="174" spans="1:20">
      <c r="A174" s="392"/>
      <c r="B174" s="391"/>
      <c r="C174" s="391"/>
      <c r="D174" s="391"/>
      <c r="E174" s="391"/>
      <c r="F174" s="391"/>
      <c r="G174" s="391"/>
      <c r="H174" s="391"/>
      <c r="I174" s="430"/>
      <c r="J174" s="430"/>
      <c r="K174" s="430"/>
      <c r="L174" s="431"/>
      <c r="N174" s="401" t="s">
        <v>342</v>
      </c>
    </row>
    <row r="175" spans="1:20">
      <c r="A175" s="392"/>
      <c r="B175" s="391"/>
      <c r="C175" s="391"/>
      <c r="D175" s="391"/>
      <c r="E175" s="391"/>
      <c r="F175" s="391"/>
      <c r="G175" s="391"/>
      <c r="H175" s="391"/>
      <c r="I175" s="430"/>
      <c r="J175" s="430"/>
      <c r="K175" s="430"/>
      <c r="L175" s="431"/>
      <c r="N175" s="401" t="s">
        <v>343</v>
      </c>
    </row>
    <row r="176" spans="1:20">
      <c r="A176" s="392"/>
      <c r="B176" s="391"/>
      <c r="C176" s="391"/>
      <c r="D176" s="391"/>
      <c r="E176" s="391"/>
      <c r="F176" s="391"/>
      <c r="G176" s="391"/>
      <c r="H176" s="391"/>
      <c r="I176" s="430"/>
      <c r="J176" s="430"/>
      <c r="K176" s="430"/>
      <c r="L176" s="431"/>
      <c r="N176" s="401" t="s">
        <v>344</v>
      </c>
    </row>
    <row r="177" spans="1:20">
      <c r="A177" s="392"/>
      <c r="B177" s="391"/>
      <c r="C177" s="391"/>
      <c r="D177" s="391"/>
      <c r="E177" s="391"/>
      <c r="F177" s="391"/>
      <c r="G177" s="391"/>
      <c r="H177" s="391"/>
      <c r="I177" s="430"/>
      <c r="J177" s="430"/>
      <c r="K177" s="430"/>
      <c r="L177" s="431"/>
      <c r="N177" s="401" t="s">
        <v>345</v>
      </c>
    </row>
    <row r="178" spans="1:20">
      <c r="A178" s="392"/>
      <c r="B178" s="391"/>
      <c r="C178" s="391"/>
      <c r="D178" s="391"/>
      <c r="E178" s="391"/>
      <c r="F178" s="391"/>
      <c r="G178" s="391"/>
      <c r="H178" s="391"/>
      <c r="I178" s="430"/>
      <c r="J178" s="430"/>
      <c r="K178" s="430"/>
      <c r="L178" s="431"/>
      <c r="N178" s="401" t="s">
        <v>346</v>
      </c>
    </row>
    <row r="179" spans="1:20">
      <c r="A179" s="392"/>
      <c r="B179" s="391"/>
      <c r="C179" s="391"/>
      <c r="D179" s="391"/>
      <c r="E179" s="391"/>
      <c r="F179" s="391"/>
      <c r="G179" s="391"/>
      <c r="H179" s="391"/>
      <c r="I179" s="430"/>
      <c r="J179" s="430"/>
      <c r="K179" s="430"/>
      <c r="L179" s="431"/>
      <c r="N179" s="401" t="s">
        <v>347</v>
      </c>
    </row>
    <row r="180" spans="1:20" ht="18.600000000000001" thickBot="1">
      <c r="A180" s="392"/>
      <c r="B180" s="391"/>
      <c r="C180" s="391"/>
      <c r="D180" s="391"/>
      <c r="E180" s="391"/>
      <c r="F180" s="391"/>
      <c r="G180" s="391"/>
      <c r="H180" s="391"/>
      <c r="I180" s="430"/>
      <c r="J180" s="430"/>
      <c r="K180" s="430"/>
      <c r="L180" s="431"/>
      <c r="N180" s="402" t="s">
        <v>348</v>
      </c>
    </row>
    <row r="181" spans="1:20">
      <c r="A181" s="392"/>
      <c r="B181" s="391"/>
      <c r="C181" s="391"/>
      <c r="D181" s="391"/>
      <c r="E181" s="391"/>
      <c r="F181" s="391"/>
      <c r="G181" s="391"/>
      <c r="H181" s="391"/>
      <c r="I181" s="430"/>
      <c r="J181" s="430"/>
      <c r="K181" s="430"/>
      <c r="L181" s="431"/>
    </row>
    <row r="182" spans="1:20">
      <c r="A182" s="392"/>
      <c r="B182" s="391"/>
      <c r="C182" s="391"/>
      <c r="D182" s="391"/>
      <c r="E182" s="391"/>
      <c r="F182" s="391"/>
      <c r="G182" s="391"/>
      <c r="H182" s="391"/>
      <c r="I182" s="430"/>
      <c r="J182" s="430"/>
      <c r="K182" s="430"/>
      <c r="L182" s="431"/>
    </row>
    <row r="183" spans="1:20">
      <c r="A183" s="392"/>
      <c r="B183" s="391"/>
      <c r="C183" s="391"/>
      <c r="D183" s="391"/>
      <c r="E183" s="391"/>
      <c r="F183" s="391"/>
      <c r="G183" s="391"/>
      <c r="H183" s="391"/>
      <c r="I183" s="430"/>
      <c r="J183" s="430"/>
      <c r="K183" s="430"/>
      <c r="L183" s="431"/>
      <c r="N183" s="3" t="s">
        <v>365</v>
      </c>
    </row>
    <row r="184" spans="1:20">
      <c r="A184" s="392"/>
      <c r="B184" s="391"/>
      <c r="C184" s="391"/>
      <c r="D184" s="391"/>
      <c r="E184" s="391"/>
      <c r="F184" s="391"/>
      <c r="G184" s="391"/>
      <c r="H184" s="391"/>
      <c r="I184" s="430"/>
      <c r="J184" s="430"/>
      <c r="K184" s="430"/>
      <c r="L184" s="431"/>
      <c r="N184" s="404"/>
      <c r="O184" s="404"/>
      <c r="P184" s="404"/>
      <c r="Q184" s="404"/>
      <c r="R184" s="404"/>
      <c r="S184" s="404"/>
      <c r="T184" s="404"/>
    </row>
    <row r="185" spans="1:20">
      <c r="A185" s="392"/>
      <c r="B185" s="391"/>
      <c r="C185" s="391"/>
      <c r="D185" s="391"/>
      <c r="E185" s="391"/>
      <c r="F185" s="391"/>
      <c r="G185" s="391"/>
      <c r="H185" s="391"/>
      <c r="I185" s="430"/>
      <c r="J185" s="430"/>
      <c r="K185" s="430"/>
      <c r="L185" s="431"/>
      <c r="N185" s="404"/>
      <c r="O185" s="404"/>
      <c r="P185" s="404"/>
      <c r="Q185" s="404"/>
      <c r="R185" s="404"/>
      <c r="S185" s="404"/>
      <c r="T185" s="404"/>
    </row>
    <row r="186" spans="1:20">
      <c r="A186" s="392"/>
      <c r="B186" s="391"/>
      <c r="C186" s="391"/>
      <c r="D186" s="391"/>
      <c r="E186" s="391"/>
      <c r="F186" s="391"/>
      <c r="G186" s="391"/>
      <c r="H186" s="391"/>
      <c r="I186" s="430"/>
      <c r="J186" s="430"/>
      <c r="K186" s="430"/>
      <c r="L186" s="431"/>
      <c r="N186" s="404"/>
      <c r="O186" s="404"/>
      <c r="P186" s="404"/>
      <c r="Q186" s="404"/>
      <c r="R186" s="404"/>
      <c r="S186" s="404"/>
      <c r="T186" s="404"/>
    </row>
    <row r="187" spans="1:20">
      <c r="A187" s="392"/>
      <c r="B187" s="391"/>
      <c r="C187" s="391"/>
      <c r="D187" s="391"/>
      <c r="E187" s="391"/>
      <c r="F187" s="391"/>
      <c r="G187" s="391"/>
      <c r="H187" s="391"/>
      <c r="I187" s="430"/>
      <c r="J187" s="430"/>
      <c r="K187" s="430"/>
      <c r="L187" s="431"/>
      <c r="N187" s="404"/>
      <c r="O187" s="404"/>
      <c r="P187" s="404"/>
      <c r="Q187" s="404"/>
      <c r="R187" s="404"/>
      <c r="S187" s="404"/>
      <c r="T187" s="404"/>
    </row>
    <row r="188" spans="1:20">
      <c r="A188" s="392"/>
      <c r="B188" s="391"/>
      <c r="C188" s="391"/>
      <c r="D188" s="391"/>
      <c r="E188" s="391"/>
      <c r="F188" s="391"/>
      <c r="G188" s="391"/>
      <c r="H188" s="391"/>
      <c r="I188" s="430"/>
      <c r="J188" s="430"/>
      <c r="K188" s="430"/>
      <c r="L188" s="431"/>
      <c r="N188" s="404"/>
      <c r="O188" s="404"/>
      <c r="P188" s="404"/>
      <c r="Q188" s="404"/>
      <c r="R188" s="404"/>
      <c r="S188" s="404"/>
      <c r="T188" s="404"/>
    </row>
    <row r="189" spans="1:20">
      <c r="A189" s="392"/>
      <c r="B189" s="391"/>
      <c r="C189" s="391"/>
      <c r="D189" s="391"/>
      <c r="E189" s="391"/>
      <c r="F189" s="391"/>
      <c r="G189" s="391"/>
      <c r="H189" s="391"/>
      <c r="I189" s="430"/>
      <c r="J189" s="430"/>
      <c r="K189" s="430"/>
      <c r="L189" s="431"/>
      <c r="N189" s="404"/>
      <c r="O189" s="404"/>
      <c r="P189" s="404"/>
      <c r="Q189" s="404"/>
      <c r="R189" s="404"/>
      <c r="S189" s="404"/>
      <c r="T189" s="404"/>
    </row>
    <row r="190" spans="1:20">
      <c r="A190" s="392"/>
      <c r="B190" s="391"/>
      <c r="C190" s="391"/>
      <c r="D190" s="391"/>
      <c r="E190" s="391"/>
      <c r="F190" s="391"/>
      <c r="G190" s="391"/>
      <c r="H190" s="391"/>
      <c r="I190" s="430"/>
      <c r="J190" s="430"/>
      <c r="K190" s="430"/>
      <c r="L190" s="431"/>
      <c r="N190" s="404"/>
      <c r="O190" s="404"/>
      <c r="P190" s="404"/>
      <c r="Q190" s="404"/>
      <c r="R190" s="404"/>
      <c r="S190" s="404"/>
      <c r="T190" s="404"/>
    </row>
    <row r="191" spans="1:20">
      <c r="A191" s="392"/>
      <c r="B191" s="391"/>
      <c r="C191" s="391"/>
      <c r="D191" s="391"/>
      <c r="E191" s="391"/>
      <c r="F191" s="391"/>
      <c r="G191" s="391"/>
      <c r="H191" s="391"/>
      <c r="I191" s="430"/>
      <c r="J191" s="430"/>
      <c r="K191" s="430"/>
      <c r="L191" s="431"/>
      <c r="N191" s="404"/>
      <c r="O191" s="404"/>
      <c r="P191" s="404"/>
      <c r="Q191" s="404"/>
      <c r="R191" s="404"/>
      <c r="S191" s="404"/>
      <c r="T191" s="404"/>
    </row>
    <row r="192" spans="1:20">
      <c r="A192" s="392"/>
      <c r="B192" s="391"/>
      <c r="C192" s="391"/>
      <c r="D192" s="391"/>
      <c r="E192" s="391"/>
      <c r="F192" s="391"/>
      <c r="G192" s="391"/>
      <c r="H192" s="391"/>
      <c r="I192" s="430"/>
      <c r="J192" s="430"/>
      <c r="K192" s="430"/>
      <c r="L192" s="431"/>
      <c r="N192" s="404"/>
      <c r="O192" s="404"/>
      <c r="P192" s="404"/>
      <c r="Q192" s="404"/>
      <c r="R192" s="404"/>
      <c r="S192" s="404"/>
      <c r="T192" s="404"/>
    </row>
    <row r="193" spans="1:20">
      <c r="A193" s="392"/>
      <c r="B193" s="391"/>
      <c r="C193" s="391"/>
      <c r="D193" s="391"/>
      <c r="E193" s="391"/>
      <c r="F193" s="391"/>
      <c r="G193" s="391"/>
      <c r="H193" s="391"/>
      <c r="I193" s="430"/>
      <c r="J193" s="430"/>
      <c r="K193" s="430"/>
      <c r="L193" s="431"/>
      <c r="N193" s="404"/>
      <c r="O193" s="404"/>
      <c r="P193" s="404"/>
      <c r="Q193" s="404"/>
      <c r="R193" s="404"/>
      <c r="S193" s="404"/>
      <c r="T193" s="404"/>
    </row>
    <row r="194" spans="1:20">
      <c r="A194" s="392"/>
      <c r="B194" s="391"/>
      <c r="C194" s="391"/>
      <c r="D194" s="391"/>
      <c r="E194" s="391"/>
      <c r="F194" s="391"/>
      <c r="G194" s="391"/>
      <c r="H194" s="391"/>
      <c r="I194" s="430"/>
      <c r="J194" s="430"/>
      <c r="K194" s="430"/>
      <c r="L194" s="431"/>
      <c r="N194" s="404"/>
      <c r="O194" s="404"/>
      <c r="P194" s="404"/>
      <c r="Q194" s="404"/>
      <c r="R194" s="404"/>
      <c r="S194" s="404"/>
      <c r="T194" s="404"/>
    </row>
    <row r="195" spans="1:20">
      <c r="A195" s="392"/>
      <c r="B195" s="391"/>
      <c r="C195" s="391"/>
      <c r="D195" s="391"/>
      <c r="E195" s="391"/>
      <c r="F195" s="391"/>
      <c r="G195" s="391"/>
      <c r="H195" s="391"/>
      <c r="I195" s="430"/>
      <c r="J195" s="430"/>
      <c r="K195" s="430"/>
      <c r="L195" s="431"/>
      <c r="N195" s="404"/>
      <c r="O195" s="404"/>
      <c r="P195" s="404"/>
      <c r="Q195" s="404"/>
      <c r="R195" s="404"/>
      <c r="S195" s="404"/>
      <c r="T195" s="404"/>
    </row>
    <row r="196" spans="1:20">
      <c r="A196" s="392"/>
      <c r="B196" s="391"/>
      <c r="C196" s="391"/>
      <c r="D196" s="391"/>
      <c r="E196" s="391"/>
      <c r="F196" s="391"/>
      <c r="G196" s="391"/>
      <c r="H196" s="391"/>
      <c r="I196" s="430"/>
      <c r="J196" s="430"/>
      <c r="K196" s="430"/>
      <c r="L196" s="431"/>
      <c r="N196" s="404"/>
      <c r="O196" s="404"/>
      <c r="P196" s="404"/>
      <c r="Q196" s="404"/>
      <c r="R196" s="404"/>
      <c r="S196" s="404"/>
      <c r="T196" s="404"/>
    </row>
    <row r="197" spans="1:20">
      <c r="A197" s="392"/>
      <c r="B197" s="391"/>
      <c r="C197" s="391"/>
      <c r="D197" s="391"/>
      <c r="E197" s="391"/>
      <c r="F197" s="391"/>
      <c r="G197" s="391"/>
      <c r="H197" s="391"/>
      <c r="I197" s="430"/>
      <c r="J197" s="430"/>
      <c r="K197" s="430"/>
      <c r="L197" s="431"/>
      <c r="N197" s="404"/>
      <c r="O197" s="404"/>
      <c r="P197" s="404"/>
      <c r="Q197" s="404"/>
      <c r="R197" s="404"/>
      <c r="S197" s="404"/>
      <c r="T197" s="404"/>
    </row>
    <row r="198" spans="1:20">
      <c r="A198" s="392"/>
      <c r="B198" s="391"/>
      <c r="C198" s="391"/>
      <c r="D198" s="391"/>
      <c r="E198" s="391"/>
      <c r="F198" s="391"/>
      <c r="G198" s="391"/>
      <c r="H198" s="391"/>
      <c r="I198" s="430"/>
      <c r="J198" s="430"/>
      <c r="K198" s="430"/>
      <c r="L198" s="431"/>
      <c r="N198" s="404"/>
      <c r="O198" s="404"/>
      <c r="P198" s="404"/>
      <c r="Q198" s="404"/>
      <c r="R198" s="404"/>
      <c r="S198" s="404"/>
      <c r="T198" s="404"/>
    </row>
    <row r="199" spans="1:20" ht="18.600000000000001" thickBot="1">
      <c r="A199" s="393"/>
      <c r="B199" s="394"/>
      <c r="C199" s="394"/>
      <c r="D199" s="394"/>
      <c r="E199" s="394"/>
      <c r="F199" s="394"/>
      <c r="G199" s="394"/>
      <c r="H199" s="394"/>
      <c r="I199" s="432"/>
      <c r="J199" s="432"/>
      <c r="K199" s="432"/>
      <c r="L199" s="433"/>
      <c r="N199" s="404"/>
      <c r="O199" s="404"/>
      <c r="P199" s="404"/>
      <c r="Q199" s="404"/>
      <c r="R199" s="404"/>
      <c r="S199" s="404"/>
      <c r="T199" s="404"/>
    </row>
    <row r="201" spans="1:20" ht="18.600000000000001" thickBot="1">
      <c r="A201" s="2" t="s">
        <v>351</v>
      </c>
    </row>
    <row r="202" spans="1:20" ht="18.600000000000001" thickBot="1">
      <c r="A202" s="397" t="s">
        <v>135</v>
      </c>
      <c r="B202" s="398" t="s">
        <v>113</v>
      </c>
      <c r="C202" s="399" t="s">
        <v>148</v>
      </c>
      <c r="D202" s="400" t="s">
        <v>147</v>
      </c>
      <c r="E202" s="400" t="s">
        <v>149</v>
      </c>
      <c r="F202" s="400" t="s">
        <v>150</v>
      </c>
      <c r="G202" s="400" t="s">
        <v>151</v>
      </c>
      <c r="H202" s="400" t="s">
        <v>152</v>
      </c>
      <c r="I202" s="434" t="s">
        <v>134</v>
      </c>
      <c r="J202" s="434"/>
      <c r="K202" s="434"/>
      <c r="L202" s="435"/>
      <c r="N202" s="390" t="s">
        <v>335</v>
      </c>
    </row>
    <row r="203" spans="1:20">
      <c r="A203" s="395"/>
      <c r="B203" s="396"/>
      <c r="C203" s="396"/>
      <c r="D203" s="396"/>
      <c r="E203" s="396"/>
      <c r="F203" s="396"/>
      <c r="G203" s="396"/>
      <c r="H203" s="396"/>
      <c r="I203" s="436"/>
      <c r="J203" s="436"/>
      <c r="K203" s="436"/>
      <c r="L203" s="437"/>
      <c r="N203" s="401" t="s">
        <v>334</v>
      </c>
    </row>
    <row r="204" spans="1:20">
      <c r="A204" s="392"/>
      <c r="B204" s="391"/>
      <c r="C204" s="391"/>
      <c r="D204" s="391"/>
      <c r="E204" s="391"/>
      <c r="F204" s="391"/>
      <c r="G204" s="391"/>
      <c r="H204" s="391"/>
      <c r="I204" s="430"/>
      <c r="J204" s="430"/>
      <c r="K204" s="430"/>
      <c r="L204" s="431"/>
      <c r="N204" s="401" t="s">
        <v>336</v>
      </c>
    </row>
    <row r="205" spans="1:20">
      <c r="A205" s="392"/>
      <c r="B205" s="391"/>
      <c r="C205" s="391"/>
      <c r="D205" s="391"/>
      <c r="E205" s="391"/>
      <c r="F205" s="391"/>
      <c r="G205" s="391"/>
      <c r="H205" s="391"/>
      <c r="I205" s="430"/>
      <c r="J205" s="430"/>
      <c r="K205" s="430"/>
      <c r="L205" s="431"/>
      <c r="N205" s="401" t="s">
        <v>338</v>
      </c>
    </row>
    <row r="206" spans="1:20">
      <c r="A206" s="392"/>
      <c r="B206" s="391"/>
      <c r="C206" s="391"/>
      <c r="D206" s="391"/>
      <c r="E206" s="391"/>
      <c r="F206" s="391"/>
      <c r="G206" s="391"/>
      <c r="H206" s="391"/>
      <c r="I206" s="430"/>
      <c r="J206" s="430"/>
      <c r="K206" s="430"/>
      <c r="L206" s="431"/>
      <c r="N206" s="401" t="s">
        <v>340</v>
      </c>
    </row>
    <row r="207" spans="1:20">
      <c r="A207" s="392"/>
      <c r="B207" s="391"/>
      <c r="C207" s="391"/>
      <c r="D207" s="391"/>
      <c r="E207" s="391"/>
      <c r="F207" s="391"/>
      <c r="G207" s="391"/>
      <c r="H207" s="391"/>
      <c r="I207" s="430"/>
      <c r="J207" s="430"/>
      <c r="K207" s="430"/>
      <c r="L207" s="431"/>
      <c r="N207" s="401" t="s">
        <v>341</v>
      </c>
    </row>
    <row r="208" spans="1:20">
      <c r="A208" s="392"/>
      <c r="B208" s="391"/>
      <c r="C208" s="391"/>
      <c r="D208" s="391"/>
      <c r="E208" s="391"/>
      <c r="F208" s="391"/>
      <c r="G208" s="391"/>
      <c r="H208" s="391"/>
      <c r="I208" s="430"/>
      <c r="J208" s="430"/>
      <c r="K208" s="430"/>
      <c r="L208" s="431"/>
      <c r="N208" s="401" t="s">
        <v>342</v>
      </c>
    </row>
    <row r="209" spans="1:20">
      <c r="A209" s="392"/>
      <c r="B209" s="391"/>
      <c r="C209" s="391"/>
      <c r="D209" s="391"/>
      <c r="E209" s="391"/>
      <c r="F209" s="391"/>
      <c r="G209" s="391"/>
      <c r="H209" s="391"/>
      <c r="I209" s="430"/>
      <c r="J209" s="430"/>
      <c r="K209" s="430"/>
      <c r="L209" s="431"/>
      <c r="N209" s="401" t="s">
        <v>343</v>
      </c>
    </row>
    <row r="210" spans="1:20">
      <c r="A210" s="392"/>
      <c r="B210" s="391"/>
      <c r="C210" s="391"/>
      <c r="D210" s="391"/>
      <c r="E210" s="391"/>
      <c r="F210" s="391"/>
      <c r="G210" s="391"/>
      <c r="H210" s="391"/>
      <c r="I210" s="430"/>
      <c r="J210" s="430"/>
      <c r="K210" s="430"/>
      <c r="L210" s="431"/>
      <c r="N210" s="401" t="s">
        <v>344</v>
      </c>
    </row>
    <row r="211" spans="1:20">
      <c r="A211" s="392"/>
      <c r="B211" s="391"/>
      <c r="C211" s="391"/>
      <c r="D211" s="391"/>
      <c r="E211" s="391"/>
      <c r="F211" s="391"/>
      <c r="G211" s="391"/>
      <c r="H211" s="391"/>
      <c r="I211" s="430"/>
      <c r="J211" s="430"/>
      <c r="K211" s="430"/>
      <c r="L211" s="431"/>
      <c r="N211" s="401" t="s">
        <v>345</v>
      </c>
    </row>
    <row r="212" spans="1:20">
      <c r="A212" s="392"/>
      <c r="B212" s="391"/>
      <c r="C212" s="391"/>
      <c r="D212" s="391"/>
      <c r="E212" s="391"/>
      <c r="F212" s="391"/>
      <c r="G212" s="391"/>
      <c r="H212" s="391"/>
      <c r="I212" s="430"/>
      <c r="J212" s="430"/>
      <c r="K212" s="430"/>
      <c r="L212" s="431"/>
      <c r="N212" s="401" t="s">
        <v>346</v>
      </c>
    </row>
    <row r="213" spans="1:20">
      <c r="A213" s="392"/>
      <c r="B213" s="391"/>
      <c r="C213" s="391"/>
      <c r="D213" s="391"/>
      <c r="E213" s="391"/>
      <c r="F213" s="391"/>
      <c r="G213" s="391"/>
      <c r="H213" s="391"/>
      <c r="I213" s="430"/>
      <c r="J213" s="430"/>
      <c r="K213" s="430"/>
      <c r="L213" s="431"/>
      <c r="N213" s="401" t="s">
        <v>347</v>
      </c>
    </row>
    <row r="214" spans="1:20" ht="18.600000000000001" thickBot="1">
      <c r="A214" s="392"/>
      <c r="B214" s="391"/>
      <c r="C214" s="391"/>
      <c r="D214" s="391"/>
      <c r="E214" s="391"/>
      <c r="F214" s="391"/>
      <c r="G214" s="391"/>
      <c r="H214" s="391"/>
      <c r="I214" s="430"/>
      <c r="J214" s="430"/>
      <c r="K214" s="430"/>
      <c r="L214" s="431"/>
      <c r="N214" s="402" t="s">
        <v>348</v>
      </c>
    </row>
    <row r="215" spans="1:20">
      <c r="A215" s="392"/>
      <c r="B215" s="391"/>
      <c r="C215" s="391"/>
      <c r="D215" s="391"/>
      <c r="E215" s="391"/>
      <c r="F215" s="391"/>
      <c r="G215" s="391"/>
      <c r="H215" s="391"/>
      <c r="I215" s="430"/>
      <c r="J215" s="430"/>
      <c r="K215" s="430"/>
      <c r="L215" s="431"/>
    </row>
    <row r="216" spans="1:20">
      <c r="A216" s="392"/>
      <c r="B216" s="391"/>
      <c r="C216" s="391"/>
      <c r="D216" s="391"/>
      <c r="E216" s="391"/>
      <c r="F216" s="391"/>
      <c r="G216" s="391"/>
      <c r="H216" s="391"/>
      <c r="I216" s="430"/>
      <c r="J216" s="430"/>
      <c r="K216" s="430"/>
      <c r="L216" s="431"/>
    </row>
    <row r="217" spans="1:20">
      <c r="A217" s="392"/>
      <c r="B217" s="391"/>
      <c r="C217" s="391"/>
      <c r="D217" s="391"/>
      <c r="E217" s="391"/>
      <c r="F217" s="391"/>
      <c r="G217" s="391"/>
      <c r="H217" s="391"/>
      <c r="I217" s="430"/>
      <c r="J217" s="430"/>
      <c r="K217" s="430"/>
      <c r="L217" s="431"/>
      <c r="N217" s="3" t="s">
        <v>365</v>
      </c>
    </row>
    <row r="218" spans="1:20">
      <c r="A218" s="392"/>
      <c r="B218" s="391"/>
      <c r="C218" s="391"/>
      <c r="D218" s="391"/>
      <c r="E218" s="391"/>
      <c r="F218" s="391"/>
      <c r="G218" s="391"/>
      <c r="H218" s="391"/>
      <c r="I218" s="430"/>
      <c r="J218" s="430"/>
      <c r="K218" s="430"/>
      <c r="L218" s="431"/>
      <c r="N218" s="404"/>
      <c r="O218" s="404"/>
      <c r="P218" s="404"/>
      <c r="Q218" s="404"/>
      <c r="R218" s="404"/>
      <c r="S218" s="404"/>
      <c r="T218" s="404"/>
    </row>
    <row r="219" spans="1:20">
      <c r="A219" s="392"/>
      <c r="B219" s="391"/>
      <c r="C219" s="391"/>
      <c r="D219" s="391"/>
      <c r="E219" s="391"/>
      <c r="F219" s="391"/>
      <c r="G219" s="391"/>
      <c r="H219" s="391"/>
      <c r="I219" s="430"/>
      <c r="J219" s="430"/>
      <c r="K219" s="430"/>
      <c r="L219" s="431"/>
      <c r="N219" s="404"/>
      <c r="O219" s="404"/>
      <c r="P219" s="404"/>
      <c r="Q219" s="404"/>
      <c r="R219" s="404"/>
      <c r="S219" s="404"/>
      <c r="T219" s="404"/>
    </row>
    <row r="220" spans="1:20">
      <c r="A220" s="392"/>
      <c r="B220" s="391"/>
      <c r="C220" s="391"/>
      <c r="D220" s="391"/>
      <c r="E220" s="391"/>
      <c r="F220" s="391"/>
      <c r="G220" s="391"/>
      <c r="H220" s="391"/>
      <c r="I220" s="430"/>
      <c r="J220" s="430"/>
      <c r="K220" s="430"/>
      <c r="L220" s="431"/>
      <c r="N220" s="404"/>
      <c r="O220" s="404"/>
      <c r="P220" s="404"/>
      <c r="Q220" s="404"/>
      <c r="R220" s="404"/>
      <c r="S220" s="404"/>
      <c r="T220" s="404"/>
    </row>
    <row r="221" spans="1:20">
      <c r="A221" s="392"/>
      <c r="B221" s="391"/>
      <c r="C221" s="391"/>
      <c r="D221" s="391"/>
      <c r="E221" s="391"/>
      <c r="F221" s="391"/>
      <c r="G221" s="391"/>
      <c r="H221" s="391"/>
      <c r="I221" s="430"/>
      <c r="J221" s="430"/>
      <c r="K221" s="430"/>
      <c r="L221" s="431"/>
      <c r="N221" s="404"/>
      <c r="O221" s="404"/>
      <c r="P221" s="404"/>
      <c r="Q221" s="404"/>
      <c r="R221" s="404"/>
      <c r="S221" s="404"/>
      <c r="T221" s="404"/>
    </row>
    <row r="222" spans="1:20">
      <c r="A222" s="392"/>
      <c r="B222" s="391"/>
      <c r="C222" s="391"/>
      <c r="D222" s="391"/>
      <c r="E222" s="391"/>
      <c r="F222" s="391"/>
      <c r="G222" s="391"/>
      <c r="H222" s="391"/>
      <c r="I222" s="430"/>
      <c r="J222" s="430"/>
      <c r="K222" s="430"/>
      <c r="L222" s="431"/>
      <c r="N222" s="404"/>
      <c r="O222" s="404"/>
      <c r="P222" s="404"/>
      <c r="Q222" s="404"/>
      <c r="R222" s="404"/>
      <c r="S222" s="404"/>
      <c r="T222" s="404"/>
    </row>
    <row r="223" spans="1:20">
      <c r="A223" s="392"/>
      <c r="B223" s="391"/>
      <c r="C223" s="391"/>
      <c r="D223" s="391"/>
      <c r="E223" s="391"/>
      <c r="F223" s="391"/>
      <c r="G223" s="391"/>
      <c r="H223" s="391"/>
      <c r="I223" s="430"/>
      <c r="J223" s="430"/>
      <c r="K223" s="430"/>
      <c r="L223" s="431"/>
      <c r="N223" s="404"/>
      <c r="O223" s="404"/>
      <c r="P223" s="404"/>
      <c r="Q223" s="404"/>
      <c r="R223" s="404"/>
      <c r="S223" s="404"/>
      <c r="T223" s="404"/>
    </row>
    <row r="224" spans="1:20">
      <c r="A224" s="392"/>
      <c r="B224" s="391"/>
      <c r="C224" s="391"/>
      <c r="D224" s="391"/>
      <c r="E224" s="391"/>
      <c r="F224" s="391"/>
      <c r="G224" s="391"/>
      <c r="H224" s="391"/>
      <c r="I224" s="430"/>
      <c r="J224" s="430"/>
      <c r="K224" s="430"/>
      <c r="L224" s="431"/>
      <c r="N224" s="404"/>
      <c r="O224" s="404"/>
      <c r="P224" s="404"/>
      <c r="Q224" s="404"/>
      <c r="R224" s="404"/>
      <c r="S224" s="404"/>
      <c r="T224" s="404"/>
    </row>
    <row r="225" spans="1:20">
      <c r="A225" s="392"/>
      <c r="B225" s="391"/>
      <c r="C225" s="391"/>
      <c r="D225" s="391"/>
      <c r="E225" s="391"/>
      <c r="F225" s="391"/>
      <c r="G225" s="391"/>
      <c r="H225" s="391"/>
      <c r="I225" s="430"/>
      <c r="J225" s="430"/>
      <c r="K225" s="430"/>
      <c r="L225" s="431"/>
      <c r="N225" s="404"/>
      <c r="O225" s="404"/>
      <c r="P225" s="404"/>
      <c r="Q225" s="404"/>
      <c r="R225" s="404"/>
      <c r="S225" s="404"/>
      <c r="T225" s="404"/>
    </row>
    <row r="226" spans="1:20">
      <c r="A226" s="392"/>
      <c r="B226" s="391"/>
      <c r="C226" s="391"/>
      <c r="D226" s="391"/>
      <c r="E226" s="391"/>
      <c r="F226" s="391"/>
      <c r="G226" s="391"/>
      <c r="H226" s="391"/>
      <c r="I226" s="430"/>
      <c r="J226" s="430"/>
      <c r="K226" s="430"/>
      <c r="L226" s="431"/>
      <c r="N226" s="404"/>
      <c r="O226" s="404"/>
      <c r="P226" s="404"/>
      <c r="Q226" s="404"/>
      <c r="R226" s="404"/>
      <c r="S226" s="404"/>
      <c r="T226" s="404"/>
    </row>
    <row r="227" spans="1:20">
      <c r="A227" s="392"/>
      <c r="B227" s="391"/>
      <c r="C227" s="391"/>
      <c r="D227" s="391"/>
      <c r="E227" s="391"/>
      <c r="F227" s="391"/>
      <c r="G227" s="391"/>
      <c r="H227" s="391"/>
      <c r="I227" s="430"/>
      <c r="J227" s="430"/>
      <c r="K227" s="430"/>
      <c r="L227" s="431"/>
      <c r="N227" s="404"/>
      <c r="O227" s="404"/>
      <c r="P227" s="404"/>
      <c r="Q227" s="404"/>
      <c r="R227" s="404"/>
      <c r="S227" s="404"/>
      <c r="T227" s="404"/>
    </row>
    <row r="228" spans="1:20">
      <c r="A228" s="392"/>
      <c r="B228" s="391"/>
      <c r="C228" s="391"/>
      <c r="D228" s="391"/>
      <c r="E228" s="391"/>
      <c r="F228" s="391"/>
      <c r="G228" s="391"/>
      <c r="H228" s="391"/>
      <c r="I228" s="430"/>
      <c r="J228" s="430"/>
      <c r="K228" s="430"/>
      <c r="L228" s="431"/>
      <c r="N228" s="404"/>
      <c r="O228" s="404"/>
      <c r="P228" s="404"/>
      <c r="Q228" s="404"/>
      <c r="R228" s="404"/>
      <c r="S228" s="404"/>
      <c r="T228" s="404"/>
    </row>
    <row r="229" spans="1:20">
      <c r="A229" s="392"/>
      <c r="B229" s="391"/>
      <c r="C229" s="391"/>
      <c r="D229" s="391"/>
      <c r="E229" s="391"/>
      <c r="F229" s="391"/>
      <c r="G229" s="391"/>
      <c r="H229" s="391"/>
      <c r="I229" s="430"/>
      <c r="J229" s="430"/>
      <c r="K229" s="430"/>
      <c r="L229" s="431"/>
      <c r="N229" s="404"/>
      <c r="O229" s="404"/>
      <c r="P229" s="404"/>
      <c r="Q229" s="404"/>
      <c r="R229" s="404"/>
      <c r="S229" s="404"/>
      <c r="T229" s="404"/>
    </row>
    <row r="230" spans="1:20">
      <c r="A230" s="392"/>
      <c r="B230" s="391"/>
      <c r="C230" s="391"/>
      <c r="D230" s="391"/>
      <c r="E230" s="391"/>
      <c r="F230" s="391"/>
      <c r="G230" s="391"/>
      <c r="H230" s="391"/>
      <c r="I230" s="430"/>
      <c r="J230" s="430"/>
      <c r="K230" s="430"/>
      <c r="L230" s="431"/>
      <c r="N230" s="404"/>
      <c r="O230" s="404"/>
      <c r="P230" s="404"/>
      <c r="Q230" s="404"/>
      <c r="R230" s="404"/>
      <c r="S230" s="404"/>
      <c r="T230" s="404"/>
    </row>
    <row r="231" spans="1:20">
      <c r="A231" s="392"/>
      <c r="B231" s="391"/>
      <c r="C231" s="391"/>
      <c r="D231" s="391"/>
      <c r="E231" s="391"/>
      <c r="F231" s="391"/>
      <c r="G231" s="391"/>
      <c r="H231" s="391"/>
      <c r="I231" s="430"/>
      <c r="J231" s="430"/>
      <c r="K231" s="430"/>
      <c r="L231" s="431"/>
      <c r="N231" s="404"/>
      <c r="O231" s="404"/>
      <c r="P231" s="404"/>
      <c r="Q231" s="404"/>
      <c r="R231" s="404"/>
      <c r="S231" s="404"/>
      <c r="T231" s="404"/>
    </row>
    <row r="232" spans="1:20">
      <c r="A232" s="392"/>
      <c r="B232" s="391"/>
      <c r="C232" s="391"/>
      <c r="D232" s="391"/>
      <c r="E232" s="391"/>
      <c r="F232" s="391"/>
      <c r="G232" s="391"/>
      <c r="H232" s="391"/>
      <c r="I232" s="430"/>
      <c r="J232" s="430"/>
      <c r="K232" s="430"/>
      <c r="L232" s="431"/>
      <c r="N232" s="404"/>
      <c r="O232" s="404"/>
      <c r="P232" s="404"/>
      <c r="Q232" s="404"/>
      <c r="R232" s="404"/>
      <c r="S232" s="404"/>
      <c r="T232" s="404"/>
    </row>
    <row r="233" spans="1:20" ht="18.600000000000001" thickBot="1">
      <c r="A233" s="393"/>
      <c r="B233" s="394"/>
      <c r="C233" s="394"/>
      <c r="D233" s="394"/>
      <c r="E233" s="394"/>
      <c r="F233" s="394"/>
      <c r="G233" s="394"/>
      <c r="H233" s="394"/>
      <c r="I233" s="432"/>
      <c r="J233" s="432"/>
      <c r="K233" s="432"/>
      <c r="L233" s="433"/>
      <c r="N233" s="404"/>
      <c r="O233" s="404"/>
      <c r="P233" s="404"/>
      <c r="Q233" s="404"/>
      <c r="R233" s="404"/>
      <c r="S233" s="404"/>
      <c r="T233" s="404"/>
    </row>
    <row r="235" spans="1:20" ht="18.600000000000001" thickBot="1">
      <c r="A235" s="2" t="s">
        <v>352</v>
      </c>
    </row>
    <row r="236" spans="1:20" ht="18.600000000000001" thickBot="1">
      <c r="A236" s="397" t="s">
        <v>135</v>
      </c>
      <c r="B236" s="398" t="s">
        <v>113</v>
      </c>
      <c r="C236" s="399" t="s">
        <v>148</v>
      </c>
      <c r="D236" s="400" t="s">
        <v>147</v>
      </c>
      <c r="E236" s="400" t="s">
        <v>149</v>
      </c>
      <c r="F236" s="400" t="s">
        <v>150</v>
      </c>
      <c r="G236" s="400" t="s">
        <v>151</v>
      </c>
      <c r="H236" s="400" t="s">
        <v>152</v>
      </c>
      <c r="I236" s="434" t="s">
        <v>134</v>
      </c>
      <c r="J236" s="434"/>
      <c r="K236" s="434"/>
      <c r="L236" s="435"/>
      <c r="N236" s="390" t="s">
        <v>335</v>
      </c>
    </row>
    <row r="237" spans="1:20">
      <c r="A237" s="395"/>
      <c r="B237" s="396"/>
      <c r="C237" s="396"/>
      <c r="D237" s="396"/>
      <c r="E237" s="396"/>
      <c r="F237" s="396"/>
      <c r="G237" s="396"/>
      <c r="H237" s="396"/>
      <c r="I237" s="436"/>
      <c r="J237" s="436"/>
      <c r="K237" s="436"/>
      <c r="L237" s="437"/>
      <c r="N237" s="401" t="s">
        <v>334</v>
      </c>
    </row>
    <row r="238" spans="1:20">
      <c r="A238" s="392"/>
      <c r="B238" s="391"/>
      <c r="C238" s="391"/>
      <c r="D238" s="391"/>
      <c r="E238" s="391"/>
      <c r="F238" s="391"/>
      <c r="G238" s="391"/>
      <c r="H238" s="391"/>
      <c r="I238" s="430"/>
      <c r="J238" s="430"/>
      <c r="K238" s="430"/>
      <c r="L238" s="431"/>
      <c r="N238" s="401" t="s">
        <v>336</v>
      </c>
    </row>
    <row r="239" spans="1:20">
      <c r="A239" s="392"/>
      <c r="B239" s="391"/>
      <c r="C239" s="391"/>
      <c r="D239" s="391"/>
      <c r="E239" s="391"/>
      <c r="F239" s="391"/>
      <c r="G239" s="391"/>
      <c r="H239" s="391"/>
      <c r="I239" s="430"/>
      <c r="J239" s="430"/>
      <c r="K239" s="430"/>
      <c r="L239" s="431"/>
      <c r="N239" s="401" t="s">
        <v>338</v>
      </c>
    </row>
    <row r="240" spans="1:20">
      <c r="A240" s="392"/>
      <c r="B240" s="391"/>
      <c r="C240" s="391"/>
      <c r="D240" s="391"/>
      <c r="E240" s="391"/>
      <c r="F240" s="391"/>
      <c r="G240" s="391"/>
      <c r="H240" s="391"/>
      <c r="I240" s="430"/>
      <c r="J240" s="430"/>
      <c r="K240" s="430"/>
      <c r="L240" s="431"/>
      <c r="N240" s="401" t="s">
        <v>340</v>
      </c>
    </row>
    <row r="241" spans="1:20">
      <c r="A241" s="392"/>
      <c r="B241" s="391"/>
      <c r="C241" s="391"/>
      <c r="D241" s="391"/>
      <c r="E241" s="391"/>
      <c r="F241" s="391"/>
      <c r="G241" s="391"/>
      <c r="H241" s="391"/>
      <c r="I241" s="430"/>
      <c r="J241" s="430"/>
      <c r="K241" s="430"/>
      <c r="L241" s="431"/>
      <c r="N241" s="401" t="s">
        <v>341</v>
      </c>
    </row>
    <row r="242" spans="1:20">
      <c r="A242" s="392"/>
      <c r="B242" s="391"/>
      <c r="C242" s="391"/>
      <c r="D242" s="391"/>
      <c r="E242" s="391"/>
      <c r="F242" s="391"/>
      <c r="G242" s="391"/>
      <c r="H242" s="391"/>
      <c r="I242" s="430"/>
      <c r="J242" s="430"/>
      <c r="K242" s="430"/>
      <c r="L242" s="431"/>
      <c r="N242" s="401" t="s">
        <v>342</v>
      </c>
    </row>
    <row r="243" spans="1:20">
      <c r="A243" s="392"/>
      <c r="B243" s="391"/>
      <c r="C243" s="391"/>
      <c r="D243" s="391"/>
      <c r="E243" s="391"/>
      <c r="F243" s="391"/>
      <c r="G243" s="391"/>
      <c r="H243" s="391"/>
      <c r="I243" s="430"/>
      <c r="J243" s="430"/>
      <c r="K243" s="430"/>
      <c r="L243" s="431"/>
      <c r="N243" s="401" t="s">
        <v>343</v>
      </c>
    </row>
    <row r="244" spans="1:20">
      <c r="A244" s="392"/>
      <c r="B244" s="391"/>
      <c r="C244" s="391"/>
      <c r="D244" s="391"/>
      <c r="E244" s="391"/>
      <c r="F244" s="391"/>
      <c r="G244" s="391"/>
      <c r="H244" s="391"/>
      <c r="I244" s="430"/>
      <c r="J244" s="430"/>
      <c r="K244" s="430"/>
      <c r="L244" s="431"/>
      <c r="N244" s="401" t="s">
        <v>344</v>
      </c>
    </row>
    <row r="245" spans="1:20">
      <c r="A245" s="392"/>
      <c r="B245" s="391"/>
      <c r="C245" s="391"/>
      <c r="D245" s="391"/>
      <c r="E245" s="391"/>
      <c r="F245" s="391"/>
      <c r="G245" s="391"/>
      <c r="H245" s="391"/>
      <c r="I245" s="430"/>
      <c r="J245" s="430"/>
      <c r="K245" s="430"/>
      <c r="L245" s="431"/>
      <c r="N245" s="401" t="s">
        <v>345</v>
      </c>
    </row>
    <row r="246" spans="1:20">
      <c r="A246" s="392"/>
      <c r="B246" s="391"/>
      <c r="C246" s="391"/>
      <c r="D246" s="391"/>
      <c r="E246" s="391"/>
      <c r="F246" s="391"/>
      <c r="G246" s="391"/>
      <c r="H246" s="391"/>
      <c r="I246" s="430"/>
      <c r="J246" s="430"/>
      <c r="K246" s="430"/>
      <c r="L246" s="431"/>
      <c r="N246" s="401" t="s">
        <v>346</v>
      </c>
    </row>
    <row r="247" spans="1:20">
      <c r="A247" s="392"/>
      <c r="B247" s="391"/>
      <c r="C247" s="391"/>
      <c r="D247" s="391"/>
      <c r="E247" s="391"/>
      <c r="F247" s="391"/>
      <c r="G247" s="391"/>
      <c r="H247" s="391"/>
      <c r="I247" s="430"/>
      <c r="J247" s="430"/>
      <c r="K247" s="430"/>
      <c r="L247" s="431"/>
      <c r="N247" s="401" t="s">
        <v>347</v>
      </c>
    </row>
    <row r="248" spans="1:20" ht="18.600000000000001" thickBot="1">
      <c r="A248" s="392"/>
      <c r="B248" s="391"/>
      <c r="C248" s="391"/>
      <c r="D248" s="391"/>
      <c r="E248" s="391"/>
      <c r="F248" s="391"/>
      <c r="G248" s="391"/>
      <c r="H248" s="391"/>
      <c r="I248" s="430"/>
      <c r="J248" s="430"/>
      <c r="K248" s="430"/>
      <c r="L248" s="431"/>
      <c r="N248" s="402" t="s">
        <v>348</v>
      </c>
    </row>
    <row r="249" spans="1:20">
      <c r="A249" s="392"/>
      <c r="B249" s="391"/>
      <c r="C249" s="391"/>
      <c r="D249" s="391"/>
      <c r="E249" s="391"/>
      <c r="F249" s="391"/>
      <c r="G249" s="391"/>
      <c r="H249" s="391"/>
      <c r="I249" s="430"/>
      <c r="J249" s="430"/>
      <c r="K249" s="430"/>
      <c r="L249" s="431"/>
    </row>
    <row r="250" spans="1:20">
      <c r="A250" s="392"/>
      <c r="B250" s="391"/>
      <c r="C250" s="391"/>
      <c r="D250" s="391"/>
      <c r="E250" s="391"/>
      <c r="F250" s="391"/>
      <c r="G250" s="391"/>
      <c r="H250" s="391"/>
      <c r="I250" s="430"/>
      <c r="J250" s="430"/>
      <c r="K250" s="430"/>
      <c r="L250" s="431"/>
    </row>
    <row r="251" spans="1:20">
      <c r="A251" s="392"/>
      <c r="B251" s="391"/>
      <c r="C251" s="391"/>
      <c r="D251" s="391"/>
      <c r="E251" s="391"/>
      <c r="F251" s="391"/>
      <c r="G251" s="391"/>
      <c r="H251" s="391"/>
      <c r="I251" s="430"/>
      <c r="J251" s="430"/>
      <c r="K251" s="430"/>
      <c r="L251" s="431"/>
      <c r="N251" s="3" t="s">
        <v>365</v>
      </c>
    </row>
    <row r="252" spans="1:20">
      <c r="A252" s="392"/>
      <c r="B252" s="391"/>
      <c r="C252" s="391"/>
      <c r="D252" s="391"/>
      <c r="E252" s="391"/>
      <c r="F252" s="391"/>
      <c r="G252" s="391"/>
      <c r="H252" s="391"/>
      <c r="I252" s="430"/>
      <c r="J252" s="430"/>
      <c r="K252" s="430"/>
      <c r="L252" s="431"/>
      <c r="N252" s="404"/>
      <c r="O252" s="404"/>
      <c r="P252" s="404"/>
      <c r="Q252" s="404"/>
      <c r="R252" s="404"/>
      <c r="S252" s="404"/>
      <c r="T252" s="404"/>
    </row>
    <row r="253" spans="1:20">
      <c r="A253" s="392"/>
      <c r="B253" s="391"/>
      <c r="C253" s="391"/>
      <c r="D253" s="391"/>
      <c r="E253" s="391"/>
      <c r="F253" s="391"/>
      <c r="G253" s="391"/>
      <c r="H253" s="391"/>
      <c r="I253" s="430"/>
      <c r="J253" s="430"/>
      <c r="K253" s="430"/>
      <c r="L253" s="431"/>
      <c r="N253" s="404"/>
      <c r="O253" s="404"/>
      <c r="P253" s="404"/>
      <c r="Q253" s="404"/>
      <c r="R253" s="404"/>
      <c r="S253" s="404"/>
      <c r="T253" s="404"/>
    </row>
    <row r="254" spans="1:20">
      <c r="A254" s="392"/>
      <c r="B254" s="391"/>
      <c r="C254" s="391"/>
      <c r="D254" s="391"/>
      <c r="E254" s="391"/>
      <c r="F254" s="391"/>
      <c r="G254" s="391"/>
      <c r="H254" s="391"/>
      <c r="I254" s="430"/>
      <c r="J254" s="430"/>
      <c r="K254" s="430"/>
      <c r="L254" s="431"/>
      <c r="N254" s="404"/>
      <c r="O254" s="404"/>
      <c r="P254" s="404"/>
      <c r="Q254" s="404"/>
      <c r="R254" s="404"/>
      <c r="S254" s="404"/>
      <c r="T254" s="404"/>
    </row>
    <row r="255" spans="1:20">
      <c r="A255" s="392"/>
      <c r="B255" s="391"/>
      <c r="C255" s="391"/>
      <c r="D255" s="391"/>
      <c r="E255" s="391"/>
      <c r="F255" s="391"/>
      <c r="G255" s="391"/>
      <c r="H255" s="391"/>
      <c r="I255" s="430"/>
      <c r="J255" s="430"/>
      <c r="K255" s="430"/>
      <c r="L255" s="431"/>
      <c r="N255" s="404"/>
      <c r="O255" s="404"/>
      <c r="P255" s="404"/>
      <c r="Q255" s="404"/>
      <c r="R255" s="404"/>
      <c r="S255" s="404"/>
      <c r="T255" s="404"/>
    </row>
    <row r="256" spans="1:20">
      <c r="A256" s="392"/>
      <c r="B256" s="391"/>
      <c r="C256" s="391"/>
      <c r="D256" s="391"/>
      <c r="E256" s="391"/>
      <c r="F256" s="391"/>
      <c r="G256" s="391"/>
      <c r="H256" s="391"/>
      <c r="I256" s="430"/>
      <c r="J256" s="430"/>
      <c r="K256" s="430"/>
      <c r="L256" s="431"/>
      <c r="N256" s="404"/>
      <c r="O256" s="404"/>
      <c r="P256" s="404"/>
      <c r="Q256" s="404"/>
      <c r="R256" s="404"/>
      <c r="S256" s="404"/>
      <c r="T256" s="404"/>
    </row>
    <row r="257" spans="1:20">
      <c r="A257" s="392"/>
      <c r="B257" s="391"/>
      <c r="C257" s="391"/>
      <c r="D257" s="391"/>
      <c r="E257" s="391"/>
      <c r="F257" s="391"/>
      <c r="G257" s="391"/>
      <c r="H257" s="391"/>
      <c r="I257" s="430"/>
      <c r="J257" s="430"/>
      <c r="K257" s="430"/>
      <c r="L257" s="431"/>
      <c r="N257" s="404"/>
      <c r="O257" s="404"/>
      <c r="P257" s="404"/>
      <c r="Q257" s="404"/>
      <c r="R257" s="404"/>
      <c r="S257" s="404"/>
      <c r="T257" s="404"/>
    </row>
    <row r="258" spans="1:20">
      <c r="A258" s="392"/>
      <c r="B258" s="391"/>
      <c r="C258" s="391"/>
      <c r="D258" s="391"/>
      <c r="E258" s="391"/>
      <c r="F258" s="391"/>
      <c r="G258" s="391"/>
      <c r="H258" s="391"/>
      <c r="I258" s="430"/>
      <c r="J258" s="430"/>
      <c r="K258" s="430"/>
      <c r="L258" s="431"/>
      <c r="N258" s="404"/>
      <c r="O258" s="404"/>
      <c r="P258" s="404"/>
      <c r="Q258" s="404"/>
      <c r="R258" s="404"/>
      <c r="S258" s="404"/>
      <c r="T258" s="404"/>
    </row>
    <row r="259" spans="1:20">
      <c r="A259" s="392"/>
      <c r="B259" s="391"/>
      <c r="C259" s="391"/>
      <c r="D259" s="391"/>
      <c r="E259" s="391"/>
      <c r="F259" s="391"/>
      <c r="G259" s="391"/>
      <c r="H259" s="391"/>
      <c r="I259" s="430"/>
      <c r="J259" s="430"/>
      <c r="K259" s="430"/>
      <c r="L259" s="431"/>
      <c r="N259" s="404"/>
      <c r="O259" s="404"/>
      <c r="P259" s="404"/>
      <c r="Q259" s="404"/>
      <c r="R259" s="404"/>
      <c r="S259" s="404"/>
      <c r="T259" s="404"/>
    </row>
    <row r="260" spans="1:20">
      <c r="A260" s="392"/>
      <c r="B260" s="391"/>
      <c r="C260" s="391"/>
      <c r="D260" s="391"/>
      <c r="E260" s="391"/>
      <c r="F260" s="391"/>
      <c r="G260" s="391"/>
      <c r="H260" s="391"/>
      <c r="I260" s="430"/>
      <c r="J260" s="430"/>
      <c r="K260" s="430"/>
      <c r="L260" s="431"/>
      <c r="N260" s="404"/>
      <c r="O260" s="404"/>
      <c r="P260" s="404"/>
      <c r="Q260" s="404"/>
      <c r="R260" s="404"/>
      <c r="S260" s="404"/>
      <c r="T260" s="404"/>
    </row>
    <row r="261" spans="1:20">
      <c r="A261" s="392"/>
      <c r="B261" s="391"/>
      <c r="C261" s="391"/>
      <c r="D261" s="391"/>
      <c r="E261" s="391"/>
      <c r="F261" s="391"/>
      <c r="G261" s="391"/>
      <c r="H261" s="391"/>
      <c r="I261" s="430"/>
      <c r="J261" s="430"/>
      <c r="K261" s="430"/>
      <c r="L261" s="431"/>
      <c r="N261" s="404"/>
      <c r="O261" s="404"/>
      <c r="P261" s="404"/>
      <c r="Q261" s="404"/>
      <c r="R261" s="404"/>
      <c r="S261" s="404"/>
      <c r="T261" s="404"/>
    </row>
    <row r="262" spans="1:20">
      <c r="A262" s="392"/>
      <c r="B262" s="391"/>
      <c r="C262" s="391"/>
      <c r="D262" s="391"/>
      <c r="E262" s="391"/>
      <c r="F262" s="391"/>
      <c r="G262" s="391"/>
      <c r="H262" s="391"/>
      <c r="I262" s="430"/>
      <c r="J262" s="430"/>
      <c r="K262" s="430"/>
      <c r="L262" s="431"/>
      <c r="N262" s="404"/>
      <c r="O262" s="404"/>
      <c r="P262" s="404"/>
      <c r="Q262" s="404"/>
      <c r="R262" s="404"/>
      <c r="S262" s="404"/>
      <c r="T262" s="404"/>
    </row>
    <row r="263" spans="1:20">
      <c r="A263" s="392"/>
      <c r="B263" s="391"/>
      <c r="C263" s="391"/>
      <c r="D263" s="391"/>
      <c r="E263" s="391"/>
      <c r="F263" s="391"/>
      <c r="G263" s="391"/>
      <c r="H263" s="391"/>
      <c r="I263" s="430"/>
      <c r="J263" s="430"/>
      <c r="K263" s="430"/>
      <c r="L263" s="431"/>
      <c r="N263" s="404"/>
      <c r="O263" s="404"/>
      <c r="P263" s="404"/>
      <c r="Q263" s="404"/>
      <c r="R263" s="404"/>
      <c r="S263" s="404"/>
      <c r="T263" s="404"/>
    </row>
    <row r="264" spans="1:20">
      <c r="A264" s="392"/>
      <c r="B264" s="391"/>
      <c r="C264" s="391"/>
      <c r="D264" s="391"/>
      <c r="E264" s="391"/>
      <c r="F264" s="391"/>
      <c r="G264" s="391"/>
      <c r="H264" s="391"/>
      <c r="I264" s="430"/>
      <c r="J264" s="430"/>
      <c r="K264" s="430"/>
      <c r="L264" s="431"/>
      <c r="N264" s="404"/>
      <c r="O264" s="404"/>
      <c r="P264" s="404"/>
      <c r="Q264" s="404"/>
      <c r="R264" s="404"/>
      <c r="S264" s="404"/>
      <c r="T264" s="404"/>
    </row>
    <row r="265" spans="1:20">
      <c r="A265" s="392"/>
      <c r="B265" s="391"/>
      <c r="C265" s="391"/>
      <c r="D265" s="391"/>
      <c r="E265" s="391"/>
      <c r="F265" s="391"/>
      <c r="G265" s="391"/>
      <c r="H265" s="391"/>
      <c r="I265" s="430"/>
      <c r="J265" s="430"/>
      <c r="K265" s="430"/>
      <c r="L265" s="431"/>
      <c r="N265" s="404"/>
      <c r="O265" s="404"/>
      <c r="P265" s="404"/>
      <c r="Q265" s="404"/>
      <c r="R265" s="404"/>
      <c r="S265" s="404"/>
      <c r="T265" s="404"/>
    </row>
    <row r="266" spans="1:20">
      <c r="A266" s="392"/>
      <c r="B266" s="391"/>
      <c r="C266" s="391"/>
      <c r="D266" s="391"/>
      <c r="E266" s="391"/>
      <c r="F266" s="391"/>
      <c r="G266" s="391"/>
      <c r="H266" s="391"/>
      <c r="I266" s="430"/>
      <c r="J266" s="430"/>
      <c r="K266" s="430"/>
      <c r="L266" s="431"/>
      <c r="N266" s="404"/>
      <c r="O266" s="404"/>
      <c r="P266" s="404"/>
      <c r="Q266" s="404"/>
      <c r="R266" s="404"/>
      <c r="S266" s="404"/>
      <c r="T266" s="404"/>
    </row>
    <row r="267" spans="1:20" ht="18.600000000000001" thickBot="1">
      <c r="A267" s="393"/>
      <c r="B267" s="394"/>
      <c r="C267" s="394"/>
      <c r="D267" s="394"/>
      <c r="E267" s="394"/>
      <c r="F267" s="394"/>
      <c r="G267" s="394"/>
      <c r="H267" s="394"/>
      <c r="I267" s="432"/>
      <c r="J267" s="432"/>
      <c r="K267" s="432"/>
      <c r="L267" s="433"/>
      <c r="N267" s="404"/>
      <c r="O267" s="404"/>
      <c r="P267" s="404"/>
      <c r="Q267" s="404"/>
      <c r="R267" s="404"/>
      <c r="S267" s="404"/>
      <c r="T267" s="404"/>
    </row>
    <row r="269" spans="1:20" ht="18.600000000000001" thickBot="1">
      <c r="A269" s="2" t="s">
        <v>353</v>
      </c>
    </row>
    <row r="270" spans="1:20" ht="18.600000000000001" thickBot="1">
      <c r="A270" s="397" t="s">
        <v>135</v>
      </c>
      <c r="B270" s="398" t="s">
        <v>113</v>
      </c>
      <c r="C270" s="399" t="s">
        <v>148</v>
      </c>
      <c r="D270" s="400" t="s">
        <v>147</v>
      </c>
      <c r="E270" s="400" t="s">
        <v>149</v>
      </c>
      <c r="F270" s="400" t="s">
        <v>150</v>
      </c>
      <c r="G270" s="400" t="s">
        <v>151</v>
      </c>
      <c r="H270" s="400" t="s">
        <v>152</v>
      </c>
      <c r="I270" s="434" t="s">
        <v>134</v>
      </c>
      <c r="J270" s="434"/>
      <c r="K270" s="434"/>
      <c r="L270" s="435"/>
      <c r="N270" s="390" t="s">
        <v>335</v>
      </c>
    </row>
    <row r="271" spans="1:20">
      <c r="A271" s="395"/>
      <c r="B271" s="396"/>
      <c r="C271" s="396"/>
      <c r="D271" s="396"/>
      <c r="E271" s="396"/>
      <c r="F271" s="396"/>
      <c r="G271" s="396"/>
      <c r="H271" s="396"/>
      <c r="I271" s="436"/>
      <c r="J271" s="436"/>
      <c r="K271" s="436"/>
      <c r="L271" s="437"/>
      <c r="N271" s="401" t="s">
        <v>334</v>
      </c>
    </row>
    <row r="272" spans="1:20">
      <c r="A272" s="392"/>
      <c r="B272" s="391"/>
      <c r="C272" s="391"/>
      <c r="D272" s="391"/>
      <c r="E272" s="391"/>
      <c r="F272" s="391"/>
      <c r="G272" s="391"/>
      <c r="H272" s="391"/>
      <c r="I272" s="430"/>
      <c r="J272" s="430"/>
      <c r="K272" s="430"/>
      <c r="L272" s="431"/>
      <c r="N272" s="401" t="s">
        <v>336</v>
      </c>
    </row>
    <row r="273" spans="1:20">
      <c r="A273" s="392"/>
      <c r="B273" s="391"/>
      <c r="C273" s="391"/>
      <c r="D273" s="391"/>
      <c r="E273" s="391"/>
      <c r="F273" s="391"/>
      <c r="G273" s="391"/>
      <c r="H273" s="391"/>
      <c r="I273" s="430"/>
      <c r="J273" s="430"/>
      <c r="K273" s="430"/>
      <c r="L273" s="431"/>
      <c r="N273" s="401" t="s">
        <v>338</v>
      </c>
    </row>
    <row r="274" spans="1:20">
      <c r="A274" s="392"/>
      <c r="B274" s="391"/>
      <c r="C274" s="391"/>
      <c r="D274" s="391"/>
      <c r="E274" s="391"/>
      <c r="F274" s="391"/>
      <c r="G274" s="391"/>
      <c r="H274" s="391"/>
      <c r="I274" s="430"/>
      <c r="J274" s="430"/>
      <c r="K274" s="430"/>
      <c r="L274" s="431"/>
      <c r="N274" s="401" t="s">
        <v>340</v>
      </c>
    </row>
    <row r="275" spans="1:20">
      <c r="A275" s="392"/>
      <c r="B275" s="391"/>
      <c r="C275" s="391"/>
      <c r="D275" s="391"/>
      <c r="E275" s="391"/>
      <c r="F275" s="391"/>
      <c r="G275" s="391"/>
      <c r="H275" s="391"/>
      <c r="I275" s="430"/>
      <c r="J275" s="430"/>
      <c r="K275" s="430"/>
      <c r="L275" s="431"/>
      <c r="N275" s="401" t="s">
        <v>341</v>
      </c>
    </row>
    <row r="276" spans="1:20">
      <c r="A276" s="392"/>
      <c r="B276" s="391"/>
      <c r="C276" s="391"/>
      <c r="D276" s="391"/>
      <c r="E276" s="391"/>
      <c r="F276" s="391"/>
      <c r="G276" s="391"/>
      <c r="H276" s="391"/>
      <c r="I276" s="430"/>
      <c r="J276" s="430"/>
      <c r="K276" s="430"/>
      <c r="L276" s="431"/>
      <c r="N276" s="401" t="s">
        <v>342</v>
      </c>
    </row>
    <row r="277" spans="1:20">
      <c r="A277" s="392"/>
      <c r="B277" s="391"/>
      <c r="C277" s="391"/>
      <c r="D277" s="391"/>
      <c r="E277" s="391"/>
      <c r="F277" s="391"/>
      <c r="G277" s="391"/>
      <c r="H277" s="391"/>
      <c r="I277" s="430"/>
      <c r="J277" s="430"/>
      <c r="K277" s="430"/>
      <c r="L277" s="431"/>
      <c r="N277" s="401" t="s">
        <v>343</v>
      </c>
    </row>
    <row r="278" spans="1:20">
      <c r="A278" s="392"/>
      <c r="B278" s="391"/>
      <c r="C278" s="391"/>
      <c r="D278" s="391"/>
      <c r="E278" s="391"/>
      <c r="F278" s="391"/>
      <c r="G278" s="391"/>
      <c r="H278" s="391"/>
      <c r="I278" s="430"/>
      <c r="J278" s="430"/>
      <c r="K278" s="430"/>
      <c r="L278" s="431"/>
      <c r="N278" s="401" t="s">
        <v>344</v>
      </c>
    </row>
    <row r="279" spans="1:20">
      <c r="A279" s="392"/>
      <c r="B279" s="391"/>
      <c r="C279" s="391"/>
      <c r="D279" s="391"/>
      <c r="E279" s="391"/>
      <c r="F279" s="391"/>
      <c r="G279" s="391"/>
      <c r="H279" s="391"/>
      <c r="I279" s="430"/>
      <c r="J279" s="430"/>
      <c r="K279" s="430"/>
      <c r="L279" s="431"/>
      <c r="N279" s="401" t="s">
        <v>345</v>
      </c>
    </row>
    <row r="280" spans="1:20">
      <c r="A280" s="392"/>
      <c r="B280" s="391"/>
      <c r="C280" s="391"/>
      <c r="D280" s="391"/>
      <c r="E280" s="391"/>
      <c r="F280" s="391"/>
      <c r="G280" s="391"/>
      <c r="H280" s="391"/>
      <c r="I280" s="430"/>
      <c r="J280" s="430"/>
      <c r="K280" s="430"/>
      <c r="L280" s="431"/>
      <c r="N280" s="401" t="s">
        <v>346</v>
      </c>
    </row>
    <row r="281" spans="1:20">
      <c r="A281" s="392"/>
      <c r="B281" s="391"/>
      <c r="C281" s="391"/>
      <c r="D281" s="391"/>
      <c r="E281" s="391"/>
      <c r="F281" s="391"/>
      <c r="G281" s="391"/>
      <c r="H281" s="391"/>
      <c r="I281" s="430"/>
      <c r="J281" s="430"/>
      <c r="K281" s="430"/>
      <c r="L281" s="431"/>
      <c r="N281" s="401" t="s">
        <v>347</v>
      </c>
    </row>
    <row r="282" spans="1:20" ht="18.600000000000001" thickBot="1">
      <c r="A282" s="392"/>
      <c r="B282" s="391"/>
      <c r="C282" s="391"/>
      <c r="D282" s="391"/>
      <c r="E282" s="391"/>
      <c r="F282" s="391"/>
      <c r="G282" s="391"/>
      <c r="H282" s="391"/>
      <c r="I282" s="430"/>
      <c r="J282" s="430"/>
      <c r="K282" s="430"/>
      <c r="L282" s="431"/>
      <c r="N282" s="402" t="s">
        <v>348</v>
      </c>
    </row>
    <row r="283" spans="1:20">
      <c r="A283" s="392"/>
      <c r="B283" s="391"/>
      <c r="C283" s="391"/>
      <c r="D283" s="391"/>
      <c r="E283" s="391"/>
      <c r="F283" s="391"/>
      <c r="G283" s="391"/>
      <c r="H283" s="391"/>
      <c r="I283" s="430"/>
      <c r="J283" s="430"/>
      <c r="K283" s="430"/>
      <c r="L283" s="431"/>
    </row>
    <row r="284" spans="1:20">
      <c r="A284" s="392"/>
      <c r="B284" s="391"/>
      <c r="C284" s="391"/>
      <c r="D284" s="391"/>
      <c r="E284" s="391"/>
      <c r="F284" s="391"/>
      <c r="G284" s="391"/>
      <c r="H284" s="391"/>
      <c r="I284" s="430"/>
      <c r="J284" s="430"/>
      <c r="K284" s="430"/>
      <c r="L284" s="431"/>
    </row>
    <row r="285" spans="1:20">
      <c r="A285" s="392"/>
      <c r="B285" s="391"/>
      <c r="C285" s="391"/>
      <c r="D285" s="391"/>
      <c r="E285" s="391"/>
      <c r="F285" s="391"/>
      <c r="G285" s="391"/>
      <c r="H285" s="391"/>
      <c r="I285" s="430"/>
      <c r="J285" s="430"/>
      <c r="K285" s="430"/>
      <c r="L285" s="431"/>
      <c r="N285" s="3" t="s">
        <v>365</v>
      </c>
    </row>
    <row r="286" spans="1:20">
      <c r="A286" s="392"/>
      <c r="B286" s="391"/>
      <c r="C286" s="391"/>
      <c r="D286" s="391"/>
      <c r="E286" s="391"/>
      <c r="F286" s="391"/>
      <c r="G286" s="391"/>
      <c r="H286" s="391"/>
      <c r="I286" s="430"/>
      <c r="J286" s="430"/>
      <c r="K286" s="430"/>
      <c r="L286" s="431"/>
      <c r="N286" s="404"/>
      <c r="O286" s="404"/>
      <c r="P286" s="404"/>
      <c r="Q286" s="404"/>
      <c r="R286" s="404"/>
      <c r="S286" s="404"/>
      <c r="T286" s="404"/>
    </row>
    <row r="287" spans="1:20">
      <c r="A287" s="392"/>
      <c r="B287" s="391"/>
      <c r="C287" s="391"/>
      <c r="D287" s="391"/>
      <c r="E287" s="391"/>
      <c r="F287" s="391"/>
      <c r="G287" s="391"/>
      <c r="H287" s="391"/>
      <c r="I287" s="430"/>
      <c r="J287" s="430"/>
      <c r="K287" s="430"/>
      <c r="L287" s="431"/>
      <c r="N287" s="404"/>
      <c r="O287" s="404"/>
      <c r="P287" s="404"/>
      <c r="Q287" s="404"/>
      <c r="R287" s="404"/>
      <c r="S287" s="404"/>
      <c r="T287" s="404"/>
    </row>
    <row r="288" spans="1:20">
      <c r="A288" s="392"/>
      <c r="B288" s="391"/>
      <c r="C288" s="391"/>
      <c r="D288" s="391"/>
      <c r="E288" s="391"/>
      <c r="F288" s="391"/>
      <c r="G288" s="391"/>
      <c r="H288" s="391"/>
      <c r="I288" s="430"/>
      <c r="J288" s="430"/>
      <c r="K288" s="430"/>
      <c r="L288" s="431"/>
      <c r="N288" s="404"/>
      <c r="O288" s="404"/>
      <c r="P288" s="404"/>
      <c r="Q288" s="404"/>
      <c r="R288" s="404"/>
      <c r="S288" s="404"/>
      <c r="T288" s="404"/>
    </row>
    <row r="289" spans="1:20">
      <c r="A289" s="392"/>
      <c r="B289" s="391"/>
      <c r="C289" s="391"/>
      <c r="D289" s="391"/>
      <c r="E289" s="391"/>
      <c r="F289" s="391"/>
      <c r="G289" s="391"/>
      <c r="H289" s="391"/>
      <c r="I289" s="430"/>
      <c r="J289" s="430"/>
      <c r="K289" s="430"/>
      <c r="L289" s="431"/>
      <c r="N289" s="404"/>
      <c r="O289" s="404"/>
      <c r="P289" s="404"/>
      <c r="Q289" s="404"/>
      <c r="R289" s="404"/>
      <c r="S289" s="404"/>
      <c r="T289" s="404"/>
    </row>
    <row r="290" spans="1:20">
      <c r="A290" s="392"/>
      <c r="B290" s="391"/>
      <c r="C290" s="391"/>
      <c r="D290" s="391"/>
      <c r="E290" s="391"/>
      <c r="F290" s="391"/>
      <c r="G290" s="391"/>
      <c r="H290" s="391"/>
      <c r="I290" s="430"/>
      <c r="J290" s="430"/>
      <c r="K290" s="430"/>
      <c r="L290" s="431"/>
      <c r="N290" s="404"/>
      <c r="O290" s="404"/>
      <c r="P290" s="404"/>
      <c r="Q290" s="404"/>
      <c r="R290" s="404"/>
      <c r="S290" s="404"/>
      <c r="T290" s="404"/>
    </row>
    <row r="291" spans="1:20">
      <c r="A291" s="392"/>
      <c r="B291" s="391"/>
      <c r="C291" s="391"/>
      <c r="D291" s="391"/>
      <c r="E291" s="391"/>
      <c r="F291" s="391"/>
      <c r="G291" s="391"/>
      <c r="H291" s="391"/>
      <c r="I291" s="430"/>
      <c r="J291" s="430"/>
      <c r="K291" s="430"/>
      <c r="L291" s="431"/>
      <c r="N291" s="404"/>
      <c r="O291" s="404"/>
      <c r="P291" s="404"/>
      <c r="Q291" s="404"/>
      <c r="R291" s="404"/>
      <c r="S291" s="404"/>
      <c r="T291" s="404"/>
    </row>
    <row r="292" spans="1:20">
      <c r="A292" s="392"/>
      <c r="B292" s="391"/>
      <c r="C292" s="391"/>
      <c r="D292" s="391"/>
      <c r="E292" s="391"/>
      <c r="F292" s="391"/>
      <c r="G292" s="391"/>
      <c r="H292" s="391"/>
      <c r="I292" s="430"/>
      <c r="J292" s="430"/>
      <c r="K292" s="430"/>
      <c r="L292" s="431"/>
      <c r="N292" s="404"/>
      <c r="O292" s="404"/>
      <c r="P292" s="404"/>
      <c r="Q292" s="404"/>
      <c r="R292" s="404"/>
      <c r="S292" s="404"/>
      <c r="T292" s="404"/>
    </row>
    <row r="293" spans="1:20">
      <c r="A293" s="392"/>
      <c r="B293" s="391"/>
      <c r="C293" s="391"/>
      <c r="D293" s="391"/>
      <c r="E293" s="391"/>
      <c r="F293" s="391"/>
      <c r="G293" s="391"/>
      <c r="H293" s="391"/>
      <c r="I293" s="430"/>
      <c r="J293" s="430"/>
      <c r="K293" s="430"/>
      <c r="L293" s="431"/>
      <c r="N293" s="404"/>
      <c r="O293" s="404"/>
      <c r="P293" s="404"/>
      <c r="Q293" s="404"/>
      <c r="R293" s="404"/>
      <c r="S293" s="404"/>
      <c r="T293" s="404"/>
    </row>
    <row r="294" spans="1:20">
      <c r="A294" s="392"/>
      <c r="B294" s="391"/>
      <c r="C294" s="391"/>
      <c r="D294" s="391"/>
      <c r="E294" s="391"/>
      <c r="F294" s="391"/>
      <c r="G294" s="391"/>
      <c r="H294" s="391"/>
      <c r="I294" s="430"/>
      <c r="J294" s="430"/>
      <c r="K294" s="430"/>
      <c r="L294" s="431"/>
      <c r="N294" s="404"/>
      <c r="O294" s="404"/>
      <c r="P294" s="404"/>
      <c r="Q294" s="404"/>
      <c r="R294" s="404"/>
      <c r="S294" s="404"/>
      <c r="T294" s="404"/>
    </row>
    <row r="295" spans="1:20">
      <c r="A295" s="392"/>
      <c r="B295" s="391"/>
      <c r="C295" s="391"/>
      <c r="D295" s="391"/>
      <c r="E295" s="391"/>
      <c r="F295" s="391"/>
      <c r="G295" s="391"/>
      <c r="H295" s="391"/>
      <c r="I295" s="430"/>
      <c r="J295" s="430"/>
      <c r="K295" s="430"/>
      <c r="L295" s="431"/>
      <c r="N295" s="404"/>
      <c r="O295" s="404"/>
      <c r="P295" s="404"/>
      <c r="Q295" s="404"/>
      <c r="R295" s="404"/>
      <c r="S295" s="404"/>
      <c r="T295" s="404"/>
    </row>
    <row r="296" spans="1:20">
      <c r="A296" s="392"/>
      <c r="B296" s="391"/>
      <c r="C296" s="391"/>
      <c r="D296" s="391"/>
      <c r="E296" s="391"/>
      <c r="F296" s="391"/>
      <c r="G296" s="391"/>
      <c r="H296" s="391"/>
      <c r="I296" s="430"/>
      <c r="J296" s="430"/>
      <c r="K296" s="430"/>
      <c r="L296" s="431"/>
      <c r="N296" s="404"/>
      <c r="O296" s="404"/>
      <c r="P296" s="404"/>
      <c r="Q296" s="404"/>
      <c r="R296" s="404"/>
      <c r="S296" s="404"/>
      <c r="T296" s="404"/>
    </row>
    <row r="297" spans="1:20">
      <c r="A297" s="392"/>
      <c r="B297" s="391"/>
      <c r="C297" s="391"/>
      <c r="D297" s="391"/>
      <c r="E297" s="391"/>
      <c r="F297" s="391"/>
      <c r="G297" s="391"/>
      <c r="H297" s="391"/>
      <c r="I297" s="430"/>
      <c r="J297" s="430"/>
      <c r="K297" s="430"/>
      <c r="L297" s="431"/>
      <c r="N297" s="404"/>
      <c r="O297" s="404"/>
      <c r="P297" s="404"/>
      <c r="Q297" s="404"/>
      <c r="R297" s="404"/>
      <c r="S297" s="404"/>
      <c r="T297" s="404"/>
    </row>
    <row r="298" spans="1:20">
      <c r="A298" s="392"/>
      <c r="B298" s="391"/>
      <c r="C298" s="391"/>
      <c r="D298" s="391"/>
      <c r="E298" s="391"/>
      <c r="F298" s="391"/>
      <c r="G298" s="391"/>
      <c r="H298" s="391"/>
      <c r="I298" s="430"/>
      <c r="J298" s="430"/>
      <c r="K298" s="430"/>
      <c r="L298" s="431"/>
      <c r="N298" s="404"/>
      <c r="O298" s="404"/>
      <c r="P298" s="404"/>
      <c r="Q298" s="404"/>
      <c r="R298" s="404"/>
      <c r="S298" s="404"/>
      <c r="T298" s="404"/>
    </row>
    <row r="299" spans="1:20">
      <c r="A299" s="392"/>
      <c r="B299" s="391"/>
      <c r="C299" s="391"/>
      <c r="D299" s="391"/>
      <c r="E299" s="391"/>
      <c r="F299" s="391"/>
      <c r="G299" s="391"/>
      <c r="H299" s="391"/>
      <c r="I299" s="430"/>
      <c r="J299" s="430"/>
      <c r="K299" s="430"/>
      <c r="L299" s="431"/>
      <c r="N299" s="404"/>
      <c r="O299" s="404"/>
      <c r="P299" s="404"/>
      <c r="Q299" s="404"/>
      <c r="R299" s="404"/>
      <c r="S299" s="404"/>
      <c r="T299" s="404"/>
    </row>
    <row r="300" spans="1:20">
      <c r="A300" s="392"/>
      <c r="B300" s="391"/>
      <c r="C300" s="391"/>
      <c r="D300" s="391"/>
      <c r="E300" s="391"/>
      <c r="F300" s="391"/>
      <c r="G300" s="391"/>
      <c r="H300" s="391"/>
      <c r="I300" s="430"/>
      <c r="J300" s="430"/>
      <c r="K300" s="430"/>
      <c r="L300" s="431"/>
      <c r="N300" s="404"/>
      <c r="O300" s="404"/>
      <c r="P300" s="404"/>
      <c r="Q300" s="404"/>
      <c r="R300" s="404"/>
      <c r="S300" s="404"/>
      <c r="T300" s="404"/>
    </row>
    <row r="301" spans="1:20" ht="18.600000000000001" thickBot="1">
      <c r="A301" s="393"/>
      <c r="B301" s="394"/>
      <c r="C301" s="394"/>
      <c r="D301" s="394"/>
      <c r="E301" s="394"/>
      <c r="F301" s="394"/>
      <c r="G301" s="394"/>
      <c r="H301" s="394"/>
      <c r="I301" s="432"/>
      <c r="J301" s="432"/>
      <c r="K301" s="432"/>
      <c r="L301" s="433"/>
      <c r="N301" s="404"/>
      <c r="O301" s="404"/>
      <c r="P301" s="404"/>
      <c r="Q301" s="404"/>
      <c r="R301" s="404"/>
      <c r="S301" s="404"/>
      <c r="T301" s="404"/>
    </row>
    <row r="303" spans="1:20" ht="18.600000000000001" thickBot="1">
      <c r="A303" s="2" t="s">
        <v>354</v>
      </c>
    </row>
    <row r="304" spans="1:20" ht="18.600000000000001" thickBot="1">
      <c r="A304" s="397" t="s">
        <v>135</v>
      </c>
      <c r="B304" s="398" t="s">
        <v>113</v>
      </c>
      <c r="C304" s="399" t="s">
        <v>148</v>
      </c>
      <c r="D304" s="400" t="s">
        <v>147</v>
      </c>
      <c r="E304" s="400" t="s">
        <v>149</v>
      </c>
      <c r="F304" s="400" t="s">
        <v>150</v>
      </c>
      <c r="G304" s="400" t="s">
        <v>151</v>
      </c>
      <c r="H304" s="400" t="s">
        <v>152</v>
      </c>
      <c r="I304" s="434" t="s">
        <v>134</v>
      </c>
      <c r="J304" s="434"/>
      <c r="K304" s="434"/>
      <c r="L304" s="435"/>
      <c r="N304" s="390" t="s">
        <v>335</v>
      </c>
    </row>
    <row r="305" spans="1:20">
      <c r="A305" s="395"/>
      <c r="B305" s="396"/>
      <c r="C305" s="396"/>
      <c r="D305" s="396"/>
      <c r="E305" s="396"/>
      <c r="F305" s="396"/>
      <c r="G305" s="396"/>
      <c r="H305" s="396"/>
      <c r="I305" s="436"/>
      <c r="J305" s="436"/>
      <c r="K305" s="436"/>
      <c r="L305" s="437"/>
      <c r="N305" s="401" t="s">
        <v>334</v>
      </c>
    </row>
    <row r="306" spans="1:20">
      <c r="A306" s="392"/>
      <c r="B306" s="391"/>
      <c r="C306" s="391"/>
      <c r="D306" s="391"/>
      <c r="E306" s="391"/>
      <c r="F306" s="391"/>
      <c r="G306" s="391"/>
      <c r="H306" s="391"/>
      <c r="I306" s="430"/>
      <c r="J306" s="430"/>
      <c r="K306" s="430"/>
      <c r="L306" s="431"/>
      <c r="N306" s="401" t="s">
        <v>336</v>
      </c>
    </row>
    <row r="307" spans="1:20">
      <c r="A307" s="392"/>
      <c r="B307" s="391"/>
      <c r="C307" s="391"/>
      <c r="D307" s="391"/>
      <c r="E307" s="391"/>
      <c r="F307" s="391"/>
      <c r="G307" s="391"/>
      <c r="H307" s="391"/>
      <c r="I307" s="430"/>
      <c r="J307" s="430"/>
      <c r="K307" s="430"/>
      <c r="L307" s="431"/>
      <c r="N307" s="401" t="s">
        <v>338</v>
      </c>
    </row>
    <row r="308" spans="1:20">
      <c r="A308" s="392"/>
      <c r="B308" s="391"/>
      <c r="C308" s="391"/>
      <c r="D308" s="391"/>
      <c r="E308" s="391"/>
      <c r="F308" s="391"/>
      <c r="G308" s="391"/>
      <c r="H308" s="391"/>
      <c r="I308" s="430"/>
      <c r="J308" s="430"/>
      <c r="K308" s="430"/>
      <c r="L308" s="431"/>
      <c r="N308" s="401" t="s">
        <v>340</v>
      </c>
    </row>
    <row r="309" spans="1:20">
      <c r="A309" s="392"/>
      <c r="B309" s="391"/>
      <c r="C309" s="391"/>
      <c r="D309" s="391"/>
      <c r="E309" s="391"/>
      <c r="F309" s="391"/>
      <c r="G309" s="391"/>
      <c r="H309" s="391"/>
      <c r="I309" s="430"/>
      <c r="J309" s="430"/>
      <c r="K309" s="430"/>
      <c r="L309" s="431"/>
      <c r="N309" s="401" t="s">
        <v>341</v>
      </c>
    </row>
    <row r="310" spans="1:20">
      <c r="A310" s="392"/>
      <c r="B310" s="391"/>
      <c r="C310" s="391"/>
      <c r="D310" s="391"/>
      <c r="E310" s="391"/>
      <c r="F310" s="391"/>
      <c r="G310" s="391"/>
      <c r="H310" s="391"/>
      <c r="I310" s="430"/>
      <c r="J310" s="430"/>
      <c r="K310" s="430"/>
      <c r="L310" s="431"/>
      <c r="N310" s="401" t="s">
        <v>342</v>
      </c>
    </row>
    <row r="311" spans="1:20">
      <c r="A311" s="392"/>
      <c r="B311" s="391"/>
      <c r="C311" s="391"/>
      <c r="D311" s="391"/>
      <c r="E311" s="391"/>
      <c r="F311" s="391"/>
      <c r="G311" s="391"/>
      <c r="H311" s="391"/>
      <c r="I311" s="430"/>
      <c r="J311" s="430"/>
      <c r="K311" s="430"/>
      <c r="L311" s="431"/>
      <c r="N311" s="401" t="s">
        <v>343</v>
      </c>
    </row>
    <row r="312" spans="1:20">
      <c r="A312" s="392"/>
      <c r="B312" s="391"/>
      <c r="C312" s="391"/>
      <c r="D312" s="391"/>
      <c r="E312" s="391"/>
      <c r="F312" s="391"/>
      <c r="G312" s="391"/>
      <c r="H312" s="391"/>
      <c r="I312" s="430"/>
      <c r="J312" s="430"/>
      <c r="K312" s="430"/>
      <c r="L312" s="431"/>
      <c r="N312" s="401" t="s">
        <v>344</v>
      </c>
    </row>
    <row r="313" spans="1:20">
      <c r="A313" s="392"/>
      <c r="B313" s="391"/>
      <c r="C313" s="391"/>
      <c r="D313" s="391"/>
      <c r="E313" s="391"/>
      <c r="F313" s="391"/>
      <c r="G313" s="391"/>
      <c r="H313" s="391"/>
      <c r="I313" s="430"/>
      <c r="J313" s="430"/>
      <c r="K313" s="430"/>
      <c r="L313" s="431"/>
      <c r="N313" s="401" t="s">
        <v>345</v>
      </c>
    </row>
    <row r="314" spans="1:20">
      <c r="A314" s="392"/>
      <c r="B314" s="391"/>
      <c r="C314" s="391"/>
      <c r="D314" s="391"/>
      <c r="E314" s="391"/>
      <c r="F314" s="391"/>
      <c r="G314" s="391"/>
      <c r="H314" s="391"/>
      <c r="I314" s="430"/>
      <c r="J314" s="430"/>
      <c r="K314" s="430"/>
      <c r="L314" s="431"/>
      <c r="N314" s="401" t="s">
        <v>346</v>
      </c>
    </row>
    <row r="315" spans="1:20">
      <c r="A315" s="392"/>
      <c r="B315" s="391"/>
      <c r="C315" s="391"/>
      <c r="D315" s="391"/>
      <c r="E315" s="391"/>
      <c r="F315" s="391"/>
      <c r="G315" s="391"/>
      <c r="H315" s="391"/>
      <c r="I315" s="430"/>
      <c r="J315" s="430"/>
      <c r="K315" s="430"/>
      <c r="L315" s="431"/>
      <c r="N315" s="401" t="s">
        <v>347</v>
      </c>
    </row>
    <row r="316" spans="1:20" ht="18.600000000000001" thickBot="1">
      <c r="A316" s="392"/>
      <c r="B316" s="391"/>
      <c r="C316" s="391"/>
      <c r="D316" s="391"/>
      <c r="E316" s="391"/>
      <c r="F316" s="391"/>
      <c r="G316" s="391"/>
      <c r="H316" s="391"/>
      <c r="I316" s="430"/>
      <c r="J316" s="430"/>
      <c r="K316" s="430"/>
      <c r="L316" s="431"/>
      <c r="N316" s="402" t="s">
        <v>348</v>
      </c>
    </row>
    <row r="317" spans="1:20">
      <c r="A317" s="392"/>
      <c r="B317" s="391"/>
      <c r="C317" s="391"/>
      <c r="D317" s="391"/>
      <c r="E317" s="391"/>
      <c r="F317" s="391"/>
      <c r="G317" s="391"/>
      <c r="H317" s="391"/>
      <c r="I317" s="430"/>
      <c r="J317" s="430"/>
      <c r="K317" s="430"/>
      <c r="L317" s="431"/>
    </row>
    <row r="318" spans="1:20">
      <c r="A318" s="392"/>
      <c r="B318" s="391"/>
      <c r="C318" s="391"/>
      <c r="D318" s="391"/>
      <c r="E318" s="391"/>
      <c r="F318" s="391"/>
      <c r="G318" s="391"/>
      <c r="H318" s="391"/>
      <c r="I318" s="430"/>
      <c r="J318" s="430"/>
      <c r="K318" s="430"/>
      <c r="L318" s="431"/>
    </row>
    <row r="319" spans="1:20">
      <c r="A319" s="392"/>
      <c r="B319" s="391"/>
      <c r="C319" s="391"/>
      <c r="D319" s="391"/>
      <c r="E319" s="391"/>
      <c r="F319" s="391"/>
      <c r="G319" s="391"/>
      <c r="H319" s="391"/>
      <c r="I319" s="430"/>
      <c r="J319" s="430"/>
      <c r="K319" s="430"/>
      <c r="L319" s="431"/>
      <c r="N319" s="3" t="s">
        <v>365</v>
      </c>
    </row>
    <row r="320" spans="1:20">
      <c r="A320" s="392"/>
      <c r="B320" s="391"/>
      <c r="C320" s="391"/>
      <c r="D320" s="391"/>
      <c r="E320" s="391"/>
      <c r="F320" s="391"/>
      <c r="G320" s="391"/>
      <c r="H320" s="391"/>
      <c r="I320" s="430"/>
      <c r="J320" s="430"/>
      <c r="K320" s="430"/>
      <c r="L320" s="431"/>
      <c r="N320" s="404"/>
      <c r="O320" s="404"/>
      <c r="P320" s="404"/>
      <c r="Q320" s="404"/>
      <c r="R320" s="404"/>
      <c r="S320" s="404"/>
      <c r="T320" s="404"/>
    </row>
    <row r="321" spans="1:20">
      <c r="A321" s="392"/>
      <c r="B321" s="391"/>
      <c r="C321" s="391"/>
      <c r="D321" s="391"/>
      <c r="E321" s="391"/>
      <c r="F321" s="391"/>
      <c r="G321" s="391"/>
      <c r="H321" s="391"/>
      <c r="I321" s="430"/>
      <c r="J321" s="430"/>
      <c r="K321" s="430"/>
      <c r="L321" s="431"/>
      <c r="N321" s="404"/>
      <c r="O321" s="404"/>
      <c r="P321" s="404"/>
      <c r="Q321" s="404"/>
      <c r="R321" s="404"/>
      <c r="S321" s="404"/>
      <c r="T321" s="404"/>
    </row>
    <row r="322" spans="1:20">
      <c r="A322" s="392"/>
      <c r="B322" s="391"/>
      <c r="C322" s="391"/>
      <c r="D322" s="391"/>
      <c r="E322" s="391"/>
      <c r="F322" s="391"/>
      <c r="G322" s="391"/>
      <c r="H322" s="391"/>
      <c r="I322" s="430"/>
      <c r="J322" s="430"/>
      <c r="K322" s="430"/>
      <c r="L322" s="431"/>
      <c r="N322" s="404"/>
      <c r="O322" s="404"/>
      <c r="P322" s="404"/>
      <c r="Q322" s="404"/>
      <c r="R322" s="404"/>
      <c r="S322" s="404"/>
      <c r="T322" s="404"/>
    </row>
    <row r="323" spans="1:20">
      <c r="A323" s="392"/>
      <c r="B323" s="391"/>
      <c r="C323" s="391"/>
      <c r="D323" s="391"/>
      <c r="E323" s="391"/>
      <c r="F323" s="391"/>
      <c r="G323" s="391"/>
      <c r="H323" s="391"/>
      <c r="I323" s="430"/>
      <c r="J323" s="430"/>
      <c r="K323" s="430"/>
      <c r="L323" s="431"/>
      <c r="N323" s="404"/>
      <c r="O323" s="404"/>
      <c r="P323" s="404"/>
      <c r="Q323" s="404"/>
      <c r="R323" s="404"/>
      <c r="S323" s="404"/>
      <c r="T323" s="404"/>
    </row>
    <row r="324" spans="1:20">
      <c r="A324" s="392"/>
      <c r="B324" s="391"/>
      <c r="C324" s="391"/>
      <c r="D324" s="391"/>
      <c r="E324" s="391"/>
      <c r="F324" s="391"/>
      <c r="G324" s="391"/>
      <c r="H324" s="391"/>
      <c r="I324" s="430"/>
      <c r="J324" s="430"/>
      <c r="K324" s="430"/>
      <c r="L324" s="431"/>
      <c r="N324" s="404"/>
      <c r="O324" s="404"/>
      <c r="P324" s="404"/>
      <c r="Q324" s="404"/>
      <c r="R324" s="404"/>
      <c r="S324" s="404"/>
      <c r="T324" s="404"/>
    </row>
    <row r="325" spans="1:20">
      <c r="A325" s="392"/>
      <c r="B325" s="391"/>
      <c r="C325" s="391"/>
      <c r="D325" s="391"/>
      <c r="E325" s="391"/>
      <c r="F325" s="391"/>
      <c r="G325" s="391"/>
      <c r="H325" s="391"/>
      <c r="I325" s="430"/>
      <c r="J325" s="430"/>
      <c r="K325" s="430"/>
      <c r="L325" s="431"/>
      <c r="N325" s="404"/>
      <c r="O325" s="404"/>
      <c r="P325" s="404"/>
      <c r="Q325" s="404"/>
      <c r="R325" s="404"/>
      <c r="S325" s="404"/>
      <c r="T325" s="404"/>
    </row>
    <row r="326" spans="1:20">
      <c r="A326" s="392"/>
      <c r="B326" s="391"/>
      <c r="C326" s="391"/>
      <c r="D326" s="391"/>
      <c r="E326" s="391"/>
      <c r="F326" s="391"/>
      <c r="G326" s="391"/>
      <c r="H326" s="391"/>
      <c r="I326" s="430"/>
      <c r="J326" s="430"/>
      <c r="K326" s="430"/>
      <c r="L326" s="431"/>
      <c r="N326" s="404"/>
      <c r="O326" s="404"/>
      <c r="P326" s="404"/>
      <c r="Q326" s="404"/>
      <c r="R326" s="404"/>
      <c r="S326" s="404"/>
      <c r="T326" s="404"/>
    </row>
    <row r="327" spans="1:20">
      <c r="A327" s="392"/>
      <c r="B327" s="391"/>
      <c r="C327" s="391"/>
      <c r="D327" s="391"/>
      <c r="E327" s="391"/>
      <c r="F327" s="391"/>
      <c r="G327" s="391"/>
      <c r="H327" s="391"/>
      <c r="I327" s="430"/>
      <c r="J327" s="430"/>
      <c r="K327" s="430"/>
      <c r="L327" s="431"/>
      <c r="N327" s="404"/>
      <c r="O327" s="404"/>
      <c r="P327" s="404"/>
      <c r="Q327" s="404"/>
      <c r="R327" s="404"/>
      <c r="S327" s="404"/>
      <c r="T327" s="404"/>
    </row>
    <row r="328" spans="1:20">
      <c r="A328" s="392"/>
      <c r="B328" s="391"/>
      <c r="C328" s="391"/>
      <c r="D328" s="391"/>
      <c r="E328" s="391"/>
      <c r="F328" s="391"/>
      <c r="G328" s="391"/>
      <c r="H328" s="391"/>
      <c r="I328" s="430"/>
      <c r="J328" s="430"/>
      <c r="K328" s="430"/>
      <c r="L328" s="431"/>
      <c r="N328" s="404"/>
      <c r="O328" s="404"/>
      <c r="P328" s="404"/>
      <c r="Q328" s="404"/>
      <c r="R328" s="404"/>
      <c r="S328" s="404"/>
      <c r="T328" s="404"/>
    </row>
    <row r="329" spans="1:20">
      <c r="A329" s="392"/>
      <c r="B329" s="391"/>
      <c r="C329" s="391"/>
      <c r="D329" s="391"/>
      <c r="E329" s="391"/>
      <c r="F329" s="391"/>
      <c r="G329" s="391"/>
      <c r="H329" s="391"/>
      <c r="I329" s="430"/>
      <c r="J329" s="430"/>
      <c r="K329" s="430"/>
      <c r="L329" s="431"/>
      <c r="N329" s="404"/>
      <c r="O329" s="404"/>
      <c r="P329" s="404"/>
      <c r="Q329" s="404"/>
      <c r="R329" s="404"/>
      <c r="S329" s="404"/>
      <c r="T329" s="404"/>
    </row>
    <row r="330" spans="1:20">
      <c r="A330" s="392"/>
      <c r="B330" s="391"/>
      <c r="C330" s="391"/>
      <c r="D330" s="391"/>
      <c r="E330" s="391"/>
      <c r="F330" s="391"/>
      <c r="G330" s="391"/>
      <c r="H330" s="391"/>
      <c r="I330" s="430"/>
      <c r="J330" s="430"/>
      <c r="K330" s="430"/>
      <c r="L330" s="431"/>
      <c r="N330" s="404"/>
      <c r="O330" s="404"/>
      <c r="P330" s="404"/>
      <c r="Q330" s="404"/>
      <c r="R330" s="404"/>
      <c r="S330" s="404"/>
      <c r="T330" s="404"/>
    </row>
    <row r="331" spans="1:20">
      <c r="A331" s="392"/>
      <c r="B331" s="391"/>
      <c r="C331" s="391"/>
      <c r="D331" s="391"/>
      <c r="E331" s="391"/>
      <c r="F331" s="391"/>
      <c r="G331" s="391"/>
      <c r="H331" s="391"/>
      <c r="I331" s="430"/>
      <c r="J331" s="430"/>
      <c r="K331" s="430"/>
      <c r="L331" s="431"/>
      <c r="N331" s="404"/>
      <c r="O331" s="404"/>
      <c r="P331" s="404"/>
      <c r="Q331" s="404"/>
      <c r="R331" s="404"/>
      <c r="S331" s="404"/>
      <c r="T331" s="404"/>
    </row>
    <row r="332" spans="1:20">
      <c r="A332" s="392"/>
      <c r="B332" s="391"/>
      <c r="C332" s="391"/>
      <c r="D332" s="391"/>
      <c r="E332" s="391"/>
      <c r="F332" s="391"/>
      <c r="G332" s="391"/>
      <c r="H332" s="391"/>
      <c r="I332" s="430"/>
      <c r="J332" s="430"/>
      <c r="K332" s="430"/>
      <c r="L332" s="431"/>
      <c r="N332" s="404"/>
      <c r="O332" s="404"/>
      <c r="P332" s="404"/>
      <c r="Q332" s="404"/>
      <c r="R332" s="404"/>
      <c r="S332" s="404"/>
      <c r="T332" s="404"/>
    </row>
    <row r="333" spans="1:20">
      <c r="A333" s="392"/>
      <c r="B333" s="391"/>
      <c r="C333" s="391"/>
      <c r="D333" s="391"/>
      <c r="E333" s="391"/>
      <c r="F333" s="391"/>
      <c r="G333" s="391"/>
      <c r="H333" s="391"/>
      <c r="I333" s="430"/>
      <c r="J333" s="430"/>
      <c r="K333" s="430"/>
      <c r="L333" s="431"/>
      <c r="N333" s="404"/>
      <c r="O333" s="404"/>
      <c r="P333" s="404"/>
      <c r="Q333" s="404"/>
      <c r="R333" s="404"/>
      <c r="S333" s="404"/>
      <c r="T333" s="404"/>
    </row>
    <row r="334" spans="1:20">
      <c r="A334" s="392"/>
      <c r="B334" s="391"/>
      <c r="C334" s="391"/>
      <c r="D334" s="391"/>
      <c r="E334" s="391"/>
      <c r="F334" s="391"/>
      <c r="G334" s="391"/>
      <c r="H334" s="391"/>
      <c r="I334" s="430"/>
      <c r="J334" s="430"/>
      <c r="K334" s="430"/>
      <c r="L334" s="431"/>
      <c r="N334" s="404"/>
      <c r="O334" s="404"/>
      <c r="P334" s="404"/>
      <c r="Q334" s="404"/>
      <c r="R334" s="404"/>
      <c r="S334" s="404"/>
      <c r="T334" s="404"/>
    </row>
    <row r="335" spans="1:20" ht="18.600000000000001" thickBot="1">
      <c r="A335" s="393"/>
      <c r="B335" s="394"/>
      <c r="C335" s="394"/>
      <c r="D335" s="394"/>
      <c r="E335" s="394"/>
      <c r="F335" s="394"/>
      <c r="G335" s="394"/>
      <c r="H335" s="394"/>
      <c r="I335" s="432"/>
      <c r="J335" s="432"/>
      <c r="K335" s="432"/>
      <c r="L335" s="433"/>
      <c r="N335" s="404"/>
      <c r="O335" s="404"/>
      <c r="P335" s="404"/>
      <c r="Q335" s="404"/>
      <c r="R335" s="404"/>
      <c r="S335" s="404"/>
      <c r="T335" s="404"/>
    </row>
    <row r="337" spans="1:14" ht="18.600000000000001" thickBot="1">
      <c r="A337" s="2" t="s">
        <v>355</v>
      </c>
    </row>
    <row r="338" spans="1:14" ht="18.600000000000001" thickBot="1">
      <c r="A338" s="397" t="s">
        <v>135</v>
      </c>
      <c r="B338" s="398" t="s">
        <v>113</v>
      </c>
      <c r="C338" s="399" t="s">
        <v>148</v>
      </c>
      <c r="D338" s="400" t="s">
        <v>147</v>
      </c>
      <c r="E338" s="400" t="s">
        <v>149</v>
      </c>
      <c r="F338" s="400" t="s">
        <v>150</v>
      </c>
      <c r="G338" s="400" t="s">
        <v>151</v>
      </c>
      <c r="H338" s="400" t="s">
        <v>152</v>
      </c>
      <c r="I338" s="434" t="s">
        <v>134</v>
      </c>
      <c r="J338" s="434"/>
      <c r="K338" s="434"/>
      <c r="L338" s="435"/>
      <c r="N338" s="390" t="s">
        <v>335</v>
      </c>
    </row>
    <row r="339" spans="1:14">
      <c r="A339" s="395"/>
      <c r="B339" s="396"/>
      <c r="C339" s="396"/>
      <c r="D339" s="396"/>
      <c r="E339" s="396"/>
      <c r="F339" s="396"/>
      <c r="G339" s="396"/>
      <c r="H339" s="396"/>
      <c r="I339" s="436"/>
      <c r="J339" s="436"/>
      <c r="K339" s="436"/>
      <c r="L339" s="437"/>
      <c r="N339" s="401" t="s">
        <v>334</v>
      </c>
    </row>
    <row r="340" spans="1:14">
      <c r="A340" s="392"/>
      <c r="B340" s="391"/>
      <c r="C340" s="391"/>
      <c r="D340" s="391"/>
      <c r="E340" s="391"/>
      <c r="F340" s="391"/>
      <c r="G340" s="391"/>
      <c r="H340" s="391"/>
      <c r="I340" s="430"/>
      <c r="J340" s="430"/>
      <c r="K340" s="430"/>
      <c r="L340" s="431"/>
      <c r="N340" s="401" t="s">
        <v>336</v>
      </c>
    </row>
    <row r="341" spans="1:14">
      <c r="A341" s="392"/>
      <c r="B341" s="391"/>
      <c r="C341" s="391"/>
      <c r="D341" s="391"/>
      <c r="E341" s="391"/>
      <c r="F341" s="391"/>
      <c r="G341" s="391"/>
      <c r="H341" s="391"/>
      <c r="I341" s="430"/>
      <c r="J341" s="430"/>
      <c r="K341" s="430"/>
      <c r="L341" s="431"/>
      <c r="N341" s="401" t="s">
        <v>338</v>
      </c>
    </row>
    <row r="342" spans="1:14">
      <c r="A342" s="392"/>
      <c r="B342" s="391"/>
      <c r="C342" s="391"/>
      <c r="D342" s="391"/>
      <c r="E342" s="391"/>
      <c r="F342" s="391"/>
      <c r="G342" s="391"/>
      <c r="H342" s="391"/>
      <c r="I342" s="430"/>
      <c r="J342" s="430"/>
      <c r="K342" s="430"/>
      <c r="L342" s="431"/>
      <c r="N342" s="401" t="s">
        <v>340</v>
      </c>
    </row>
    <row r="343" spans="1:14">
      <c r="A343" s="392"/>
      <c r="B343" s="391"/>
      <c r="C343" s="391"/>
      <c r="D343" s="391"/>
      <c r="E343" s="391"/>
      <c r="F343" s="391"/>
      <c r="G343" s="391"/>
      <c r="H343" s="391"/>
      <c r="I343" s="430"/>
      <c r="J343" s="430"/>
      <c r="K343" s="430"/>
      <c r="L343" s="431"/>
      <c r="N343" s="401" t="s">
        <v>341</v>
      </c>
    </row>
    <row r="344" spans="1:14">
      <c r="A344" s="392"/>
      <c r="B344" s="391"/>
      <c r="C344" s="391"/>
      <c r="D344" s="391"/>
      <c r="E344" s="391"/>
      <c r="F344" s="391"/>
      <c r="G344" s="391"/>
      <c r="H344" s="391"/>
      <c r="I344" s="430"/>
      <c r="J344" s="430"/>
      <c r="K344" s="430"/>
      <c r="L344" s="431"/>
      <c r="N344" s="401" t="s">
        <v>342</v>
      </c>
    </row>
    <row r="345" spans="1:14">
      <c r="A345" s="392"/>
      <c r="B345" s="391"/>
      <c r="C345" s="391"/>
      <c r="D345" s="391"/>
      <c r="E345" s="391"/>
      <c r="F345" s="391"/>
      <c r="G345" s="391"/>
      <c r="H345" s="391"/>
      <c r="I345" s="430"/>
      <c r="J345" s="430"/>
      <c r="K345" s="430"/>
      <c r="L345" s="431"/>
      <c r="N345" s="401" t="s">
        <v>343</v>
      </c>
    </row>
    <row r="346" spans="1:14">
      <c r="A346" s="392"/>
      <c r="B346" s="391"/>
      <c r="C346" s="391"/>
      <c r="D346" s="391"/>
      <c r="E346" s="391"/>
      <c r="F346" s="391"/>
      <c r="G346" s="391"/>
      <c r="H346" s="391"/>
      <c r="I346" s="430"/>
      <c r="J346" s="430"/>
      <c r="K346" s="430"/>
      <c r="L346" s="431"/>
      <c r="N346" s="401" t="s">
        <v>344</v>
      </c>
    </row>
    <row r="347" spans="1:14">
      <c r="A347" s="392"/>
      <c r="B347" s="391"/>
      <c r="C347" s="391"/>
      <c r="D347" s="391"/>
      <c r="E347" s="391"/>
      <c r="F347" s="391"/>
      <c r="G347" s="391"/>
      <c r="H347" s="391"/>
      <c r="I347" s="430"/>
      <c r="J347" s="430"/>
      <c r="K347" s="430"/>
      <c r="L347" s="431"/>
      <c r="N347" s="401" t="s">
        <v>345</v>
      </c>
    </row>
    <row r="348" spans="1:14">
      <c r="A348" s="392"/>
      <c r="B348" s="391"/>
      <c r="C348" s="391"/>
      <c r="D348" s="391"/>
      <c r="E348" s="391"/>
      <c r="F348" s="391"/>
      <c r="G348" s="391"/>
      <c r="H348" s="391"/>
      <c r="I348" s="430"/>
      <c r="J348" s="430"/>
      <c r="K348" s="430"/>
      <c r="L348" s="431"/>
      <c r="N348" s="401" t="s">
        <v>346</v>
      </c>
    </row>
    <row r="349" spans="1:14">
      <c r="A349" s="392"/>
      <c r="B349" s="391"/>
      <c r="C349" s="391"/>
      <c r="D349" s="391"/>
      <c r="E349" s="391"/>
      <c r="F349" s="391"/>
      <c r="G349" s="391"/>
      <c r="H349" s="391"/>
      <c r="I349" s="430"/>
      <c r="J349" s="430"/>
      <c r="K349" s="430"/>
      <c r="L349" s="431"/>
      <c r="N349" s="401" t="s">
        <v>347</v>
      </c>
    </row>
    <row r="350" spans="1:14" ht="18.600000000000001" thickBot="1">
      <c r="A350" s="392"/>
      <c r="B350" s="391"/>
      <c r="C350" s="391"/>
      <c r="D350" s="391"/>
      <c r="E350" s="391"/>
      <c r="F350" s="391"/>
      <c r="G350" s="391"/>
      <c r="H350" s="391"/>
      <c r="I350" s="430"/>
      <c r="J350" s="430"/>
      <c r="K350" s="430"/>
      <c r="L350" s="431"/>
      <c r="N350" s="402" t="s">
        <v>348</v>
      </c>
    </row>
    <row r="351" spans="1:14">
      <c r="A351" s="392"/>
      <c r="B351" s="391"/>
      <c r="C351" s="391"/>
      <c r="D351" s="391"/>
      <c r="E351" s="391"/>
      <c r="F351" s="391"/>
      <c r="G351" s="391"/>
      <c r="H351" s="391"/>
      <c r="I351" s="430"/>
      <c r="J351" s="430"/>
      <c r="K351" s="430"/>
      <c r="L351" s="431"/>
    </row>
    <row r="352" spans="1:14">
      <c r="A352" s="392"/>
      <c r="B352" s="391"/>
      <c r="C352" s="391"/>
      <c r="D352" s="391"/>
      <c r="E352" s="391"/>
      <c r="F352" s="391"/>
      <c r="G352" s="391"/>
      <c r="H352" s="391"/>
      <c r="I352" s="430"/>
      <c r="J352" s="430"/>
      <c r="K352" s="430"/>
      <c r="L352" s="431"/>
    </row>
    <row r="353" spans="1:20">
      <c r="A353" s="392"/>
      <c r="B353" s="391"/>
      <c r="C353" s="391"/>
      <c r="D353" s="391"/>
      <c r="E353" s="391"/>
      <c r="F353" s="391"/>
      <c r="G353" s="391"/>
      <c r="H353" s="391"/>
      <c r="I353" s="430"/>
      <c r="J353" s="430"/>
      <c r="K353" s="430"/>
      <c r="L353" s="431"/>
      <c r="N353" s="3" t="s">
        <v>365</v>
      </c>
    </row>
    <row r="354" spans="1:20">
      <c r="A354" s="392"/>
      <c r="B354" s="391"/>
      <c r="C354" s="391"/>
      <c r="D354" s="391"/>
      <c r="E354" s="391"/>
      <c r="F354" s="391"/>
      <c r="G354" s="391"/>
      <c r="H354" s="391"/>
      <c r="I354" s="430"/>
      <c r="J354" s="430"/>
      <c r="K354" s="430"/>
      <c r="L354" s="431"/>
      <c r="N354" s="404"/>
      <c r="O354" s="404"/>
      <c r="P354" s="404"/>
      <c r="Q354" s="404"/>
      <c r="R354" s="404"/>
      <c r="S354" s="404"/>
      <c r="T354" s="404"/>
    </row>
    <row r="355" spans="1:20">
      <c r="A355" s="392"/>
      <c r="B355" s="391"/>
      <c r="C355" s="391"/>
      <c r="D355" s="391"/>
      <c r="E355" s="391"/>
      <c r="F355" s="391"/>
      <c r="G355" s="391"/>
      <c r="H355" s="391"/>
      <c r="I355" s="430"/>
      <c r="J355" s="430"/>
      <c r="K355" s="430"/>
      <c r="L355" s="431"/>
      <c r="N355" s="404"/>
      <c r="O355" s="404"/>
      <c r="P355" s="404"/>
      <c r="Q355" s="404"/>
      <c r="R355" s="404"/>
      <c r="S355" s="404"/>
      <c r="T355" s="404"/>
    </row>
    <row r="356" spans="1:20">
      <c r="A356" s="392"/>
      <c r="B356" s="391"/>
      <c r="C356" s="391"/>
      <c r="D356" s="391"/>
      <c r="E356" s="391"/>
      <c r="F356" s="391"/>
      <c r="G356" s="391"/>
      <c r="H356" s="391"/>
      <c r="I356" s="430"/>
      <c r="J356" s="430"/>
      <c r="K356" s="430"/>
      <c r="L356" s="431"/>
      <c r="N356" s="404"/>
      <c r="O356" s="404"/>
      <c r="P356" s="404"/>
      <c r="Q356" s="404"/>
      <c r="R356" s="404"/>
      <c r="S356" s="404"/>
      <c r="T356" s="404"/>
    </row>
    <row r="357" spans="1:20">
      <c r="A357" s="392"/>
      <c r="B357" s="391"/>
      <c r="C357" s="391"/>
      <c r="D357" s="391"/>
      <c r="E357" s="391"/>
      <c r="F357" s="391"/>
      <c r="G357" s="391"/>
      <c r="H357" s="391"/>
      <c r="I357" s="430"/>
      <c r="J357" s="430"/>
      <c r="K357" s="430"/>
      <c r="L357" s="431"/>
      <c r="N357" s="404"/>
      <c r="O357" s="404"/>
      <c r="P357" s="404"/>
      <c r="Q357" s="404"/>
      <c r="R357" s="404"/>
      <c r="S357" s="404"/>
      <c r="T357" s="404"/>
    </row>
    <row r="358" spans="1:20">
      <c r="A358" s="392"/>
      <c r="B358" s="391"/>
      <c r="C358" s="391"/>
      <c r="D358" s="391"/>
      <c r="E358" s="391"/>
      <c r="F358" s="391"/>
      <c r="G358" s="391"/>
      <c r="H358" s="391"/>
      <c r="I358" s="430"/>
      <c r="J358" s="430"/>
      <c r="K358" s="430"/>
      <c r="L358" s="431"/>
      <c r="N358" s="404"/>
      <c r="O358" s="404"/>
      <c r="P358" s="404"/>
      <c r="Q358" s="404"/>
      <c r="R358" s="404"/>
      <c r="S358" s="404"/>
      <c r="T358" s="404"/>
    </row>
    <row r="359" spans="1:20">
      <c r="A359" s="392"/>
      <c r="B359" s="391"/>
      <c r="C359" s="391"/>
      <c r="D359" s="391"/>
      <c r="E359" s="391"/>
      <c r="F359" s="391"/>
      <c r="G359" s="391"/>
      <c r="H359" s="391"/>
      <c r="I359" s="430"/>
      <c r="J359" s="430"/>
      <c r="K359" s="430"/>
      <c r="L359" s="431"/>
      <c r="N359" s="404"/>
      <c r="O359" s="404"/>
      <c r="P359" s="404"/>
      <c r="Q359" s="404"/>
      <c r="R359" s="404"/>
      <c r="S359" s="404"/>
      <c r="T359" s="404"/>
    </row>
    <row r="360" spans="1:20">
      <c r="A360" s="392"/>
      <c r="B360" s="391"/>
      <c r="C360" s="391"/>
      <c r="D360" s="391"/>
      <c r="E360" s="391"/>
      <c r="F360" s="391"/>
      <c r="G360" s="391"/>
      <c r="H360" s="391"/>
      <c r="I360" s="430"/>
      <c r="J360" s="430"/>
      <c r="K360" s="430"/>
      <c r="L360" s="431"/>
      <c r="N360" s="404"/>
      <c r="O360" s="404"/>
      <c r="P360" s="404"/>
      <c r="Q360" s="404"/>
      <c r="R360" s="404"/>
      <c r="S360" s="404"/>
      <c r="T360" s="404"/>
    </row>
    <row r="361" spans="1:20">
      <c r="A361" s="392"/>
      <c r="B361" s="391"/>
      <c r="C361" s="391"/>
      <c r="D361" s="391"/>
      <c r="E361" s="391"/>
      <c r="F361" s="391"/>
      <c r="G361" s="391"/>
      <c r="H361" s="391"/>
      <c r="I361" s="430"/>
      <c r="J361" s="430"/>
      <c r="K361" s="430"/>
      <c r="L361" s="431"/>
      <c r="N361" s="404"/>
      <c r="O361" s="404"/>
      <c r="P361" s="404"/>
      <c r="Q361" s="404"/>
      <c r="R361" s="404"/>
      <c r="S361" s="404"/>
      <c r="T361" s="404"/>
    </row>
    <row r="362" spans="1:20">
      <c r="A362" s="392"/>
      <c r="B362" s="391"/>
      <c r="C362" s="391"/>
      <c r="D362" s="391"/>
      <c r="E362" s="391"/>
      <c r="F362" s="391"/>
      <c r="G362" s="391"/>
      <c r="H362" s="391"/>
      <c r="I362" s="430"/>
      <c r="J362" s="430"/>
      <c r="K362" s="430"/>
      <c r="L362" s="431"/>
      <c r="N362" s="404"/>
      <c r="O362" s="404"/>
      <c r="P362" s="404"/>
      <c r="Q362" s="404"/>
      <c r="R362" s="404"/>
      <c r="S362" s="404"/>
      <c r="T362" s="404"/>
    </row>
    <row r="363" spans="1:20">
      <c r="A363" s="392"/>
      <c r="B363" s="391"/>
      <c r="C363" s="391"/>
      <c r="D363" s="391"/>
      <c r="E363" s="391"/>
      <c r="F363" s="391"/>
      <c r="G363" s="391"/>
      <c r="H363" s="391"/>
      <c r="I363" s="430"/>
      <c r="J363" s="430"/>
      <c r="K363" s="430"/>
      <c r="L363" s="431"/>
      <c r="N363" s="404"/>
      <c r="O363" s="404"/>
      <c r="P363" s="404"/>
      <c r="Q363" s="404"/>
      <c r="R363" s="404"/>
      <c r="S363" s="404"/>
      <c r="T363" s="404"/>
    </row>
    <row r="364" spans="1:20">
      <c r="A364" s="392"/>
      <c r="B364" s="391"/>
      <c r="C364" s="391"/>
      <c r="D364" s="391"/>
      <c r="E364" s="391"/>
      <c r="F364" s="391"/>
      <c r="G364" s="391"/>
      <c r="H364" s="391"/>
      <c r="I364" s="430"/>
      <c r="J364" s="430"/>
      <c r="K364" s="430"/>
      <c r="L364" s="431"/>
      <c r="N364" s="404"/>
      <c r="O364" s="404"/>
      <c r="P364" s="404"/>
      <c r="Q364" s="404"/>
      <c r="R364" s="404"/>
      <c r="S364" s="404"/>
      <c r="T364" s="404"/>
    </row>
    <row r="365" spans="1:20">
      <c r="A365" s="392"/>
      <c r="B365" s="391"/>
      <c r="C365" s="391"/>
      <c r="D365" s="391"/>
      <c r="E365" s="391"/>
      <c r="F365" s="391"/>
      <c r="G365" s="391"/>
      <c r="H365" s="391"/>
      <c r="I365" s="430"/>
      <c r="J365" s="430"/>
      <c r="K365" s="430"/>
      <c r="L365" s="431"/>
      <c r="N365" s="404"/>
      <c r="O365" s="404"/>
      <c r="P365" s="404"/>
      <c r="Q365" s="404"/>
      <c r="R365" s="404"/>
      <c r="S365" s="404"/>
      <c r="T365" s="404"/>
    </row>
    <row r="366" spans="1:20">
      <c r="A366" s="392"/>
      <c r="B366" s="391"/>
      <c r="C366" s="391"/>
      <c r="D366" s="391"/>
      <c r="E366" s="391"/>
      <c r="F366" s="391"/>
      <c r="G366" s="391"/>
      <c r="H366" s="391"/>
      <c r="I366" s="430"/>
      <c r="J366" s="430"/>
      <c r="K366" s="430"/>
      <c r="L366" s="431"/>
      <c r="N366" s="404"/>
      <c r="O366" s="404"/>
      <c r="P366" s="404"/>
      <c r="Q366" s="404"/>
      <c r="R366" s="404"/>
      <c r="S366" s="404"/>
      <c r="T366" s="404"/>
    </row>
    <row r="367" spans="1:20">
      <c r="A367" s="392"/>
      <c r="B367" s="391"/>
      <c r="C367" s="391"/>
      <c r="D367" s="391"/>
      <c r="E367" s="391"/>
      <c r="F367" s="391"/>
      <c r="G367" s="391"/>
      <c r="H367" s="391"/>
      <c r="I367" s="430"/>
      <c r="J367" s="430"/>
      <c r="K367" s="430"/>
      <c r="L367" s="431"/>
      <c r="N367" s="404"/>
      <c r="O367" s="404"/>
      <c r="P367" s="404"/>
      <c r="Q367" s="404"/>
      <c r="R367" s="404"/>
      <c r="S367" s="404"/>
      <c r="T367" s="404"/>
    </row>
    <row r="368" spans="1:20">
      <c r="A368" s="392"/>
      <c r="B368" s="391"/>
      <c r="C368" s="391"/>
      <c r="D368" s="391"/>
      <c r="E368" s="391"/>
      <c r="F368" s="391"/>
      <c r="G368" s="391"/>
      <c r="H368" s="391"/>
      <c r="I368" s="430"/>
      <c r="J368" s="430"/>
      <c r="K368" s="430"/>
      <c r="L368" s="431"/>
      <c r="N368" s="404"/>
      <c r="O368" s="404"/>
      <c r="P368" s="404"/>
      <c r="Q368" s="404"/>
      <c r="R368" s="404"/>
      <c r="S368" s="404"/>
      <c r="T368" s="404"/>
    </row>
    <row r="369" spans="1:20" ht="18.600000000000001" thickBot="1">
      <c r="A369" s="393"/>
      <c r="B369" s="394"/>
      <c r="C369" s="394"/>
      <c r="D369" s="394"/>
      <c r="E369" s="394"/>
      <c r="F369" s="394"/>
      <c r="G369" s="394"/>
      <c r="H369" s="394"/>
      <c r="I369" s="432"/>
      <c r="J369" s="432"/>
      <c r="K369" s="432"/>
      <c r="L369" s="433"/>
      <c r="N369" s="404"/>
      <c r="O369" s="404"/>
      <c r="P369" s="404"/>
      <c r="Q369" s="404"/>
      <c r="R369" s="404"/>
      <c r="S369" s="404"/>
      <c r="T369" s="404"/>
    </row>
    <row r="371" spans="1:20" ht="18.600000000000001" thickBot="1">
      <c r="A371" s="2" t="s">
        <v>356</v>
      </c>
    </row>
    <row r="372" spans="1:20" ht="18.600000000000001" thickBot="1">
      <c r="A372" s="397" t="s">
        <v>135</v>
      </c>
      <c r="B372" s="398" t="s">
        <v>113</v>
      </c>
      <c r="C372" s="399" t="s">
        <v>148</v>
      </c>
      <c r="D372" s="400" t="s">
        <v>147</v>
      </c>
      <c r="E372" s="400" t="s">
        <v>149</v>
      </c>
      <c r="F372" s="400" t="s">
        <v>150</v>
      </c>
      <c r="G372" s="400" t="s">
        <v>151</v>
      </c>
      <c r="H372" s="400" t="s">
        <v>152</v>
      </c>
      <c r="I372" s="434" t="s">
        <v>134</v>
      </c>
      <c r="J372" s="434"/>
      <c r="K372" s="434"/>
      <c r="L372" s="435"/>
      <c r="N372" s="390" t="s">
        <v>335</v>
      </c>
    </row>
    <row r="373" spans="1:20">
      <c r="A373" s="395"/>
      <c r="B373" s="396"/>
      <c r="C373" s="396"/>
      <c r="D373" s="396"/>
      <c r="E373" s="396"/>
      <c r="F373" s="396"/>
      <c r="G373" s="396"/>
      <c r="H373" s="396"/>
      <c r="I373" s="436"/>
      <c r="J373" s="436"/>
      <c r="K373" s="436"/>
      <c r="L373" s="437"/>
      <c r="N373" s="401" t="s">
        <v>334</v>
      </c>
    </row>
    <row r="374" spans="1:20">
      <c r="A374" s="392"/>
      <c r="B374" s="391"/>
      <c r="C374" s="391"/>
      <c r="D374" s="391"/>
      <c r="E374" s="391"/>
      <c r="F374" s="391"/>
      <c r="G374" s="391"/>
      <c r="H374" s="391"/>
      <c r="I374" s="430"/>
      <c r="J374" s="430"/>
      <c r="K374" s="430"/>
      <c r="L374" s="431"/>
      <c r="N374" s="401" t="s">
        <v>336</v>
      </c>
    </row>
    <row r="375" spans="1:20">
      <c r="A375" s="392"/>
      <c r="B375" s="391"/>
      <c r="C375" s="391"/>
      <c r="D375" s="391"/>
      <c r="E375" s="391"/>
      <c r="F375" s="391"/>
      <c r="G375" s="391"/>
      <c r="H375" s="391"/>
      <c r="I375" s="430"/>
      <c r="J375" s="430"/>
      <c r="K375" s="430"/>
      <c r="L375" s="431"/>
      <c r="N375" s="401" t="s">
        <v>338</v>
      </c>
    </row>
    <row r="376" spans="1:20">
      <c r="A376" s="392"/>
      <c r="B376" s="391"/>
      <c r="C376" s="391"/>
      <c r="D376" s="391"/>
      <c r="E376" s="391"/>
      <c r="F376" s="391"/>
      <c r="G376" s="391"/>
      <c r="H376" s="391"/>
      <c r="I376" s="430"/>
      <c r="J376" s="430"/>
      <c r="K376" s="430"/>
      <c r="L376" s="431"/>
      <c r="N376" s="401" t="s">
        <v>340</v>
      </c>
    </row>
    <row r="377" spans="1:20">
      <c r="A377" s="392"/>
      <c r="B377" s="391"/>
      <c r="C377" s="391"/>
      <c r="D377" s="391"/>
      <c r="E377" s="391"/>
      <c r="F377" s="391"/>
      <c r="G377" s="391"/>
      <c r="H377" s="391"/>
      <c r="I377" s="430"/>
      <c r="J377" s="430"/>
      <c r="K377" s="430"/>
      <c r="L377" s="431"/>
      <c r="N377" s="401" t="s">
        <v>341</v>
      </c>
    </row>
    <row r="378" spans="1:20">
      <c r="A378" s="392"/>
      <c r="B378" s="391"/>
      <c r="C378" s="391"/>
      <c r="D378" s="391"/>
      <c r="E378" s="391"/>
      <c r="F378" s="391"/>
      <c r="G378" s="391"/>
      <c r="H378" s="391"/>
      <c r="I378" s="430"/>
      <c r="J378" s="430"/>
      <c r="K378" s="430"/>
      <c r="L378" s="431"/>
      <c r="N378" s="401" t="s">
        <v>342</v>
      </c>
    </row>
    <row r="379" spans="1:20">
      <c r="A379" s="392"/>
      <c r="B379" s="391"/>
      <c r="C379" s="391"/>
      <c r="D379" s="391"/>
      <c r="E379" s="391"/>
      <c r="F379" s="391"/>
      <c r="G379" s="391"/>
      <c r="H379" s="391"/>
      <c r="I379" s="430"/>
      <c r="J379" s="430"/>
      <c r="K379" s="430"/>
      <c r="L379" s="431"/>
      <c r="N379" s="401" t="s">
        <v>343</v>
      </c>
    </row>
    <row r="380" spans="1:20">
      <c r="A380" s="392"/>
      <c r="B380" s="391"/>
      <c r="C380" s="391"/>
      <c r="D380" s="391"/>
      <c r="E380" s="391"/>
      <c r="F380" s="391"/>
      <c r="G380" s="391"/>
      <c r="H380" s="391"/>
      <c r="I380" s="430"/>
      <c r="J380" s="430"/>
      <c r="K380" s="430"/>
      <c r="L380" s="431"/>
      <c r="N380" s="401" t="s">
        <v>344</v>
      </c>
    </row>
    <row r="381" spans="1:20">
      <c r="A381" s="392"/>
      <c r="B381" s="391"/>
      <c r="C381" s="391"/>
      <c r="D381" s="391"/>
      <c r="E381" s="391"/>
      <c r="F381" s="391"/>
      <c r="G381" s="391"/>
      <c r="H381" s="391"/>
      <c r="I381" s="430"/>
      <c r="J381" s="430"/>
      <c r="K381" s="430"/>
      <c r="L381" s="431"/>
      <c r="N381" s="401" t="s">
        <v>345</v>
      </c>
    </row>
    <row r="382" spans="1:20">
      <c r="A382" s="392"/>
      <c r="B382" s="391"/>
      <c r="C382" s="391"/>
      <c r="D382" s="391"/>
      <c r="E382" s="391"/>
      <c r="F382" s="391"/>
      <c r="G382" s="391"/>
      <c r="H382" s="391"/>
      <c r="I382" s="430"/>
      <c r="J382" s="430"/>
      <c r="K382" s="430"/>
      <c r="L382" s="431"/>
      <c r="N382" s="401" t="s">
        <v>346</v>
      </c>
    </row>
    <row r="383" spans="1:20">
      <c r="A383" s="392"/>
      <c r="B383" s="391"/>
      <c r="C383" s="391"/>
      <c r="D383" s="391"/>
      <c r="E383" s="391"/>
      <c r="F383" s="391"/>
      <c r="G383" s="391"/>
      <c r="H383" s="391"/>
      <c r="I383" s="430"/>
      <c r="J383" s="430"/>
      <c r="K383" s="430"/>
      <c r="L383" s="431"/>
      <c r="N383" s="401" t="s">
        <v>347</v>
      </c>
    </row>
    <row r="384" spans="1:20" ht="18.600000000000001" thickBot="1">
      <c r="A384" s="392"/>
      <c r="B384" s="391"/>
      <c r="C384" s="391"/>
      <c r="D384" s="391"/>
      <c r="E384" s="391"/>
      <c r="F384" s="391"/>
      <c r="G384" s="391"/>
      <c r="H384" s="391"/>
      <c r="I384" s="430"/>
      <c r="J384" s="430"/>
      <c r="K384" s="430"/>
      <c r="L384" s="431"/>
      <c r="N384" s="402" t="s">
        <v>348</v>
      </c>
    </row>
    <row r="385" spans="1:20">
      <c r="A385" s="392"/>
      <c r="B385" s="391"/>
      <c r="C385" s="391"/>
      <c r="D385" s="391"/>
      <c r="E385" s="391"/>
      <c r="F385" s="391"/>
      <c r="G385" s="391"/>
      <c r="H385" s="391"/>
      <c r="I385" s="430"/>
      <c r="J385" s="430"/>
      <c r="K385" s="430"/>
      <c r="L385" s="431"/>
    </row>
    <row r="386" spans="1:20">
      <c r="A386" s="392"/>
      <c r="B386" s="391"/>
      <c r="C386" s="391"/>
      <c r="D386" s="391"/>
      <c r="E386" s="391"/>
      <c r="F386" s="391"/>
      <c r="G386" s="391"/>
      <c r="H386" s="391"/>
      <c r="I386" s="430"/>
      <c r="J386" s="430"/>
      <c r="K386" s="430"/>
      <c r="L386" s="431"/>
    </row>
    <row r="387" spans="1:20">
      <c r="A387" s="392"/>
      <c r="B387" s="391"/>
      <c r="C387" s="391"/>
      <c r="D387" s="391"/>
      <c r="E387" s="391"/>
      <c r="F387" s="391"/>
      <c r="G387" s="391"/>
      <c r="H387" s="391"/>
      <c r="I387" s="430"/>
      <c r="J387" s="430"/>
      <c r="K387" s="430"/>
      <c r="L387" s="431"/>
      <c r="N387" s="3" t="s">
        <v>365</v>
      </c>
    </row>
    <row r="388" spans="1:20">
      <c r="A388" s="392"/>
      <c r="B388" s="391"/>
      <c r="C388" s="391"/>
      <c r="D388" s="391"/>
      <c r="E388" s="391"/>
      <c r="F388" s="391"/>
      <c r="G388" s="391"/>
      <c r="H388" s="391"/>
      <c r="I388" s="430"/>
      <c r="J388" s="430"/>
      <c r="K388" s="430"/>
      <c r="L388" s="431"/>
      <c r="N388" s="405"/>
      <c r="O388" s="404"/>
      <c r="P388" s="404"/>
      <c r="Q388" s="404"/>
      <c r="R388" s="404"/>
      <c r="S388" s="404"/>
      <c r="T388" s="404"/>
    </row>
    <row r="389" spans="1:20">
      <c r="A389" s="392"/>
      <c r="B389" s="391"/>
      <c r="C389" s="391"/>
      <c r="D389" s="391"/>
      <c r="E389" s="391"/>
      <c r="F389" s="391"/>
      <c r="G389" s="391"/>
      <c r="H389" s="391"/>
      <c r="I389" s="430"/>
      <c r="J389" s="430"/>
      <c r="K389" s="430"/>
      <c r="L389" s="431"/>
      <c r="N389" s="404"/>
      <c r="O389" s="404"/>
      <c r="P389" s="404"/>
      <c r="Q389" s="404"/>
      <c r="R389" s="404"/>
      <c r="S389" s="404"/>
      <c r="T389" s="404"/>
    </row>
    <row r="390" spans="1:20">
      <c r="A390" s="392"/>
      <c r="B390" s="391"/>
      <c r="C390" s="391"/>
      <c r="D390" s="391"/>
      <c r="E390" s="391"/>
      <c r="F390" s="391"/>
      <c r="G390" s="391"/>
      <c r="H390" s="391"/>
      <c r="I390" s="430"/>
      <c r="J390" s="430"/>
      <c r="K390" s="430"/>
      <c r="L390" s="431"/>
      <c r="N390" s="404"/>
      <c r="O390" s="404"/>
      <c r="P390" s="404"/>
      <c r="Q390" s="404"/>
      <c r="R390" s="404"/>
      <c r="S390" s="404"/>
      <c r="T390" s="404"/>
    </row>
    <row r="391" spans="1:20">
      <c r="A391" s="392"/>
      <c r="B391" s="391"/>
      <c r="C391" s="391"/>
      <c r="D391" s="391"/>
      <c r="E391" s="391"/>
      <c r="F391" s="391"/>
      <c r="G391" s="391"/>
      <c r="H391" s="391"/>
      <c r="I391" s="430"/>
      <c r="J391" s="430"/>
      <c r="K391" s="430"/>
      <c r="L391" s="431"/>
      <c r="N391" s="404"/>
      <c r="O391" s="404"/>
      <c r="P391" s="404"/>
      <c r="Q391" s="404"/>
      <c r="R391" s="404"/>
      <c r="S391" s="404"/>
      <c r="T391" s="404"/>
    </row>
    <row r="392" spans="1:20">
      <c r="A392" s="392"/>
      <c r="B392" s="391"/>
      <c r="C392" s="391"/>
      <c r="D392" s="391"/>
      <c r="E392" s="391"/>
      <c r="F392" s="391"/>
      <c r="G392" s="391"/>
      <c r="H392" s="391"/>
      <c r="I392" s="430"/>
      <c r="J392" s="430"/>
      <c r="K392" s="430"/>
      <c r="L392" s="431"/>
      <c r="N392" s="404"/>
      <c r="O392" s="404"/>
      <c r="P392" s="404"/>
      <c r="Q392" s="404"/>
      <c r="R392" s="404"/>
      <c r="S392" s="404"/>
      <c r="T392" s="404"/>
    </row>
    <row r="393" spans="1:20">
      <c r="A393" s="392"/>
      <c r="B393" s="391"/>
      <c r="C393" s="391"/>
      <c r="D393" s="391"/>
      <c r="E393" s="391"/>
      <c r="F393" s="391"/>
      <c r="G393" s="391"/>
      <c r="H393" s="391"/>
      <c r="I393" s="430"/>
      <c r="J393" s="430"/>
      <c r="K393" s="430"/>
      <c r="L393" s="431"/>
      <c r="N393" s="404"/>
      <c r="O393" s="404"/>
      <c r="P393" s="404"/>
      <c r="Q393" s="404"/>
      <c r="R393" s="404"/>
      <c r="S393" s="404"/>
      <c r="T393" s="404"/>
    </row>
    <row r="394" spans="1:20">
      <c r="A394" s="392"/>
      <c r="B394" s="391"/>
      <c r="C394" s="391"/>
      <c r="D394" s="391"/>
      <c r="E394" s="391"/>
      <c r="F394" s="391"/>
      <c r="G394" s="391"/>
      <c r="H394" s="391"/>
      <c r="I394" s="430"/>
      <c r="J394" s="430"/>
      <c r="K394" s="430"/>
      <c r="L394" s="431"/>
      <c r="N394" s="404"/>
      <c r="O394" s="404"/>
      <c r="P394" s="404"/>
      <c r="Q394" s="404"/>
      <c r="R394" s="404"/>
      <c r="S394" s="404"/>
      <c r="T394" s="404"/>
    </row>
    <row r="395" spans="1:20">
      <c r="A395" s="392"/>
      <c r="B395" s="391"/>
      <c r="C395" s="391"/>
      <c r="D395" s="391"/>
      <c r="E395" s="391"/>
      <c r="F395" s="391"/>
      <c r="G395" s="391"/>
      <c r="H395" s="391"/>
      <c r="I395" s="430"/>
      <c r="J395" s="430"/>
      <c r="K395" s="430"/>
      <c r="L395" s="431"/>
      <c r="N395" s="404"/>
      <c r="O395" s="404"/>
      <c r="P395" s="404"/>
      <c r="Q395" s="404"/>
      <c r="R395" s="404"/>
      <c r="S395" s="404"/>
      <c r="T395" s="404"/>
    </row>
    <row r="396" spans="1:20">
      <c r="A396" s="392"/>
      <c r="B396" s="391"/>
      <c r="C396" s="391"/>
      <c r="D396" s="391"/>
      <c r="E396" s="391"/>
      <c r="F396" s="391"/>
      <c r="G396" s="391"/>
      <c r="H396" s="391"/>
      <c r="I396" s="430"/>
      <c r="J396" s="430"/>
      <c r="K396" s="430"/>
      <c r="L396" s="431"/>
      <c r="N396" s="404"/>
      <c r="O396" s="404"/>
      <c r="P396" s="404"/>
      <c r="Q396" s="404"/>
      <c r="R396" s="404"/>
      <c r="S396" s="404"/>
      <c r="T396" s="404"/>
    </row>
    <row r="397" spans="1:20">
      <c r="A397" s="392"/>
      <c r="B397" s="391"/>
      <c r="C397" s="391"/>
      <c r="D397" s="391"/>
      <c r="E397" s="391"/>
      <c r="F397" s="391"/>
      <c r="G397" s="391"/>
      <c r="H397" s="391"/>
      <c r="I397" s="430"/>
      <c r="J397" s="430"/>
      <c r="K397" s="430"/>
      <c r="L397" s="431"/>
      <c r="N397" s="404"/>
      <c r="O397" s="404"/>
      <c r="P397" s="404"/>
      <c r="Q397" s="404"/>
      <c r="R397" s="404"/>
      <c r="S397" s="404"/>
      <c r="T397" s="404"/>
    </row>
    <row r="398" spans="1:20">
      <c r="A398" s="392"/>
      <c r="B398" s="391"/>
      <c r="C398" s="391"/>
      <c r="D398" s="391"/>
      <c r="E398" s="391"/>
      <c r="F398" s="391"/>
      <c r="G398" s="391"/>
      <c r="H398" s="391"/>
      <c r="I398" s="430"/>
      <c r="J398" s="430"/>
      <c r="K398" s="430"/>
      <c r="L398" s="431"/>
      <c r="N398" s="404"/>
      <c r="O398" s="404"/>
      <c r="P398" s="404"/>
      <c r="Q398" s="404"/>
      <c r="R398" s="404"/>
      <c r="S398" s="404"/>
      <c r="T398" s="404"/>
    </row>
    <row r="399" spans="1:20">
      <c r="A399" s="392"/>
      <c r="B399" s="391"/>
      <c r="C399" s="391"/>
      <c r="D399" s="391"/>
      <c r="E399" s="391"/>
      <c r="F399" s="391"/>
      <c r="G399" s="391"/>
      <c r="H399" s="391"/>
      <c r="I399" s="430"/>
      <c r="J399" s="430"/>
      <c r="K399" s="430"/>
      <c r="L399" s="431"/>
      <c r="N399" s="404"/>
      <c r="O399" s="404"/>
      <c r="P399" s="404"/>
      <c r="Q399" s="404"/>
      <c r="R399" s="404"/>
      <c r="S399" s="404"/>
      <c r="T399" s="404"/>
    </row>
    <row r="400" spans="1:20">
      <c r="A400" s="392"/>
      <c r="B400" s="391"/>
      <c r="C400" s="391"/>
      <c r="D400" s="391"/>
      <c r="E400" s="391"/>
      <c r="F400" s="391"/>
      <c r="G400" s="391"/>
      <c r="H400" s="391"/>
      <c r="I400" s="430"/>
      <c r="J400" s="430"/>
      <c r="K400" s="430"/>
      <c r="L400" s="431"/>
      <c r="N400" s="404"/>
      <c r="O400" s="404"/>
      <c r="P400" s="404"/>
      <c r="Q400" s="404"/>
      <c r="R400" s="404"/>
      <c r="S400" s="404"/>
      <c r="T400" s="404"/>
    </row>
    <row r="401" spans="1:20">
      <c r="A401" s="392"/>
      <c r="B401" s="391"/>
      <c r="C401" s="391"/>
      <c r="D401" s="391"/>
      <c r="E401" s="391"/>
      <c r="F401" s="391"/>
      <c r="G401" s="391"/>
      <c r="H401" s="391"/>
      <c r="I401" s="430"/>
      <c r="J401" s="430"/>
      <c r="K401" s="430"/>
      <c r="L401" s="431"/>
      <c r="N401" s="404"/>
      <c r="O401" s="404"/>
      <c r="P401" s="404"/>
      <c r="Q401" s="404"/>
      <c r="R401" s="404"/>
      <c r="S401" s="404"/>
      <c r="T401" s="404"/>
    </row>
    <row r="402" spans="1:20">
      <c r="A402" s="392"/>
      <c r="B402" s="391"/>
      <c r="C402" s="391"/>
      <c r="D402" s="391"/>
      <c r="E402" s="391"/>
      <c r="F402" s="391"/>
      <c r="G402" s="391"/>
      <c r="H402" s="391"/>
      <c r="I402" s="430"/>
      <c r="J402" s="430"/>
      <c r="K402" s="430"/>
      <c r="L402" s="431"/>
      <c r="N402" s="404"/>
      <c r="O402" s="404"/>
      <c r="P402" s="404"/>
      <c r="Q402" s="404"/>
      <c r="R402" s="404"/>
      <c r="S402" s="404"/>
      <c r="T402" s="404"/>
    </row>
    <row r="403" spans="1:20" ht="18.600000000000001" thickBot="1">
      <c r="A403" s="393"/>
      <c r="B403" s="394"/>
      <c r="C403" s="394"/>
      <c r="D403" s="394"/>
      <c r="E403" s="394"/>
      <c r="F403" s="394"/>
      <c r="G403" s="394"/>
      <c r="H403" s="394"/>
      <c r="I403" s="432"/>
      <c r="J403" s="432"/>
      <c r="K403" s="432"/>
      <c r="L403" s="433"/>
      <c r="N403" s="404"/>
      <c r="O403" s="404"/>
      <c r="P403" s="404"/>
      <c r="Q403" s="404"/>
      <c r="R403" s="404"/>
      <c r="S403" s="404"/>
      <c r="T403" s="404"/>
    </row>
    <row r="405" spans="1:20" ht="18.600000000000001" thickBot="1">
      <c r="A405" s="2" t="s">
        <v>357</v>
      </c>
    </row>
    <row r="406" spans="1:20" ht="18.600000000000001" thickBot="1">
      <c r="A406" s="397" t="s">
        <v>135</v>
      </c>
      <c r="B406" s="398" t="s">
        <v>113</v>
      </c>
      <c r="C406" s="399" t="s">
        <v>148</v>
      </c>
      <c r="D406" s="400" t="s">
        <v>147</v>
      </c>
      <c r="E406" s="400" t="s">
        <v>149</v>
      </c>
      <c r="F406" s="400" t="s">
        <v>150</v>
      </c>
      <c r="G406" s="400" t="s">
        <v>151</v>
      </c>
      <c r="H406" s="400" t="s">
        <v>152</v>
      </c>
      <c r="I406" s="434" t="s">
        <v>134</v>
      </c>
      <c r="J406" s="434"/>
      <c r="K406" s="434"/>
      <c r="L406" s="435"/>
      <c r="N406" s="390" t="s">
        <v>335</v>
      </c>
    </row>
    <row r="407" spans="1:20">
      <c r="A407" s="395"/>
      <c r="B407" s="396"/>
      <c r="C407" s="396"/>
      <c r="D407" s="396"/>
      <c r="E407" s="396"/>
      <c r="F407" s="396"/>
      <c r="G407" s="396"/>
      <c r="H407" s="396"/>
      <c r="I407" s="436"/>
      <c r="J407" s="436"/>
      <c r="K407" s="436"/>
      <c r="L407" s="437"/>
      <c r="N407" s="401" t="s">
        <v>334</v>
      </c>
    </row>
    <row r="408" spans="1:20">
      <c r="A408" s="392"/>
      <c r="B408" s="391"/>
      <c r="C408" s="391"/>
      <c r="D408" s="391"/>
      <c r="E408" s="391"/>
      <c r="F408" s="391"/>
      <c r="G408" s="391"/>
      <c r="H408" s="391"/>
      <c r="I408" s="430"/>
      <c r="J408" s="430"/>
      <c r="K408" s="430"/>
      <c r="L408" s="431"/>
      <c r="N408" s="401" t="s">
        <v>336</v>
      </c>
    </row>
    <row r="409" spans="1:20">
      <c r="A409" s="392"/>
      <c r="B409" s="391"/>
      <c r="C409" s="391"/>
      <c r="D409" s="391"/>
      <c r="E409" s="391"/>
      <c r="F409" s="391"/>
      <c r="G409" s="391"/>
      <c r="H409" s="391"/>
      <c r="I409" s="430"/>
      <c r="J409" s="430"/>
      <c r="K409" s="430"/>
      <c r="L409" s="431"/>
      <c r="N409" s="401" t="s">
        <v>338</v>
      </c>
    </row>
    <row r="410" spans="1:20">
      <c r="A410" s="392"/>
      <c r="B410" s="391"/>
      <c r="C410" s="391"/>
      <c r="D410" s="391"/>
      <c r="E410" s="391"/>
      <c r="F410" s="391"/>
      <c r="G410" s="391"/>
      <c r="H410" s="391"/>
      <c r="I410" s="430"/>
      <c r="J410" s="430"/>
      <c r="K410" s="430"/>
      <c r="L410" s="431"/>
      <c r="N410" s="401" t="s">
        <v>340</v>
      </c>
    </row>
    <row r="411" spans="1:20">
      <c r="A411" s="392"/>
      <c r="B411" s="391"/>
      <c r="C411" s="391"/>
      <c r="D411" s="391"/>
      <c r="E411" s="391"/>
      <c r="F411" s="391"/>
      <c r="G411" s="391"/>
      <c r="H411" s="391"/>
      <c r="I411" s="430"/>
      <c r="J411" s="430"/>
      <c r="K411" s="430"/>
      <c r="L411" s="431"/>
      <c r="N411" s="401" t="s">
        <v>341</v>
      </c>
    </row>
    <row r="412" spans="1:20">
      <c r="A412" s="392"/>
      <c r="B412" s="391"/>
      <c r="C412" s="391"/>
      <c r="D412" s="391"/>
      <c r="E412" s="391"/>
      <c r="F412" s="391"/>
      <c r="G412" s="391"/>
      <c r="H412" s="391"/>
      <c r="I412" s="430"/>
      <c r="J412" s="430"/>
      <c r="K412" s="430"/>
      <c r="L412" s="431"/>
      <c r="N412" s="401" t="s">
        <v>342</v>
      </c>
    </row>
    <row r="413" spans="1:20">
      <c r="A413" s="392"/>
      <c r="B413" s="391"/>
      <c r="C413" s="391"/>
      <c r="D413" s="391"/>
      <c r="E413" s="391"/>
      <c r="F413" s="391"/>
      <c r="G413" s="391"/>
      <c r="H413" s="391"/>
      <c r="I413" s="430"/>
      <c r="J413" s="430"/>
      <c r="K413" s="430"/>
      <c r="L413" s="431"/>
      <c r="N413" s="401" t="s">
        <v>343</v>
      </c>
    </row>
    <row r="414" spans="1:20">
      <c r="A414" s="392"/>
      <c r="B414" s="391"/>
      <c r="C414" s="391"/>
      <c r="D414" s="391"/>
      <c r="E414" s="391"/>
      <c r="F414" s="391"/>
      <c r="G414" s="391"/>
      <c r="H414" s="391"/>
      <c r="I414" s="430"/>
      <c r="J414" s="430"/>
      <c r="K414" s="430"/>
      <c r="L414" s="431"/>
      <c r="N414" s="401" t="s">
        <v>344</v>
      </c>
    </row>
    <row r="415" spans="1:20">
      <c r="A415" s="392"/>
      <c r="B415" s="391"/>
      <c r="C415" s="391"/>
      <c r="D415" s="391"/>
      <c r="E415" s="391"/>
      <c r="F415" s="391"/>
      <c r="G415" s="391"/>
      <c r="H415" s="391"/>
      <c r="I415" s="430"/>
      <c r="J415" s="430"/>
      <c r="K415" s="430"/>
      <c r="L415" s="431"/>
      <c r="N415" s="401" t="s">
        <v>345</v>
      </c>
    </row>
    <row r="416" spans="1:20">
      <c r="A416" s="392"/>
      <c r="B416" s="391"/>
      <c r="C416" s="391"/>
      <c r="D416" s="391"/>
      <c r="E416" s="391"/>
      <c r="F416" s="391"/>
      <c r="G416" s="391"/>
      <c r="H416" s="391"/>
      <c r="I416" s="430"/>
      <c r="J416" s="430"/>
      <c r="K416" s="430"/>
      <c r="L416" s="431"/>
      <c r="N416" s="401" t="s">
        <v>346</v>
      </c>
    </row>
    <row r="417" spans="1:20">
      <c r="A417" s="392"/>
      <c r="B417" s="391"/>
      <c r="C417" s="391"/>
      <c r="D417" s="391"/>
      <c r="E417" s="391"/>
      <c r="F417" s="391"/>
      <c r="G417" s="391"/>
      <c r="H417" s="391"/>
      <c r="I417" s="430"/>
      <c r="J417" s="430"/>
      <c r="K417" s="430"/>
      <c r="L417" s="431"/>
      <c r="N417" s="401" t="s">
        <v>347</v>
      </c>
    </row>
    <row r="418" spans="1:20" ht="18.600000000000001" thickBot="1">
      <c r="A418" s="392"/>
      <c r="B418" s="391"/>
      <c r="C418" s="391"/>
      <c r="D418" s="391"/>
      <c r="E418" s="391"/>
      <c r="F418" s="391"/>
      <c r="G418" s="391"/>
      <c r="H418" s="391"/>
      <c r="I418" s="430"/>
      <c r="J418" s="430"/>
      <c r="K418" s="430"/>
      <c r="L418" s="431"/>
      <c r="N418" s="402" t="s">
        <v>348</v>
      </c>
    </row>
    <row r="419" spans="1:20">
      <c r="A419" s="392"/>
      <c r="B419" s="391"/>
      <c r="C419" s="391"/>
      <c r="D419" s="391"/>
      <c r="E419" s="391"/>
      <c r="F419" s="391"/>
      <c r="G419" s="391"/>
      <c r="H419" s="391"/>
      <c r="I419" s="430"/>
      <c r="J419" s="430"/>
      <c r="K419" s="430"/>
      <c r="L419" s="431"/>
    </row>
    <row r="420" spans="1:20">
      <c r="A420" s="392"/>
      <c r="B420" s="391"/>
      <c r="C420" s="391"/>
      <c r="D420" s="391"/>
      <c r="E420" s="391"/>
      <c r="F420" s="391"/>
      <c r="G420" s="391"/>
      <c r="H420" s="391"/>
      <c r="I420" s="430"/>
      <c r="J420" s="430"/>
      <c r="K420" s="430"/>
      <c r="L420" s="431"/>
    </row>
    <row r="421" spans="1:20">
      <c r="A421" s="392"/>
      <c r="B421" s="391"/>
      <c r="C421" s="391"/>
      <c r="D421" s="391"/>
      <c r="E421" s="391"/>
      <c r="F421" s="391"/>
      <c r="G421" s="391"/>
      <c r="H421" s="391"/>
      <c r="I421" s="430"/>
      <c r="J421" s="430"/>
      <c r="K421" s="430"/>
      <c r="L421" s="431"/>
      <c r="N421" s="3" t="s">
        <v>365</v>
      </c>
    </row>
    <row r="422" spans="1:20">
      <c r="A422" s="392"/>
      <c r="B422" s="391"/>
      <c r="C422" s="391"/>
      <c r="D422" s="391"/>
      <c r="E422" s="391"/>
      <c r="F422" s="391"/>
      <c r="G422" s="391"/>
      <c r="H422" s="391"/>
      <c r="I422" s="430"/>
      <c r="J422" s="430"/>
      <c r="K422" s="430"/>
      <c r="L422" s="431"/>
      <c r="N422" s="404"/>
      <c r="O422" s="404"/>
      <c r="P422" s="404"/>
      <c r="Q422" s="404"/>
      <c r="R422" s="404"/>
      <c r="S422" s="404"/>
      <c r="T422" s="404"/>
    </row>
    <row r="423" spans="1:20">
      <c r="A423" s="392"/>
      <c r="B423" s="391"/>
      <c r="C423" s="391"/>
      <c r="D423" s="391"/>
      <c r="E423" s="391"/>
      <c r="F423" s="391"/>
      <c r="G423" s="391"/>
      <c r="H423" s="391"/>
      <c r="I423" s="430"/>
      <c r="J423" s="430"/>
      <c r="K423" s="430"/>
      <c r="L423" s="431"/>
      <c r="N423" s="404"/>
      <c r="O423" s="404"/>
      <c r="P423" s="404"/>
      <c r="Q423" s="404"/>
      <c r="R423" s="404"/>
      <c r="S423" s="404"/>
      <c r="T423" s="404"/>
    </row>
    <row r="424" spans="1:20">
      <c r="A424" s="392"/>
      <c r="B424" s="391"/>
      <c r="C424" s="391"/>
      <c r="D424" s="391"/>
      <c r="E424" s="391"/>
      <c r="F424" s="391"/>
      <c r="G424" s="391"/>
      <c r="H424" s="391"/>
      <c r="I424" s="430"/>
      <c r="J424" s="430"/>
      <c r="K424" s="430"/>
      <c r="L424" s="431"/>
      <c r="N424" s="404"/>
      <c r="O424" s="404"/>
      <c r="P424" s="404"/>
      <c r="Q424" s="404"/>
      <c r="R424" s="404"/>
      <c r="S424" s="404"/>
      <c r="T424" s="404"/>
    </row>
    <row r="425" spans="1:20">
      <c r="A425" s="392"/>
      <c r="B425" s="391"/>
      <c r="C425" s="391"/>
      <c r="D425" s="391"/>
      <c r="E425" s="391"/>
      <c r="F425" s="391"/>
      <c r="G425" s="391"/>
      <c r="H425" s="391"/>
      <c r="I425" s="430"/>
      <c r="J425" s="430"/>
      <c r="K425" s="430"/>
      <c r="L425" s="431"/>
      <c r="N425" s="404"/>
      <c r="O425" s="404"/>
      <c r="P425" s="404"/>
      <c r="Q425" s="404"/>
      <c r="R425" s="404"/>
      <c r="S425" s="404"/>
      <c r="T425" s="404"/>
    </row>
    <row r="426" spans="1:20">
      <c r="A426" s="392"/>
      <c r="B426" s="391"/>
      <c r="C426" s="391"/>
      <c r="D426" s="391"/>
      <c r="E426" s="391"/>
      <c r="F426" s="391"/>
      <c r="G426" s="391"/>
      <c r="H426" s="391"/>
      <c r="I426" s="430"/>
      <c r="J426" s="430"/>
      <c r="K426" s="430"/>
      <c r="L426" s="431"/>
      <c r="N426" s="404"/>
      <c r="O426" s="404"/>
      <c r="P426" s="404"/>
      <c r="Q426" s="404"/>
      <c r="R426" s="404"/>
      <c r="S426" s="404"/>
      <c r="T426" s="404"/>
    </row>
    <row r="427" spans="1:20">
      <c r="A427" s="392"/>
      <c r="B427" s="391"/>
      <c r="C427" s="391"/>
      <c r="D427" s="391"/>
      <c r="E427" s="391"/>
      <c r="F427" s="391"/>
      <c r="G427" s="391"/>
      <c r="H427" s="391"/>
      <c r="I427" s="430"/>
      <c r="J427" s="430"/>
      <c r="K427" s="430"/>
      <c r="L427" s="431"/>
      <c r="N427" s="404"/>
      <c r="O427" s="404"/>
      <c r="P427" s="404"/>
      <c r="Q427" s="404"/>
      <c r="R427" s="404"/>
      <c r="S427" s="404"/>
      <c r="T427" s="404"/>
    </row>
    <row r="428" spans="1:20">
      <c r="A428" s="392"/>
      <c r="B428" s="391"/>
      <c r="C428" s="391"/>
      <c r="D428" s="391"/>
      <c r="E428" s="391"/>
      <c r="F428" s="391"/>
      <c r="G428" s="391"/>
      <c r="H428" s="391"/>
      <c r="I428" s="430"/>
      <c r="J428" s="430"/>
      <c r="K428" s="430"/>
      <c r="L428" s="431"/>
      <c r="N428" s="404"/>
      <c r="O428" s="404"/>
      <c r="P428" s="404"/>
      <c r="Q428" s="404"/>
      <c r="R428" s="404"/>
      <c r="S428" s="404"/>
      <c r="T428" s="404"/>
    </row>
    <row r="429" spans="1:20">
      <c r="A429" s="392"/>
      <c r="B429" s="391"/>
      <c r="C429" s="391"/>
      <c r="D429" s="391"/>
      <c r="E429" s="391"/>
      <c r="F429" s="391"/>
      <c r="G429" s="391"/>
      <c r="H429" s="391"/>
      <c r="I429" s="430"/>
      <c r="J429" s="430"/>
      <c r="K429" s="430"/>
      <c r="L429" s="431"/>
      <c r="N429" s="404"/>
      <c r="O429" s="404"/>
      <c r="P429" s="404"/>
      <c r="Q429" s="404"/>
      <c r="R429" s="404"/>
      <c r="S429" s="404"/>
      <c r="T429" s="404"/>
    </row>
    <row r="430" spans="1:20">
      <c r="A430" s="392"/>
      <c r="B430" s="391"/>
      <c r="C430" s="391"/>
      <c r="D430" s="391"/>
      <c r="E430" s="391"/>
      <c r="F430" s="391"/>
      <c r="G430" s="391"/>
      <c r="H430" s="391"/>
      <c r="I430" s="430"/>
      <c r="J430" s="430"/>
      <c r="K430" s="430"/>
      <c r="L430" s="431"/>
      <c r="N430" s="404"/>
      <c r="O430" s="404"/>
      <c r="P430" s="404"/>
      <c r="Q430" s="404"/>
      <c r="R430" s="404"/>
      <c r="S430" s="404"/>
      <c r="T430" s="404"/>
    </row>
    <row r="431" spans="1:20">
      <c r="A431" s="392"/>
      <c r="B431" s="391"/>
      <c r="C431" s="391"/>
      <c r="D431" s="391"/>
      <c r="E431" s="391"/>
      <c r="F431" s="391"/>
      <c r="G431" s="391"/>
      <c r="H431" s="391"/>
      <c r="I431" s="430"/>
      <c r="J431" s="430"/>
      <c r="K431" s="430"/>
      <c r="L431" s="431"/>
      <c r="N431" s="404"/>
      <c r="O431" s="404"/>
      <c r="P431" s="404"/>
      <c r="Q431" s="404"/>
      <c r="R431" s="404"/>
      <c r="S431" s="404"/>
      <c r="T431" s="404"/>
    </row>
    <row r="432" spans="1:20">
      <c r="A432" s="392"/>
      <c r="B432" s="391"/>
      <c r="C432" s="391"/>
      <c r="D432" s="391"/>
      <c r="E432" s="391"/>
      <c r="F432" s="391"/>
      <c r="G432" s="391"/>
      <c r="H432" s="391"/>
      <c r="I432" s="430"/>
      <c r="J432" s="430"/>
      <c r="K432" s="430"/>
      <c r="L432" s="431"/>
      <c r="N432" s="404"/>
      <c r="O432" s="404"/>
      <c r="P432" s="404"/>
      <c r="Q432" s="404"/>
      <c r="R432" s="404"/>
      <c r="S432" s="404"/>
      <c r="T432" s="404"/>
    </row>
    <row r="433" spans="1:20">
      <c r="A433" s="392"/>
      <c r="B433" s="391"/>
      <c r="C433" s="391"/>
      <c r="D433" s="391"/>
      <c r="E433" s="391"/>
      <c r="F433" s="391"/>
      <c r="G433" s="391"/>
      <c r="H433" s="391"/>
      <c r="I433" s="430"/>
      <c r="J433" s="430"/>
      <c r="K433" s="430"/>
      <c r="L433" s="431"/>
      <c r="N433" s="404"/>
      <c r="O433" s="404"/>
      <c r="P433" s="404"/>
      <c r="Q433" s="404"/>
      <c r="R433" s="404"/>
      <c r="S433" s="404"/>
      <c r="T433" s="404"/>
    </row>
    <row r="434" spans="1:20">
      <c r="A434" s="392"/>
      <c r="B434" s="391"/>
      <c r="C434" s="391"/>
      <c r="D434" s="391"/>
      <c r="E434" s="391"/>
      <c r="F434" s="391"/>
      <c r="G434" s="391"/>
      <c r="H434" s="391"/>
      <c r="I434" s="430"/>
      <c r="J434" s="430"/>
      <c r="K434" s="430"/>
      <c r="L434" s="431"/>
      <c r="N434" s="404"/>
      <c r="O434" s="404"/>
      <c r="P434" s="404"/>
      <c r="Q434" s="404"/>
      <c r="R434" s="404"/>
      <c r="S434" s="404"/>
      <c r="T434" s="404"/>
    </row>
    <row r="435" spans="1:20">
      <c r="A435" s="392"/>
      <c r="B435" s="391"/>
      <c r="C435" s="391"/>
      <c r="D435" s="391"/>
      <c r="E435" s="391"/>
      <c r="F435" s="391"/>
      <c r="G435" s="391"/>
      <c r="H435" s="391"/>
      <c r="I435" s="430"/>
      <c r="J435" s="430"/>
      <c r="K435" s="430"/>
      <c r="L435" s="431"/>
      <c r="N435" s="404"/>
      <c r="O435" s="404"/>
      <c r="P435" s="404"/>
      <c r="Q435" s="404"/>
      <c r="R435" s="404"/>
      <c r="S435" s="404"/>
      <c r="T435" s="404"/>
    </row>
    <row r="436" spans="1:20">
      <c r="A436" s="392"/>
      <c r="B436" s="391"/>
      <c r="C436" s="391"/>
      <c r="D436" s="391"/>
      <c r="E436" s="391"/>
      <c r="F436" s="391"/>
      <c r="G436" s="391"/>
      <c r="H436" s="391"/>
      <c r="I436" s="430"/>
      <c r="J436" s="430"/>
      <c r="K436" s="430"/>
      <c r="L436" s="431"/>
      <c r="N436" s="404"/>
      <c r="O436" s="404"/>
      <c r="P436" s="404"/>
      <c r="Q436" s="404"/>
      <c r="R436" s="404"/>
      <c r="S436" s="404"/>
      <c r="T436" s="404"/>
    </row>
    <row r="437" spans="1:20" ht="18.600000000000001" thickBot="1">
      <c r="A437" s="393"/>
      <c r="B437" s="394"/>
      <c r="C437" s="394"/>
      <c r="D437" s="394"/>
      <c r="E437" s="394"/>
      <c r="F437" s="394"/>
      <c r="G437" s="394"/>
      <c r="H437" s="394"/>
      <c r="I437" s="432"/>
      <c r="J437" s="432"/>
      <c r="K437" s="432"/>
      <c r="L437" s="433"/>
      <c r="N437" s="404"/>
      <c r="O437" s="404"/>
      <c r="P437" s="404"/>
      <c r="Q437" s="404"/>
      <c r="R437" s="404"/>
      <c r="S437" s="404"/>
      <c r="T437" s="404"/>
    </row>
    <row r="439" spans="1:20">
      <c r="A439" s="403" t="s">
        <v>328</v>
      </c>
    </row>
  </sheetData>
  <mergeCells count="384">
    <mergeCell ref="I38:L38"/>
    <mergeCell ref="I39:L39"/>
    <mergeCell ref="I40:L40"/>
    <mergeCell ref="I41:L41"/>
    <mergeCell ref="I42:L42"/>
    <mergeCell ref="I43:L43"/>
    <mergeCell ref="I32:L32"/>
    <mergeCell ref="I33:L33"/>
    <mergeCell ref="I34:L34"/>
    <mergeCell ref="I35:L35"/>
    <mergeCell ref="I36:L36"/>
    <mergeCell ref="I37:L37"/>
    <mergeCell ref="I50:L50"/>
    <mergeCell ref="I51:L51"/>
    <mergeCell ref="I52:L52"/>
    <mergeCell ref="I53:L53"/>
    <mergeCell ref="I54:L54"/>
    <mergeCell ref="I55:L55"/>
    <mergeCell ref="I44:L44"/>
    <mergeCell ref="I45:L45"/>
    <mergeCell ref="I46:L46"/>
    <mergeCell ref="I47:L47"/>
    <mergeCell ref="I48:L48"/>
    <mergeCell ref="I49:L49"/>
    <mergeCell ref="I62:L62"/>
    <mergeCell ref="I63:L63"/>
    <mergeCell ref="I66:L66"/>
    <mergeCell ref="I67:L67"/>
    <mergeCell ref="I68:L68"/>
    <mergeCell ref="I69:L69"/>
    <mergeCell ref="I56:L56"/>
    <mergeCell ref="I57:L57"/>
    <mergeCell ref="I58:L58"/>
    <mergeCell ref="I59:L59"/>
    <mergeCell ref="I60:L60"/>
    <mergeCell ref="I61:L61"/>
    <mergeCell ref="I76:L76"/>
    <mergeCell ref="I77:L77"/>
    <mergeCell ref="I78:L78"/>
    <mergeCell ref="I79:L79"/>
    <mergeCell ref="I80:L80"/>
    <mergeCell ref="I81:L81"/>
    <mergeCell ref="I70:L70"/>
    <mergeCell ref="I71:L71"/>
    <mergeCell ref="I72:L72"/>
    <mergeCell ref="I73:L73"/>
    <mergeCell ref="I74:L74"/>
    <mergeCell ref="I75:L75"/>
    <mergeCell ref="I88:L88"/>
    <mergeCell ref="I89:L89"/>
    <mergeCell ref="I90:L90"/>
    <mergeCell ref="I91:L91"/>
    <mergeCell ref="I92:L92"/>
    <mergeCell ref="I93:L93"/>
    <mergeCell ref="I82:L82"/>
    <mergeCell ref="I83:L83"/>
    <mergeCell ref="I84:L84"/>
    <mergeCell ref="I85:L85"/>
    <mergeCell ref="I86:L86"/>
    <mergeCell ref="I87:L87"/>
    <mergeCell ref="I102:L102"/>
    <mergeCell ref="I103:L103"/>
    <mergeCell ref="I104:L104"/>
    <mergeCell ref="I105:L105"/>
    <mergeCell ref="I106:L106"/>
    <mergeCell ref="I107:L107"/>
    <mergeCell ref="I94:L94"/>
    <mergeCell ref="I95:L95"/>
    <mergeCell ref="I96:L96"/>
    <mergeCell ref="I97:L97"/>
    <mergeCell ref="I100:L100"/>
    <mergeCell ref="I101:L101"/>
    <mergeCell ref="I114:L114"/>
    <mergeCell ref="I115:L115"/>
    <mergeCell ref="I116:L116"/>
    <mergeCell ref="I117:L117"/>
    <mergeCell ref="I118:L118"/>
    <mergeCell ref="I119:L119"/>
    <mergeCell ref="I108:L108"/>
    <mergeCell ref="I109:L109"/>
    <mergeCell ref="I110:L110"/>
    <mergeCell ref="I111:L111"/>
    <mergeCell ref="I112:L112"/>
    <mergeCell ref="I113:L113"/>
    <mergeCell ref="I126:L126"/>
    <mergeCell ref="I127:L127"/>
    <mergeCell ref="I128:L128"/>
    <mergeCell ref="I129:L129"/>
    <mergeCell ref="I130:L130"/>
    <mergeCell ref="I131:L131"/>
    <mergeCell ref="I120:L120"/>
    <mergeCell ref="I121:L121"/>
    <mergeCell ref="I122:L122"/>
    <mergeCell ref="I123:L123"/>
    <mergeCell ref="I124:L124"/>
    <mergeCell ref="I125:L125"/>
    <mergeCell ref="I140:L140"/>
    <mergeCell ref="I141:L141"/>
    <mergeCell ref="I142:L142"/>
    <mergeCell ref="I143:L143"/>
    <mergeCell ref="I144:L144"/>
    <mergeCell ref="I145:L145"/>
    <mergeCell ref="I134:L134"/>
    <mergeCell ref="I135:L135"/>
    <mergeCell ref="I136:L136"/>
    <mergeCell ref="I137:L137"/>
    <mergeCell ref="I138:L138"/>
    <mergeCell ref="I139:L139"/>
    <mergeCell ref="I152:L152"/>
    <mergeCell ref="I153:L153"/>
    <mergeCell ref="I154:L154"/>
    <mergeCell ref="I155:L155"/>
    <mergeCell ref="I156:L156"/>
    <mergeCell ref="I157:L157"/>
    <mergeCell ref="I146:L146"/>
    <mergeCell ref="I147:L147"/>
    <mergeCell ref="I148:L148"/>
    <mergeCell ref="I149:L149"/>
    <mergeCell ref="I150:L150"/>
    <mergeCell ref="I151:L151"/>
    <mergeCell ref="I164:L164"/>
    <mergeCell ref="I165:L165"/>
    <mergeCell ref="I168:L168"/>
    <mergeCell ref="I169:L169"/>
    <mergeCell ref="I170:L170"/>
    <mergeCell ref="I171:L171"/>
    <mergeCell ref="I158:L158"/>
    <mergeCell ref="I159:L159"/>
    <mergeCell ref="I160:L160"/>
    <mergeCell ref="I161:L161"/>
    <mergeCell ref="I162:L162"/>
    <mergeCell ref="I163:L163"/>
    <mergeCell ref="I178:L178"/>
    <mergeCell ref="I179:L179"/>
    <mergeCell ref="I180:L180"/>
    <mergeCell ref="I181:L181"/>
    <mergeCell ref="I182:L182"/>
    <mergeCell ref="I183:L183"/>
    <mergeCell ref="I172:L172"/>
    <mergeCell ref="I173:L173"/>
    <mergeCell ref="I174:L174"/>
    <mergeCell ref="I175:L175"/>
    <mergeCell ref="I176:L176"/>
    <mergeCell ref="I177:L177"/>
    <mergeCell ref="I190:L190"/>
    <mergeCell ref="I191:L191"/>
    <mergeCell ref="I192:L192"/>
    <mergeCell ref="I193:L193"/>
    <mergeCell ref="I194:L194"/>
    <mergeCell ref="I195:L195"/>
    <mergeCell ref="I184:L184"/>
    <mergeCell ref="I185:L185"/>
    <mergeCell ref="I186:L186"/>
    <mergeCell ref="I187:L187"/>
    <mergeCell ref="I188:L188"/>
    <mergeCell ref="I189:L189"/>
    <mergeCell ref="I204:L204"/>
    <mergeCell ref="I205:L205"/>
    <mergeCell ref="I206:L206"/>
    <mergeCell ref="I207:L207"/>
    <mergeCell ref="I208:L208"/>
    <mergeCell ref="I209:L209"/>
    <mergeCell ref="I196:L196"/>
    <mergeCell ref="I197:L197"/>
    <mergeCell ref="I198:L198"/>
    <mergeCell ref="I199:L199"/>
    <mergeCell ref="I202:L202"/>
    <mergeCell ref="I203:L203"/>
    <mergeCell ref="I216:L216"/>
    <mergeCell ref="I217:L217"/>
    <mergeCell ref="I218:L218"/>
    <mergeCell ref="I219:L219"/>
    <mergeCell ref="I220:L220"/>
    <mergeCell ref="I221:L221"/>
    <mergeCell ref="I210:L210"/>
    <mergeCell ref="I211:L211"/>
    <mergeCell ref="I212:L212"/>
    <mergeCell ref="I213:L213"/>
    <mergeCell ref="I214:L214"/>
    <mergeCell ref="I215:L215"/>
    <mergeCell ref="I228:L228"/>
    <mergeCell ref="I229:L229"/>
    <mergeCell ref="I230:L230"/>
    <mergeCell ref="I231:L231"/>
    <mergeCell ref="I232:L232"/>
    <mergeCell ref="I233:L233"/>
    <mergeCell ref="I222:L222"/>
    <mergeCell ref="I223:L223"/>
    <mergeCell ref="I224:L224"/>
    <mergeCell ref="I225:L225"/>
    <mergeCell ref="I226:L226"/>
    <mergeCell ref="I227:L227"/>
    <mergeCell ref="I242:L242"/>
    <mergeCell ref="I243:L243"/>
    <mergeCell ref="I244:L244"/>
    <mergeCell ref="I245:L245"/>
    <mergeCell ref="I246:L246"/>
    <mergeCell ref="I247:L247"/>
    <mergeCell ref="I236:L236"/>
    <mergeCell ref="I237:L237"/>
    <mergeCell ref="I238:L238"/>
    <mergeCell ref="I239:L239"/>
    <mergeCell ref="I240:L240"/>
    <mergeCell ref="I241:L241"/>
    <mergeCell ref="I254:L254"/>
    <mergeCell ref="I255:L255"/>
    <mergeCell ref="I256:L256"/>
    <mergeCell ref="I257:L257"/>
    <mergeCell ref="I258:L258"/>
    <mergeCell ref="I259:L259"/>
    <mergeCell ref="I248:L248"/>
    <mergeCell ref="I249:L249"/>
    <mergeCell ref="I250:L250"/>
    <mergeCell ref="I251:L251"/>
    <mergeCell ref="I252:L252"/>
    <mergeCell ref="I253:L253"/>
    <mergeCell ref="I266:L266"/>
    <mergeCell ref="I267:L267"/>
    <mergeCell ref="I270:L270"/>
    <mergeCell ref="I271:L271"/>
    <mergeCell ref="I272:L272"/>
    <mergeCell ref="I273:L273"/>
    <mergeCell ref="I260:L260"/>
    <mergeCell ref="I261:L261"/>
    <mergeCell ref="I262:L262"/>
    <mergeCell ref="I263:L263"/>
    <mergeCell ref="I264:L264"/>
    <mergeCell ref="I265:L265"/>
    <mergeCell ref="I280:L280"/>
    <mergeCell ref="I281:L281"/>
    <mergeCell ref="I282:L282"/>
    <mergeCell ref="I283:L283"/>
    <mergeCell ref="I284:L284"/>
    <mergeCell ref="I285:L285"/>
    <mergeCell ref="I274:L274"/>
    <mergeCell ref="I275:L275"/>
    <mergeCell ref="I276:L276"/>
    <mergeCell ref="I277:L277"/>
    <mergeCell ref="I278:L278"/>
    <mergeCell ref="I279:L279"/>
    <mergeCell ref="I292:L292"/>
    <mergeCell ref="I293:L293"/>
    <mergeCell ref="I294:L294"/>
    <mergeCell ref="I295:L295"/>
    <mergeCell ref="I296:L296"/>
    <mergeCell ref="I297:L297"/>
    <mergeCell ref="I286:L286"/>
    <mergeCell ref="I287:L287"/>
    <mergeCell ref="I288:L288"/>
    <mergeCell ref="I289:L289"/>
    <mergeCell ref="I290:L290"/>
    <mergeCell ref="I291:L291"/>
    <mergeCell ref="I306:L306"/>
    <mergeCell ref="I307:L307"/>
    <mergeCell ref="I308:L308"/>
    <mergeCell ref="I309:L309"/>
    <mergeCell ref="I310:L310"/>
    <mergeCell ref="I311:L311"/>
    <mergeCell ref="I298:L298"/>
    <mergeCell ref="I299:L299"/>
    <mergeCell ref="I300:L300"/>
    <mergeCell ref="I301:L301"/>
    <mergeCell ref="I304:L304"/>
    <mergeCell ref="I305:L305"/>
    <mergeCell ref="I318:L318"/>
    <mergeCell ref="I319:L319"/>
    <mergeCell ref="I320:L320"/>
    <mergeCell ref="I321:L321"/>
    <mergeCell ref="I322:L322"/>
    <mergeCell ref="I323:L323"/>
    <mergeCell ref="I312:L312"/>
    <mergeCell ref="I313:L313"/>
    <mergeCell ref="I314:L314"/>
    <mergeCell ref="I315:L315"/>
    <mergeCell ref="I316:L316"/>
    <mergeCell ref="I317:L317"/>
    <mergeCell ref="I330:L330"/>
    <mergeCell ref="I331:L331"/>
    <mergeCell ref="I332:L332"/>
    <mergeCell ref="I333:L333"/>
    <mergeCell ref="I334:L334"/>
    <mergeCell ref="I335:L335"/>
    <mergeCell ref="I324:L324"/>
    <mergeCell ref="I325:L325"/>
    <mergeCell ref="I326:L326"/>
    <mergeCell ref="I327:L327"/>
    <mergeCell ref="I328:L328"/>
    <mergeCell ref="I329:L329"/>
    <mergeCell ref="I344:L344"/>
    <mergeCell ref="I345:L345"/>
    <mergeCell ref="I346:L346"/>
    <mergeCell ref="I347:L347"/>
    <mergeCell ref="I348:L348"/>
    <mergeCell ref="I349:L349"/>
    <mergeCell ref="I338:L338"/>
    <mergeCell ref="I339:L339"/>
    <mergeCell ref="I340:L340"/>
    <mergeCell ref="I341:L341"/>
    <mergeCell ref="I342:L342"/>
    <mergeCell ref="I343:L343"/>
    <mergeCell ref="I356:L356"/>
    <mergeCell ref="I357:L357"/>
    <mergeCell ref="I358:L358"/>
    <mergeCell ref="I359:L359"/>
    <mergeCell ref="I360:L360"/>
    <mergeCell ref="I361:L361"/>
    <mergeCell ref="I350:L350"/>
    <mergeCell ref="I351:L351"/>
    <mergeCell ref="I352:L352"/>
    <mergeCell ref="I353:L353"/>
    <mergeCell ref="I354:L354"/>
    <mergeCell ref="I355:L355"/>
    <mergeCell ref="I368:L368"/>
    <mergeCell ref="I369:L369"/>
    <mergeCell ref="I372:L372"/>
    <mergeCell ref="I373:L373"/>
    <mergeCell ref="I374:L374"/>
    <mergeCell ref="I375:L375"/>
    <mergeCell ref="I362:L362"/>
    <mergeCell ref="I363:L363"/>
    <mergeCell ref="I364:L364"/>
    <mergeCell ref="I365:L365"/>
    <mergeCell ref="I366:L366"/>
    <mergeCell ref="I367:L367"/>
    <mergeCell ref="I382:L382"/>
    <mergeCell ref="I383:L383"/>
    <mergeCell ref="I384:L384"/>
    <mergeCell ref="I385:L385"/>
    <mergeCell ref="I386:L386"/>
    <mergeCell ref="I387:L387"/>
    <mergeCell ref="I376:L376"/>
    <mergeCell ref="I377:L377"/>
    <mergeCell ref="I378:L378"/>
    <mergeCell ref="I379:L379"/>
    <mergeCell ref="I380:L380"/>
    <mergeCell ref="I381:L381"/>
    <mergeCell ref="I394:L394"/>
    <mergeCell ref="I395:L395"/>
    <mergeCell ref="I396:L396"/>
    <mergeCell ref="I397:L397"/>
    <mergeCell ref="I398:L398"/>
    <mergeCell ref="I399:L399"/>
    <mergeCell ref="I388:L388"/>
    <mergeCell ref="I389:L389"/>
    <mergeCell ref="I390:L390"/>
    <mergeCell ref="I391:L391"/>
    <mergeCell ref="I392:L392"/>
    <mergeCell ref="I393:L393"/>
    <mergeCell ref="I408:L408"/>
    <mergeCell ref="I409:L409"/>
    <mergeCell ref="I410:L410"/>
    <mergeCell ref="I411:L411"/>
    <mergeCell ref="I412:L412"/>
    <mergeCell ref="I413:L413"/>
    <mergeCell ref="I400:L400"/>
    <mergeCell ref="I401:L401"/>
    <mergeCell ref="I402:L402"/>
    <mergeCell ref="I403:L403"/>
    <mergeCell ref="I406:L406"/>
    <mergeCell ref="I407:L407"/>
    <mergeCell ref="I420:L420"/>
    <mergeCell ref="I421:L421"/>
    <mergeCell ref="I422:L422"/>
    <mergeCell ref="I423:L423"/>
    <mergeCell ref="I424:L424"/>
    <mergeCell ref="I425:L425"/>
    <mergeCell ref="I414:L414"/>
    <mergeCell ref="I415:L415"/>
    <mergeCell ref="I416:L416"/>
    <mergeCell ref="I417:L417"/>
    <mergeCell ref="I418:L418"/>
    <mergeCell ref="I419:L419"/>
    <mergeCell ref="I432:L432"/>
    <mergeCell ref="I433:L433"/>
    <mergeCell ref="I434:L434"/>
    <mergeCell ref="I435:L435"/>
    <mergeCell ref="I436:L436"/>
    <mergeCell ref="I437:L437"/>
    <mergeCell ref="I426:L426"/>
    <mergeCell ref="I427:L427"/>
    <mergeCell ref="I428:L428"/>
    <mergeCell ref="I429:L429"/>
    <mergeCell ref="I430:L430"/>
    <mergeCell ref="I431:L431"/>
  </mergeCells>
  <phoneticPr fontId="5"/>
  <hyperlinks>
    <hyperlink ref="I1" location="ダッシュボード!A2" display="▶ダッシュボードへ" xr:uid="{00C92D10-5F84-4AA8-BD2E-941837A78E8B}"/>
    <hyperlink ref="I28" location="ダッシュボード!A2" display="▶ダッシュボードへ" xr:uid="{802A6698-13A9-47C7-ADEE-9E505B183AFE}"/>
    <hyperlink ref="A27" location="体調管理!A2" display="▲体調管理表トップへ戻る" xr:uid="{DD2856C2-EBF2-4B19-8E0B-C8B4F03F53C4}"/>
    <hyperlink ref="A5" location="体調管理!A29" display="▼データ格納場表へリンク" xr:uid="{671EEDF3-5D91-4864-BC0F-08995B8161D5}"/>
    <hyperlink ref="N44" location="体調管理!A404" display="12月" xr:uid="{EC9DAE58-7CFD-4C88-A46F-269366B56870}"/>
    <hyperlink ref="N43" location="体調管理!A370" display="11月" xr:uid="{60C49500-7125-44DB-88F6-4A2E933324A3}"/>
    <hyperlink ref="N42" location="体調管理!A336" display="10月" xr:uid="{CAC53D28-0636-48E0-849F-FD789572B717}"/>
    <hyperlink ref="N41" location="体調管理!A302" display="9月" xr:uid="{41B96163-EE48-4C24-9DB2-B9A5279CE8E5}"/>
    <hyperlink ref="N40" location="体調管理!A268" display="8月" xr:uid="{E7978107-D946-459E-85D6-B08D86D5DBA1}"/>
    <hyperlink ref="N39" location="体調管理!A234" display="7月" xr:uid="{AF217FBA-78A5-4D62-B79B-18ECD4A6F779}"/>
    <hyperlink ref="N38" location="体調管理!A200" display="6月" xr:uid="{025DA91E-7528-4C28-ACFF-D9771951E799}"/>
    <hyperlink ref="N37" location="体調管理!A166" display="5月" xr:uid="{2FE26B21-3D03-4199-8952-857EBBB27D53}"/>
    <hyperlink ref="N36" location="体調管理!A132" display="4月" xr:uid="{AFBCB0DB-586A-4F8F-B070-3EAD403E5DDB}"/>
    <hyperlink ref="N35" location="体調管理!A98" display="3月" xr:uid="{8ED8F15D-EF8D-465E-986D-B59467622BF8}"/>
    <hyperlink ref="N34" location="体調管理!A64" display="2月" xr:uid="{978BD794-5057-4562-BDA3-DB43EC30DF8A}"/>
    <hyperlink ref="N33" location="体調管理!A30" display="1月" xr:uid="{EFA9CA74-2414-446D-9C2A-23635AF4DAA3}"/>
    <hyperlink ref="N78" location="体調管理!A404" display="12月" xr:uid="{46F91261-72CB-45B9-80E0-47EF9E813440}"/>
    <hyperlink ref="N77" location="体調管理!A370" display="11月" xr:uid="{19767F8A-F136-4DD2-BCD0-0119EC43134F}"/>
    <hyperlink ref="N76" location="体調管理!A336" display="10月" xr:uid="{879056DA-55F3-4DF4-91D8-AFC63205A2FA}"/>
    <hyperlink ref="N75" location="体調管理!A302" display="9月" xr:uid="{97085AE5-7715-4983-9EC3-98E725445E5F}"/>
    <hyperlink ref="N74" location="体調管理!A268" display="8月" xr:uid="{2171A68C-C461-47CC-8559-2AF37CDDF6D6}"/>
    <hyperlink ref="N73" location="体調管理!A234" display="7月" xr:uid="{8B9C57D7-A58A-4F03-BA9B-B3DF4B2AEB11}"/>
    <hyperlink ref="N72" location="体調管理!A200" display="6月" xr:uid="{D70703DC-D2BC-40AE-8C6D-8C95002C79AA}"/>
    <hyperlink ref="N71" location="体調管理!A166" display="5月" xr:uid="{65585BC2-1FDB-4F53-B203-3707527F7819}"/>
    <hyperlink ref="N70" location="体調管理!A132" display="4月" xr:uid="{E674B609-F2FD-41AC-AFF8-FF288AB1596B}"/>
    <hyperlink ref="N69" location="体調管理!A98" display="3月" xr:uid="{5DBBF956-06A9-4BC7-93F3-827389277AD3}"/>
    <hyperlink ref="N68" location="体調管理!A64" display="2月" xr:uid="{52A9C795-3519-49D1-90DF-F28434F71984}"/>
    <hyperlink ref="N67" location="体調管理!A30" display="1月" xr:uid="{B1723FCE-1637-4FD6-8568-9512777DC1E4}"/>
    <hyperlink ref="N112" location="体調管理!A404" display="12月" xr:uid="{A25DA258-4730-4452-AD37-A2B7D5EFD81B}"/>
    <hyperlink ref="N111" location="体調管理!A370" display="11月" xr:uid="{3F1B2AE9-96A6-484B-A788-77233B4A0F2F}"/>
    <hyperlink ref="N110" location="体調管理!A336" display="10月" xr:uid="{1D3FD58C-E304-4C58-80F8-9D9D05698325}"/>
    <hyperlink ref="N109" location="体調管理!A302" display="9月" xr:uid="{AD19CF18-F692-4C0C-958F-F54EABD37419}"/>
    <hyperlink ref="N108" location="体調管理!A268" display="8月" xr:uid="{66B49A31-3A66-45D5-8090-DCEAFBD488AB}"/>
    <hyperlink ref="N107" location="体調管理!A234" display="7月" xr:uid="{17ABF51E-1F93-4639-9E1D-9C7477002083}"/>
    <hyperlink ref="N106" location="体調管理!A200" display="6月" xr:uid="{0B44ECDE-8D57-4C98-880E-3811A0CA7A2B}"/>
    <hyperlink ref="N105" location="体調管理!A166" display="5月" xr:uid="{49D02A19-97A8-4D4F-B1F6-65C301497088}"/>
    <hyperlink ref="N104" location="体調管理!A132" display="4月" xr:uid="{3B749FC9-6F51-4FA5-80FF-71B37837FF40}"/>
    <hyperlink ref="N103" location="体調管理!A98" display="3月" xr:uid="{5FB9537E-096A-4B03-872B-D3AA564ACE8F}"/>
    <hyperlink ref="N102" location="体調管理!A64" display="2月" xr:uid="{6C8688AA-C934-448D-81E1-CF25B5A7B362}"/>
    <hyperlink ref="N101" location="体調管理!A30" display="1月" xr:uid="{04577A30-2DF4-4677-A051-1119056E04F9}"/>
    <hyperlink ref="N146" location="体調管理!A404" display="12月" xr:uid="{1AF249D8-0145-457A-A4FE-A99F995F5776}"/>
    <hyperlink ref="N145" location="体調管理!A370" display="11月" xr:uid="{F4E7FA9D-0E01-47FB-83E9-0E1BFEAF85E4}"/>
    <hyperlink ref="N144" location="体調管理!A336" display="10月" xr:uid="{7528174E-49E8-42EE-B428-F058E9A265E6}"/>
    <hyperlink ref="N143" location="体調管理!A302" display="9月" xr:uid="{C7EABA07-9BE5-4036-A49B-D7F994AC7907}"/>
    <hyperlink ref="N142" location="体調管理!A268" display="8月" xr:uid="{5D190C94-DBD9-4F24-A4B5-4987D4ABCE4F}"/>
    <hyperlink ref="N141" location="体調管理!A234" display="7月" xr:uid="{AF44A4B6-A52B-4345-BDB2-8878F61F9547}"/>
    <hyperlink ref="N140" location="体調管理!A200" display="6月" xr:uid="{758FB3E3-8932-430B-9BCB-E5F2AAAEB433}"/>
    <hyperlink ref="N139" location="体調管理!A166" display="5月" xr:uid="{6FE6D794-E4C2-4C61-9138-41B617081E50}"/>
    <hyperlink ref="N138" location="体調管理!A132" display="4月" xr:uid="{7145C7BB-5A07-4E25-B23F-186720DC2588}"/>
    <hyperlink ref="N137" location="体調管理!A98" display="3月" xr:uid="{B0F127CF-0DDD-4D95-B8B9-A8DF02F8BE91}"/>
    <hyperlink ref="N136" location="体調管理!A64" display="2月" xr:uid="{BD439B60-9179-412D-8ABA-BE6E517DE426}"/>
    <hyperlink ref="N135" location="体調管理!A30" display="1月" xr:uid="{95A8532E-CDF3-4D32-81DD-50A7ED6B89BE}"/>
    <hyperlink ref="N180" location="体調管理!A404" display="12月" xr:uid="{93D5D8FC-9D04-4663-9129-E3DA04249D95}"/>
    <hyperlink ref="N179" location="体調管理!A370" display="11月" xr:uid="{8367B0AE-41EB-45D7-A435-4ED6E1A3AA41}"/>
    <hyperlink ref="N178" location="体調管理!A336" display="10月" xr:uid="{D47E1F2C-D0F3-428B-94CA-E29F5B324B49}"/>
    <hyperlink ref="N177" location="体調管理!A302" display="9月" xr:uid="{592750A1-3879-4D7D-AAEA-904BA74B5B63}"/>
    <hyperlink ref="N176" location="体調管理!A268" display="8月" xr:uid="{F1404263-E694-4489-9EFD-ABBEB9E75753}"/>
    <hyperlink ref="N175" location="体調管理!A234" display="7月" xr:uid="{39013A80-083A-497A-8BE9-672C5852E6CD}"/>
    <hyperlink ref="N174" location="体調管理!A200" display="6月" xr:uid="{A777D026-568B-4037-B458-03C9E5F6817F}"/>
    <hyperlink ref="N173" location="体調管理!A166" display="5月" xr:uid="{7809CC1B-9BDB-4308-9824-81D9006EE923}"/>
    <hyperlink ref="N172" location="体調管理!A132" display="4月" xr:uid="{FD752217-21AE-401B-9537-5EDB14A20445}"/>
    <hyperlink ref="N171" location="体調管理!A98" display="3月" xr:uid="{24D73035-CFDC-48ED-8513-55D07860741F}"/>
    <hyperlink ref="N170" location="体調管理!A64" display="2月" xr:uid="{23DE32DD-5CB4-4511-9A64-6EF42BE04F30}"/>
    <hyperlink ref="N169" location="体調管理!A30" display="1月" xr:uid="{3ECAAD93-B280-4B33-AAC8-A112090072C3}"/>
    <hyperlink ref="N214" location="体調管理!A404" display="12月" xr:uid="{14B989A9-BC65-44FF-8E5D-96969C72B81A}"/>
    <hyperlink ref="N213" location="体調管理!A370" display="11月" xr:uid="{60C70101-B47B-4A93-8575-271303DDD65A}"/>
    <hyperlink ref="N212" location="体調管理!A336" display="10月" xr:uid="{56990771-AAC6-46C5-AF11-85614775FA8C}"/>
    <hyperlink ref="N211" location="体調管理!A302" display="9月" xr:uid="{A97A54D1-6CAD-4967-823C-4C6755294457}"/>
    <hyperlink ref="N210" location="体調管理!A268" display="8月" xr:uid="{43C0D356-9476-4B0D-AC1B-AFC5E8202EBF}"/>
    <hyperlink ref="N209" location="体調管理!A234" display="7月" xr:uid="{1D0658C8-B85A-4423-ADDB-A86A616D2EDC}"/>
    <hyperlink ref="N208" location="体調管理!A200" display="6月" xr:uid="{7EC3C46E-794D-4398-A0B5-7114371A9981}"/>
    <hyperlink ref="N207" location="体調管理!A166" display="5月" xr:uid="{0787F431-C97E-4D4B-A1F8-B530E71089A0}"/>
    <hyperlink ref="N206" location="体調管理!A132" display="4月" xr:uid="{01744290-11A3-451F-96C9-91DB0D41DAD5}"/>
    <hyperlink ref="N205" location="体調管理!A98" display="3月" xr:uid="{810A7332-FFFA-412C-8E59-C1799AF66103}"/>
    <hyperlink ref="N204" location="体調管理!A64" display="2月" xr:uid="{1A7EDFEC-262C-4C16-B8A1-CA372349DAAD}"/>
    <hyperlink ref="N203" location="体調管理!A30" display="1月" xr:uid="{C1538DE9-0843-4B28-8F8D-1C01BA7D3D87}"/>
    <hyperlink ref="N248" location="体調管理!A404" display="12月" xr:uid="{BC317013-D171-47F3-AA5C-82E7AE9B25F3}"/>
    <hyperlink ref="N247" location="体調管理!A370" display="11月" xr:uid="{562CD932-15EB-4CC2-BC55-27DD4CF18AE7}"/>
    <hyperlink ref="N246" location="体調管理!A336" display="10月" xr:uid="{2F70B794-986F-4ABA-9366-57DB55F12500}"/>
    <hyperlink ref="N245" location="体調管理!A302" display="9月" xr:uid="{25BAA786-4682-4B3F-9B9B-81471B22CFB3}"/>
    <hyperlink ref="N244" location="体調管理!A268" display="8月" xr:uid="{AC6BF66C-7D07-4867-9717-6D1829E45EB3}"/>
    <hyperlink ref="N243" location="体調管理!A234" display="7月" xr:uid="{B702B2EA-FD22-44DD-BDC8-B26E9569848F}"/>
    <hyperlink ref="N242" location="体調管理!A200" display="6月" xr:uid="{D5FBEFE7-E1CF-4B38-80C1-CE77D4553DA1}"/>
    <hyperlink ref="N241" location="体調管理!A166" display="5月" xr:uid="{771719A0-3680-4C3C-ABEE-D6BC3E9CDEC5}"/>
    <hyperlink ref="N240" location="体調管理!A132" display="4月" xr:uid="{C11335FA-D112-48F2-93BE-90540FC4FCBF}"/>
    <hyperlink ref="N239" location="体調管理!A98" display="3月" xr:uid="{ECC939DD-1664-4EFA-9921-00BD10A06782}"/>
    <hyperlink ref="N238" location="体調管理!A64" display="2月" xr:uid="{32F16872-E30F-40D6-8B93-A74DE5C81A27}"/>
    <hyperlink ref="N237" location="体調管理!A30" display="1月" xr:uid="{CD9F0C8B-25E2-4244-A2F9-167D538A2A16}"/>
    <hyperlink ref="N282" location="体調管理!A404" display="12月" xr:uid="{2960C5B2-BD75-4A52-9435-A96BA89A9916}"/>
    <hyperlink ref="N281" location="体調管理!A370" display="11月" xr:uid="{CEC866B9-E27D-4AEC-84B4-E325D160A298}"/>
    <hyperlink ref="N280" location="体調管理!A336" display="10月" xr:uid="{28F2B13D-BFEB-477A-B3BE-EDE52898EE33}"/>
    <hyperlink ref="N279" location="体調管理!A302" display="9月" xr:uid="{C6EAD4B4-0F76-442E-92FA-C015159D511A}"/>
    <hyperlink ref="N278" location="体調管理!A268" display="8月" xr:uid="{616FB810-01F4-40A1-BC06-8E385E587644}"/>
    <hyperlink ref="N277" location="体調管理!A234" display="7月" xr:uid="{425E17EF-ACB1-4EB1-A57D-B96C21ECAFAF}"/>
    <hyperlink ref="N276" location="体調管理!A200" display="6月" xr:uid="{E3EED98D-11BD-4F6A-A5F7-FAABA532FAEA}"/>
    <hyperlink ref="N275" location="体調管理!A166" display="5月" xr:uid="{F6FDA751-63EB-4F09-AFBE-5332F91A5FBF}"/>
    <hyperlink ref="N274" location="体調管理!A132" display="4月" xr:uid="{4E67AF24-AB87-478B-9BED-481C8CDF967E}"/>
    <hyperlink ref="N273" location="体調管理!A98" display="3月" xr:uid="{3A1C11B3-CD89-4367-A03E-FF5642EAE976}"/>
    <hyperlink ref="N272" location="体調管理!A64" display="2月" xr:uid="{BF2198C9-7F8C-4973-8BAD-E2230236B500}"/>
    <hyperlink ref="N271" location="体調管理!A30" display="1月" xr:uid="{E3E57DCF-F7A7-471F-B93F-DD53AFF306DA}"/>
    <hyperlink ref="N316" location="体調管理!A404" display="12月" xr:uid="{FC7FA36D-BC90-4356-A9C0-9D2736250A7C}"/>
    <hyperlink ref="N315" location="体調管理!A370" display="11月" xr:uid="{4DDB80AF-D925-4DCF-A960-E4A31C0E111B}"/>
    <hyperlink ref="N314" location="体調管理!A336" display="10月" xr:uid="{A78F63EB-9968-4BBF-8C2F-034F26E661A9}"/>
    <hyperlink ref="N313" location="体調管理!A302" display="9月" xr:uid="{20E74741-2FC6-4B2D-BC10-D7DE59CC5577}"/>
    <hyperlink ref="N312" location="体調管理!A268" display="8月" xr:uid="{0CD6F746-B655-449E-8FAB-BFB5FFE8C220}"/>
    <hyperlink ref="N311" location="体調管理!A234" display="7月" xr:uid="{22A89E03-E297-4E62-8473-EC15C653C6EC}"/>
    <hyperlink ref="N310" location="体調管理!A200" display="6月" xr:uid="{D96E5623-5246-43BE-93A4-2FD10D11E82B}"/>
    <hyperlink ref="N309" location="体調管理!A166" display="5月" xr:uid="{300A50EE-83A5-4D0F-A13B-914780EDAF88}"/>
    <hyperlink ref="N308" location="体調管理!A132" display="4月" xr:uid="{A6B37EC9-2296-4D1F-9235-F579F9D558CD}"/>
    <hyperlink ref="N307" location="体調管理!A98" display="3月" xr:uid="{809A28EE-AD6C-40B6-B8AB-179594F2F1A8}"/>
    <hyperlink ref="N306" location="体調管理!A64" display="2月" xr:uid="{26F282A5-2EA7-4B87-826A-ECF6B5AA5EBA}"/>
    <hyperlink ref="N305" location="体調管理!A30" display="1月" xr:uid="{79F1EBE4-516C-447A-8646-AD3D40B8A350}"/>
    <hyperlink ref="N350" location="体調管理!A404" display="12月" xr:uid="{4B7974E4-6A05-427B-9880-42F6CA82D2E4}"/>
    <hyperlink ref="N349" location="体調管理!A370" display="11月" xr:uid="{55A9982B-D039-4ECB-A6F4-222B223EAF92}"/>
    <hyperlink ref="N348" location="体調管理!A336" display="10月" xr:uid="{677294A9-CD06-4FD1-8372-705F7771958B}"/>
    <hyperlink ref="N347" location="体調管理!A302" display="9月" xr:uid="{35E5C4E6-2763-4208-B3B0-BFADE4412CC2}"/>
    <hyperlink ref="N346" location="体調管理!A268" display="8月" xr:uid="{7D29C9EA-BD73-4AB9-B24D-51D689982D10}"/>
    <hyperlink ref="N345" location="体調管理!A234" display="7月" xr:uid="{3B66E059-9B59-4315-89EE-8D9F1A341540}"/>
    <hyperlink ref="N344" location="体調管理!A200" display="6月" xr:uid="{DBFC84F8-2A57-4BFE-A47F-0BEC80FD87D1}"/>
    <hyperlink ref="N343" location="体調管理!A166" display="5月" xr:uid="{644005FA-839C-4555-8619-2DA406BB3AFB}"/>
    <hyperlink ref="N342" location="体調管理!A132" display="4月" xr:uid="{E17F410C-1793-4DC0-A790-F83B9F23DF2E}"/>
    <hyperlink ref="N341" location="体調管理!A98" display="3月" xr:uid="{5636E06B-3E8A-458F-A7EB-EE24550036CE}"/>
    <hyperlink ref="N340" location="体調管理!A64" display="2月" xr:uid="{F29D2F55-CF18-4631-88DA-A534790675A1}"/>
    <hyperlink ref="N339" location="体調管理!A30" display="1月" xr:uid="{D717AA73-4F4D-4E8E-85A4-0E42916F004F}"/>
    <hyperlink ref="N384" location="体調管理!A404" display="12月" xr:uid="{AEE506B5-4CD8-4F0F-A731-F6ED3441AE16}"/>
    <hyperlink ref="N383" location="体調管理!A370" display="11月" xr:uid="{7F57F776-091B-42DC-9A06-9FA42752CD26}"/>
    <hyperlink ref="N382" location="体調管理!A336" display="10月" xr:uid="{CC66B0C8-80F2-4C9B-B490-37AFB0C73A2E}"/>
    <hyperlink ref="N381" location="体調管理!A302" display="9月" xr:uid="{13367B3D-FC36-454A-B60F-E919246A8FC4}"/>
    <hyperlink ref="N380" location="体調管理!A268" display="8月" xr:uid="{B6CFAC8F-85DB-40A9-9E6B-23071E181352}"/>
    <hyperlink ref="N379" location="体調管理!A234" display="7月" xr:uid="{84C88889-56F6-41A1-9F1C-2FD0B6543E6C}"/>
    <hyperlink ref="N378" location="体調管理!A200" display="6月" xr:uid="{3EBF982F-1AC0-4041-8562-1C90A8E77D96}"/>
    <hyperlink ref="N377" location="体調管理!A166" display="5月" xr:uid="{8375D364-DEC0-435F-B79F-BB969FD36EF9}"/>
    <hyperlink ref="N376" location="体調管理!A132" display="4月" xr:uid="{3584203D-403C-4587-BF6E-C20A54995072}"/>
    <hyperlink ref="N375" location="体調管理!A98" display="3月" xr:uid="{D6925A1B-2994-4B03-AC4D-90EE4C0ECE63}"/>
    <hyperlink ref="N374" location="体調管理!A64" display="2月" xr:uid="{FCBF81AC-1C55-4192-B129-E3FC0DAC1E63}"/>
    <hyperlink ref="N373" location="体調管理!A30" display="1月" xr:uid="{73D5EBAE-FDA0-4086-A66B-36D483174412}"/>
    <hyperlink ref="N418" location="体調管理!A404" display="12月" xr:uid="{6D7A15EF-490E-468E-829D-9E68F8864CC3}"/>
    <hyperlink ref="N417" location="体調管理!A370" display="11月" xr:uid="{B2E9F48C-2FC6-479A-A30F-7F4F41D6DFA8}"/>
    <hyperlink ref="N416" location="体調管理!A336" display="10月" xr:uid="{3DCFA37A-AA19-4C89-ACDD-46E2EBFB9094}"/>
    <hyperlink ref="N415" location="体調管理!A302" display="9月" xr:uid="{D37ABC7E-8882-4898-8A28-F29A67D20EE4}"/>
    <hyperlink ref="N414" location="体調管理!A268" display="8月" xr:uid="{1C9F7B8A-D3E0-4887-B98D-C2542020963D}"/>
    <hyperlink ref="N413" location="体調管理!A234" display="7月" xr:uid="{6BABB2E2-1A07-4CB0-B1AC-53128AD0D2D0}"/>
    <hyperlink ref="N412" location="体調管理!A200" display="6月" xr:uid="{07061C90-CFFE-4B37-9709-3AD69A57418A}"/>
    <hyperlink ref="N411" location="体調管理!A166" display="5月" xr:uid="{83B3A4C2-BD32-410F-96BD-8284B98DB20E}"/>
    <hyperlink ref="N410" location="体調管理!A132" display="4月" xr:uid="{6193C3BE-12DF-42F4-8FCF-B7D3FA4E3897}"/>
    <hyperlink ref="N409" location="体調管理!A98" display="3月" xr:uid="{A5BF759F-5B94-4678-8633-02BAE4C202D6}"/>
    <hyperlink ref="N408" location="体調管理!A64" display="2月" xr:uid="{D36ED35E-D476-427C-BC85-FF4C19BE36ED}"/>
    <hyperlink ref="N407" location="体調管理!A30" display="1月" xr:uid="{CAF0A889-F392-44C4-940D-BB6DDD729619}"/>
    <hyperlink ref="A439" location="体調管理!A2" display="▲体調管理表トップへ戻る" xr:uid="{8E2B2875-FF52-4298-9A0B-05A4233B4EE8}"/>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tint="0.39997558519241921"/>
  </sheetPr>
  <dimension ref="A1:G31"/>
  <sheetViews>
    <sheetView zoomScaleNormal="100" workbookViewId="0">
      <selection activeCell="D6" sqref="D6"/>
    </sheetView>
  </sheetViews>
  <sheetFormatPr defaultColWidth="8.5" defaultRowHeight="18"/>
  <cols>
    <col min="2" max="2" width="45.09765625" customWidth="1"/>
  </cols>
  <sheetData>
    <row r="1" spans="1:7" ht="18.600000000000001" thickBot="1">
      <c r="A1" s="359">
        <v>0</v>
      </c>
      <c r="B1" s="360" t="s">
        <v>380</v>
      </c>
      <c r="C1" s="91" t="s">
        <v>104</v>
      </c>
      <c r="E1" s="352" t="str">
        <f>HYPERLINK("#ダッシュボード!A2","▶ ダッシュボードへ")</f>
        <v>▶ ダッシュボードへ</v>
      </c>
      <c r="F1" s="353"/>
      <c r="G1" s="354"/>
    </row>
    <row r="2" spans="1:7">
      <c r="A2" s="359">
        <v>1</v>
      </c>
      <c r="B2" s="361" t="s">
        <v>307</v>
      </c>
      <c r="C2" s="91" t="s">
        <v>293</v>
      </c>
    </row>
    <row r="3" spans="1:7">
      <c r="A3" s="359">
        <v>2</v>
      </c>
      <c r="B3" s="361" t="s">
        <v>315</v>
      </c>
      <c r="C3" s="93" t="s">
        <v>325</v>
      </c>
    </row>
    <row r="4" spans="1:7">
      <c r="A4" s="359">
        <v>3</v>
      </c>
      <c r="B4" s="361" t="s">
        <v>308</v>
      </c>
      <c r="C4" s="37"/>
    </row>
    <row r="5" spans="1:7">
      <c r="A5" s="359">
        <v>4</v>
      </c>
      <c r="B5" s="361" t="s">
        <v>309</v>
      </c>
      <c r="C5" s="37"/>
    </row>
    <row r="6" spans="1:7">
      <c r="A6" s="359">
        <v>5</v>
      </c>
      <c r="B6" s="361"/>
      <c r="C6" s="37"/>
    </row>
    <row r="7" spans="1:7">
      <c r="A7" s="359">
        <v>6</v>
      </c>
      <c r="B7" s="361"/>
      <c r="C7" s="37"/>
    </row>
    <row r="8" spans="1:7">
      <c r="A8" s="359">
        <v>7</v>
      </c>
      <c r="B8" s="361"/>
      <c r="C8" s="37"/>
    </row>
    <row r="9" spans="1:7">
      <c r="A9" s="359">
        <v>8</v>
      </c>
      <c r="B9" s="361"/>
      <c r="C9" s="37"/>
    </row>
    <row r="10" spans="1:7">
      <c r="A10" s="359">
        <v>9</v>
      </c>
      <c r="B10" s="361"/>
      <c r="C10" s="37"/>
    </row>
    <row r="11" spans="1:7">
      <c r="A11" s="359">
        <v>10</v>
      </c>
      <c r="B11" s="361"/>
      <c r="C11" s="37"/>
    </row>
    <row r="12" spans="1:7">
      <c r="A12" s="359">
        <v>11</v>
      </c>
      <c r="B12" s="361"/>
      <c r="C12" s="37"/>
    </row>
    <row r="13" spans="1:7">
      <c r="A13" s="359">
        <v>12</v>
      </c>
      <c r="B13" s="361"/>
      <c r="C13" s="37"/>
    </row>
    <row r="14" spans="1:7">
      <c r="A14" s="359">
        <v>13</v>
      </c>
      <c r="B14" s="361"/>
      <c r="C14" s="37"/>
    </row>
    <row r="15" spans="1:7">
      <c r="A15" s="359">
        <v>14</v>
      </c>
      <c r="B15" s="361"/>
      <c r="C15" s="37"/>
    </row>
    <row r="16" spans="1:7">
      <c r="A16" s="359">
        <v>15</v>
      </c>
      <c r="B16" s="361"/>
      <c r="C16" s="37"/>
    </row>
    <row r="17" spans="1:3">
      <c r="A17" s="359">
        <v>16</v>
      </c>
      <c r="B17" s="361"/>
      <c r="C17" s="37"/>
    </row>
    <row r="18" spans="1:3">
      <c r="A18" s="359">
        <v>17</v>
      </c>
      <c r="B18" s="361"/>
      <c r="C18" s="37"/>
    </row>
    <row r="19" spans="1:3">
      <c r="A19" s="359">
        <v>18</v>
      </c>
      <c r="B19" s="361"/>
      <c r="C19" s="37"/>
    </row>
    <row r="20" spans="1:3">
      <c r="A20" s="359">
        <v>19</v>
      </c>
      <c r="B20" s="361"/>
      <c r="C20" s="37"/>
    </row>
    <row r="21" spans="1:3">
      <c r="A21" s="359">
        <v>20</v>
      </c>
      <c r="B21" s="361"/>
      <c r="C21" s="37"/>
    </row>
    <row r="22" spans="1:3">
      <c r="A22" s="359">
        <v>21</v>
      </c>
      <c r="B22" s="361"/>
      <c r="C22" s="37"/>
    </row>
    <row r="23" spans="1:3">
      <c r="A23" s="359">
        <v>22</v>
      </c>
      <c r="B23" s="361"/>
      <c r="C23" s="37"/>
    </row>
    <row r="24" spans="1:3">
      <c r="A24" s="359">
        <v>23</v>
      </c>
      <c r="B24" s="361"/>
      <c r="C24" s="37"/>
    </row>
    <row r="25" spans="1:3">
      <c r="A25" s="359">
        <v>24</v>
      </c>
      <c r="B25" s="361"/>
      <c r="C25" s="37"/>
    </row>
    <row r="26" spans="1:3">
      <c r="A26" s="359">
        <v>25</v>
      </c>
      <c r="B26" s="361"/>
      <c r="C26" s="37"/>
    </row>
    <row r="27" spans="1:3">
      <c r="A27" s="359">
        <v>26</v>
      </c>
      <c r="B27" s="361"/>
      <c r="C27" s="37"/>
    </row>
    <row r="28" spans="1:3">
      <c r="A28" s="359">
        <v>27</v>
      </c>
      <c r="B28" s="361"/>
      <c r="C28" s="37"/>
    </row>
    <row r="29" spans="1:3">
      <c r="A29" s="359">
        <v>28</v>
      </c>
      <c r="B29" s="361"/>
      <c r="C29" s="37"/>
    </row>
    <row r="30" spans="1:3">
      <c r="A30" s="359">
        <v>29</v>
      </c>
      <c r="B30" s="361"/>
      <c r="C30" s="37"/>
    </row>
    <row r="31" spans="1:3">
      <c r="A31" s="359">
        <v>30</v>
      </c>
      <c r="B31" s="361"/>
      <c r="C31" s="37" t="s">
        <v>292</v>
      </c>
    </row>
  </sheetData>
  <phoneticPr fontId="5"/>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BK164"/>
  <sheetViews>
    <sheetView zoomScaleNormal="100" workbookViewId="0">
      <pane ySplit="3" topLeftCell="A4" activePane="bottomLeft" state="frozen"/>
      <selection pane="bottomLeft" activeCell="A4" sqref="A4"/>
    </sheetView>
  </sheetViews>
  <sheetFormatPr defaultColWidth="8.5" defaultRowHeight="18"/>
  <cols>
    <col min="1" max="63" width="10.69921875" customWidth="1"/>
  </cols>
  <sheetData>
    <row r="1" spans="1:63" ht="18.600000000000001" thickBot="1">
      <c r="A1" s="322">
        <v>2025</v>
      </c>
      <c r="B1" s="321">
        <v>1</v>
      </c>
      <c r="C1" s="455" t="s">
        <v>1</v>
      </c>
      <c r="D1" s="455"/>
      <c r="E1" s="256" t="s">
        <v>88</v>
      </c>
      <c r="F1" s="440">
        <f>BI2</f>
        <v>0</v>
      </c>
      <c r="G1" s="441"/>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57" t="s">
        <v>89</v>
      </c>
      <c r="M1" s="258"/>
      <c r="N1" s="93" t="s">
        <v>258</v>
      </c>
      <c r="Q1" s="37"/>
      <c r="R1" s="37"/>
      <c r="S1" s="37"/>
      <c r="T1" s="37"/>
      <c r="U1" s="37"/>
      <c r="V1" s="37"/>
      <c r="W1" s="37"/>
      <c r="X1" s="37"/>
      <c r="Y1" s="37"/>
      <c r="Z1" s="37"/>
      <c r="AA1" s="37"/>
      <c r="AB1" s="37"/>
      <c r="AC1" s="37"/>
      <c r="AD1" s="37"/>
      <c r="AE1" s="37"/>
      <c r="AF1" s="37"/>
      <c r="AG1" s="37"/>
      <c r="AH1" s="37"/>
      <c r="AI1" s="37"/>
      <c r="AJ1" s="37"/>
      <c r="AK1" s="37"/>
      <c r="AL1" s="37"/>
      <c r="AM1" s="37"/>
      <c r="AN1" s="37"/>
      <c r="AO1" s="91" t="s">
        <v>298</v>
      </c>
      <c r="AP1" s="37"/>
      <c r="AQ1" s="37"/>
      <c r="AR1" s="37"/>
      <c r="AS1" s="37"/>
      <c r="AT1" s="37"/>
      <c r="AU1" s="37"/>
      <c r="AW1" s="91" t="s">
        <v>299</v>
      </c>
      <c r="AX1" s="37"/>
      <c r="AY1" s="91"/>
      <c r="AZ1" s="37"/>
      <c r="BA1" s="37"/>
      <c r="BB1" s="91" t="s">
        <v>301</v>
      </c>
      <c r="BC1" s="37"/>
      <c r="BD1" s="37"/>
      <c r="BE1" s="91" t="s">
        <v>274</v>
      </c>
      <c r="BF1" s="37"/>
      <c r="BG1" s="37"/>
      <c r="BH1" s="37"/>
      <c r="BI1" s="91" t="s">
        <v>132</v>
      </c>
      <c r="BJ1" s="37"/>
      <c r="BK1" s="37"/>
    </row>
    <row r="2" spans="1:63" ht="18.600000000000001" thickBot="1">
      <c r="A2" s="252" t="s">
        <v>2</v>
      </c>
      <c r="B2" s="253">
        <f>SUM(F6,O6,X6,AG6,AP6,AY6,BH6,F26,O26,X26,AG26,AP26,AY26,BH26,F46,O46,X46,AG46,AP46,AY46,BH46,F66,O66,X66,AG66,AP66,AY66,BH66)</f>
        <v>0</v>
      </c>
      <c r="C2" s="341" t="s">
        <v>2</v>
      </c>
      <c r="D2" s="37"/>
      <c r="E2" s="259">
        <f>A6</f>
        <v>45658</v>
      </c>
      <c r="F2" s="260">
        <f>J6</f>
        <v>45659</v>
      </c>
      <c r="G2" s="260">
        <f>S6</f>
        <v>45660</v>
      </c>
      <c r="H2" s="260">
        <f>AB6</f>
        <v>45661</v>
      </c>
      <c r="I2" s="260">
        <f>AK6</f>
        <v>45662</v>
      </c>
      <c r="J2" s="260">
        <f>AT6</f>
        <v>45663</v>
      </c>
      <c r="K2" s="260">
        <f>BC6</f>
        <v>45664</v>
      </c>
      <c r="L2" s="260">
        <f>A26</f>
        <v>45665</v>
      </c>
      <c r="M2" s="260">
        <f>J26</f>
        <v>45666</v>
      </c>
      <c r="N2" s="260">
        <f>S26</f>
        <v>45667</v>
      </c>
      <c r="O2" s="260">
        <f>AB26</f>
        <v>45668</v>
      </c>
      <c r="P2" s="260">
        <f>AK26</f>
        <v>45669</v>
      </c>
      <c r="Q2" s="260">
        <f>AT26</f>
        <v>45670</v>
      </c>
      <c r="R2" s="260">
        <f>BC26</f>
        <v>45671</v>
      </c>
      <c r="S2" s="260">
        <f>A46</f>
        <v>45672</v>
      </c>
      <c r="T2" s="260">
        <f>J46</f>
        <v>45673</v>
      </c>
      <c r="U2" s="260">
        <f>S46</f>
        <v>45674</v>
      </c>
      <c r="V2" s="260">
        <f>AB46</f>
        <v>45675</v>
      </c>
      <c r="W2" s="260">
        <f>AK46</f>
        <v>45676</v>
      </c>
      <c r="X2" s="260">
        <f>AT46</f>
        <v>45677</v>
      </c>
      <c r="Y2" s="260">
        <f>BC46</f>
        <v>45678</v>
      </c>
      <c r="Z2" s="260">
        <f>A66</f>
        <v>45679</v>
      </c>
      <c r="AA2" s="260">
        <f>J66</f>
        <v>45680</v>
      </c>
      <c r="AB2" s="260">
        <f>S66</f>
        <v>45681</v>
      </c>
      <c r="AC2" s="260">
        <f>AB66</f>
        <v>45682</v>
      </c>
      <c r="AD2" s="260">
        <f>AK66</f>
        <v>45683</v>
      </c>
      <c r="AE2" s="260">
        <f>AT66</f>
        <v>45684</v>
      </c>
      <c r="AF2" s="260">
        <f>BC66</f>
        <v>45685</v>
      </c>
      <c r="AG2" s="260">
        <f>A86</f>
        <v>45686</v>
      </c>
      <c r="AH2" s="260">
        <f>J86</f>
        <v>45687</v>
      </c>
      <c r="AI2" s="261">
        <f>S86</f>
        <v>45688</v>
      </c>
      <c r="AJ2" s="37"/>
      <c r="AK2" s="94" t="s">
        <v>3</v>
      </c>
      <c r="AL2" s="95">
        <f>SUM(H24,Q24,Z24,AI24,AR24,BA24,BJ24,H44,Q44,Z44,AI44,AR44,BA44,BJ44,H64,Q64,Z64,AI64,AR64,BA64,BJ64,H84,Q84,Z84,AI84,AR84,BA84,BJ84,H104,Q104,Z104)</f>
        <v>0</v>
      </c>
      <c r="AM2" s="96" t="s">
        <v>4</v>
      </c>
      <c r="AN2" s="94" t="s">
        <v>5</v>
      </c>
      <c r="AO2" s="248"/>
      <c r="AP2" s="98" t="s">
        <v>140</v>
      </c>
      <c r="AQ2" s="94">
        <f>B2</f>
        <v>0</v>
      </c>
      <c r="AR2" s="98" t="s">
        <v>141</v>
      </c>
      <c r="AS2" s="416" t="s">
        <v>6</v>
      </c>
      <c r="AT2" s="97">
        <f>AO2*AQ2</f>
        <v>0</v>
      </c>
      <c r="AU2" s="98" t="s">
        <v>4</v>
      </c>
      <c r="AV2" s="417" t="s">
        <v>142</v>
      </c>
      <c r="AW2" s="248"/>
      <c r="AX2" s="98" t="s">
        <v>375</v>
      </c>
      <c r="AY2" s="97">
        <f>(AL2+AT2)-AW2</f>
        <v>0</v>
      </c>
      <c r="AZ2" s="98" t="s">
        <v>4</v>
      </c>
      <c r="BA2" s="416" t="s">
        <v>7</v>
      </c>
      <c r="BB2" s="248"/>
      <c r="BC2" s="98" t="s">
        <v>4</v>
      </c>
      <c r="BD2" s="416" t="s">
        <v>8</v>
      </c>
      <c r="BE2" s="414"/>
      <c r="BF2" s="98" t="s">
        <v>9</v>
      </c>
      <c r="BG2" s="1">
        <f>B1</f>
        <v>1</v>
      </c>
      <c r="BH2" s="98" t="s">
        <v>10</v>
      </c>
      <c r="BI2" s="453">
        <f>SUM(AY2,BB2)</f>
        <v>0</v>
      </c>
      <c r="BJ2" s="454"/>
      <c r="BK2" s="98" t="s">
        <v>11</v>
      </c>
    </row>
    <row r="3" spans="1:63" ht="18.600000000000001" thickBot="1">
      <c r="A3" s="254" t="s">
        <v>12</v>
      </c>
      <c r="B3" s="255">
        <f>COUNTIF(E3:AI3,"&gt;0")</f>
        <v>0</v>
      </c>
      <c r="C3" s="342" t="s">
        <v>13</v>
      </c>
      <c r="D3" s="37"/>
      <c r="E3" s="262" t="str">
        <f>F6</f>
        <v/>
      </c>
      <c r="F3" s="263" t="str">
        <f>O6</f>
        <v/>
      </c>
      <c r="G3" s="263" t="str">
        <f>X6</f>
        <v/>
      </c>
      <c r="H3" s="263" t="str">
        <f>AG6</f>
        <v/>
      </c>
      <c r="I3" s="263" t="str">
        <f>AP6</f>
        <v/>
      </c>
      <c r="J3" s="263" t="str">
        <f>AY6</f>
        <v/>
      </c>
      <c r="K3" s="263" t="str">
        <f>BH6</f>
        <v/>
      </c>
      <c r="L3" s="263" t="str">
        <f>F26</f>
        <v/>
      </c>
      <c r="M3" s="263" t="str">
        <f>O26</f>
        <v/>
      </c>
      <c r="N3" s="263" t="str">
        <f>X26</f>
        <v/>
      </c>
      <c r="O3" s="263" t="str">
        <f>AG26</f>
        <v/>
      </c>
      <c r="P3" s="263" t="str">
        <f>AP26</f>
        <v/>
      </c>
      <c r="Q3" s="263" t="str">
        <f>AY26</f>
        <v/>
      </c>
      <c r="R3" s="263" t="str">
        <f>BH26</f>
        <v/>
      </c>
      <c r="S3" s="263" t="str">
        <f>F46</f>
        <v/>
      </c>
      <c r="T3" s="263" t="str">
        <f>O46</f>
        <v/>
      </c>
      <c r="U3" s="263" t="str">
        <f>X46</f>
        <v/>
      </c>
      <c r="V3" s="263" t="str">
        <f>AG46</f>
        <v/>
      </c>
      <c r="W3" s="263" t="str">
        <f>AP46</f>
        <v/>
      </c>
      <c r="X3" s="263" t="str">
        <f>AY46</f>
        <v/>
      </c>
      <c r="Y3" s="263" t="str">
        <f>BH46</f>
        <v/>
      </c>
      <c r="Z3" s="263" t="str">
        <f>F66</f>
        <v/>
      </c>
      <c r="AA3" s="263" t="str">
        <f>O66</f>
        <v/>
      </c>
      <c r="AB3" s="263" t="str">
        <f>X66</f>
        <v/>
      </c>
      <c r="AC3" s="263" t="str">
        <f>AG66</f>
        <v/>
      </c>
      <c r="AD3" s="263" t="str">
        <f>AP66</f>
        <v/>
      </c>
      <c r="AE3" s="263" t="str">
        <f>AY66</f>
        <v/>
      </c>
      <c r="AF3" s="263" t="str">
        <f>BH66</f>
        <v/>
      </c>
      <c r="AG3" s="263" t="str">
        <f>F86</f>
        <v/>
      </c>
      <c r="AH3" s="263" t="str">
        <f>O86</f>
        <v/>
      </c>
      <c r="AI3" s="264" t="str">
        <f>X86</f>
        <v/>
      </c>
      <c r="AJ3" s="37"/>
      <c r="AK3" s="37"/>
      <c r="AL3" s="103"/>
      <c r="AM3" s="99" t="s">
        <v>376</v>
      </c>
      <c r="AN3" s="100" t="s">
        <v>52</v>
      </c>
      <c r="AO3" s="101">
        <f>売上工数管理!P10</f>
        <v>1226</v>
      </c>
      <c r="AP3" s="98" t="s">
        <v>143</v>
      </c>
      <c r="AQ3" s="100">
        <f>AQ2</f>
        <v>0</v>
      </c>
      <c r="AR3" s="98" t="s">
        <v>141</v>
      </c>
      <c r="AS3" s="416" t="s">
        <v>53</v>
      </c>
      <c r="AT3" s="101">
        <f>AO3*AQ3</f>
        <v>0</v>
      </c>
      <c r="AU3" s="98" t="s">
        <v>4</v>
      </c>
      <c r="AV3" s="99" t="s">
        <v>103</v>
      </c>
      <c r="AW3" s="355" t="str">
        <f>IF(OR(AL2=0,AQ3=0),"", AL2/AQ3)</f>
        <v/>
      </c>
      <c r="AX3" s="98" t="s">
        <v>4</v>
      </c>
      <c r="AY3" s="91" t="s">
        <v>54</v>
      </c>
      <c r="AZ3" s="37"/>
      <c r="BA3" s="37"/>
      <c r="BB3" s="37"/>
      <c r="BC3" s="37"/>
      <c r="BD3" s="99" t="s">
        <v>372</v>
      </c>
      <c r="BE3" s="415">
        <f>S111</f>
        <v>0</v>
      </c>
      <c r="BF3" s="91" t="s">
        <v>366</v>
      </c>
      <c r="BG3" s="37"/>
      <c r="BH3" s="37"/>
      <c r="BI3" s="91" t="s">
        <v>300</v>
      </c>
      <c r="BJ3" s="37"/>
      <c r="BK3" s="37"/>
    </row>
    <row r="4" spans="1:63" ht="18.600000000000001" thickBot="1">
      <c r="A4" s="37"/>
      <c r="C4" s="37"/>
      <c r="D4" s="37"/>
      <c r="E4" s="93" t="s">
        <v>255</v>
      </c>
      <c r="F4" s="37"/>
      <c r="G4" s="37"/>
      <c r="H4" s="37"/>
      <c r="I4" s="93" t="s">
        <v>273</v>
      </c>
      <c r="K4" s="37"/>
      <c r="L4" s="37"/>
      <c r="M4" s="37"/>
      <c r="N4" s="37"/>
      <c r="O4" s="37"/>
      <c r="P4" s="37"/>
      <c r="Q4" s="37"/>
      <c r="R4" s="37"/>
      <c r="S4" s="37"/>
      <c r="T4" s="37"/>
      <c r="U4" s="37"/>
      <c r="V4" s="37"/>
      <c r="W4" s="37"/>
      <c r="X4" s="93" t="s">
        <v>374</v>
      </c>
      <c r="Z4" s="37"/>
      <c r="AA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448" t="s">
        <v>14</v>
      </c>
      <c r="B5" s="449"/>
      <c r="C5" s="449" t="s">
        <v>15</v>
      </c>
      <c r="D5" s="449"/>
      <c r="E5" s="449" t="s">
        <v>16</v>
      </c>
      <c r="F5" s="452"/>
      <c r="G5" s="37"/>
      <c r="H5" s="37"/>
      <c r="I5" s="37"/>
      <c r="J5" s="448" t="s">
        <v>14</v>
      </c>
      <c r="K5" s="449"/>
      <c r="L5" s="449" t="s">
        <v>15</v>
      </c>
      <c r="M5" s="449"/>
      <c r="N5" s="449" t="s">
        <v>16</v>
      </c>
      <c r="O5" s="452"/>
      <c r="P5" s="37"/>
      <c r="Q5" s="37"/>
      <c r="R5" s="37"/>
      <c r="S5" s="448" t="s">
        <v>14</v>
      </c>
      <c r="T5" s="449"/>
      <c r="U5" s="449" t="s">
        <v>15</v>
      </c>
      <c r="V5" s="449"/>
      <c r="W5" s="449" t="s">
        <v>16</v>
      </c>
      <c r="X5" s="452"/>
      <c r="Y5" s="37"/>
      <c r="Z5" s="37"/>
      <c r="AA5" s="37"/>
      <c r="AB5" s="448" t="s">
        <v>14</v>
      </c>
      <c r="AC5" s="449"/>
      <c r="AD5" s="449" t="s">
        <v>15</v>
      </c>
      <c r="AE5" s="449"/>
      <c r="AF5" s="449" t="s">
        <v>16</v>
      </c>
      <c r="AG5" s="452"/>
      <c r="AH5" s="37"/>
      <c r="AI5" s="37"/>
      <c r="AJ5" s="37"/>
      <c r="AK5" s="448" t="s">
        <v>14</v>
      </c>
      <c r="AL5" s="449"/>
      <c r="AM5" s="449" t="s">
        <v>15</v>
      </c>
      <c r="AN5" s="449"/>
      <c r="AO5" s="449" t="s">
        <v>16</v>
      </c>
      <c r="AP5" s="452"/>
      <c r="AQ5" s="37"/>
      <c r="AR5" s="37"/>
      <c r="AS5" s="37"/>
      <c r="AT5" s="448" t="s">
        <v>14</v>
      </c>
      <c r="AU5" s="449"/>
      <c r="AV5" s="449" t="s">
        <v>15</v>
      </c>
      <c r="AW5" s="449"/>
      <c r="AX5" s="449" t="s">
        <v>16</v>
      </c>
      <c r="AY5" s="452"/>
      <c r="AZ5" s="37"/>
      <c r="BA5" s="37"/>
      <c r="BB5" s="37"/>
      <c r="BC5" s="448" t="s">
        <v>14</v>
      </c>
      <c r="BD5" s="449"/>
      <c r="BE5" s="449" t="s">
        <v>15</v>
      </c>
      <c r="BF5" s="449"/>
      <c r="BG5" s="449" t="s">
        <v>16</v>
      </c>
      <c r="BH5" s="452"/>
      <c r="BI5" s="37"/>
      <c r="BJ5" s="37"/>
      <c r="BK5" s="37"/>
    </row>
    <row r="6" spans="1:63" ht="18.600000000000001" thickBot="1">
      <c r="A6" s="445">
        <f>DATE(A1,B1,1)</f>
        <v>45658</v>
      </c>
      <c r="B6" s="446"/>
      <c r="C6" s="249"/>
      <c r="D6" s="249"/>
      <c r="E6" s="250" t="str">
        <f>IF(C6="","",D6-C6-H6)</f>
        <v/>
      </c>
      <c r="F6" s="251" t="str">
        <f>IF(AND(E6=""),"",SUM(E9:E23))</f>
        <v/>
      </c>
      <c r="G6" s="103" t="s">
        <v>17</v>
      </c>
      <c r="H6" s="247">
        <v>4.1666666666666699E-2</v>
      </c>
      <c r="I6" s="37"/>
      <c r="J6" s="445">
        <f>A6+1</f>
        <v>45659</v>
      </c>
      <c r="K6" s="446"/>
      <c r="L6" s="250"/>
      <c r="M6" s="250"/>
      <c r="N6" s="250" t="str">
        <f>IF(L6="","",M6-L6-Q6)</f>
        <v/>
      </c>
      <c r="O6" s="251" t="str">
        <f>IF(AND(N6=""),"",SUM(N9:N23))</f>
        <v/>
      </c>
      <c r="P6" s="103" t="s">
        <v>17</v>
      </c>
      <c r="Q6" s="247">
        <v>4.1666666666666699E-2</v>
      </c>
      <c r="R6" s="37"/>
      <c r="S6" s="445">
        <f>J6+1</f>
        <v>45660</v>
      </c>
      <c r="T6" s="446"/>
      <c r="U6" s="249"/>
      <c r="V6" s="249"/>
      <c r="W6" s="250" t="str">
        <f>IF(U6="","",V6-U6-Z6)</f>
        <v/>
      </c>
      <c r="X6" s="251" t="str">
        <f>IF(AND(W6=""),"",SUM(W9:W23))</f>
        <v/>
      </c>
      <c r="Y6" s="103" t="s">
        <v>17</v>
      </c>
      <c r="Z6" s="247">
        <v>4.1666666666666699E-2</v>
      </c>
      <c r="AA6" s="37"/>
      <c r="AB6" s="445">
        <f>S6+1</f>
        <v>45661</v>
      </c>
      <c r="AC6" s="446"/>
      <c r="AD6" s="249"/>
      <c r="AE6" s="249"/>
      <c r="AF6" s="250" t="str">
        <f>IF(AD6="","",AE6-AD6-AI6)</f>
        <v/>
      </c>
      <c r="AG6" s="251" t="str">
        <f>IF(AND(AF6=""),"",SUM(AF9:AF23))</f>
        <v/>
      </c>
      <c r="AH6" s="103" t="s">
        <v>17</v>
      </c>
      <c r="AI6" s="247">
        <v>4.1666666666666699E-2</v>
      </c>
      <c r="AJ6" s="37"/>
      <c r="AK6" s="445">
        <f>AB6+1</f>
        <v>45662</v>
      </c>
      <c r="AL6" s="446"/>
      <c r="AM6" s="249"/>
      <c r="AN6" s="249"/>
      <c r="AO6" s="250" t="str">
        <f>IF(AM6="","",AN6-AM6-AR6)</f>
        <v/>
      </c>
      <c r="AP6" s="251" t="str">
        <f>IF(AND(AO6=""),"",SUM(AO9:AO23))</f>
        <v/>
      </c>
      <c r="AQ6" s="103" t="s">
        <v>17</v>
      </c>
      <c r="AR6" s="247">
        <v>4.1666666666666699E-2</v>
      </c>
      <c r="AS6" s="37"/>
      <c r="AT6" s="445">
        <f>AK6+1</f>
        <v>45663</v>
      </c>
      <c r="AU6" s="446"/>
      <c r="AV6" s="249"/>
      <c r="AW6" s="249"/>
      <c r="AX6" s="250" t="str">
        <f>IF(AV6="","",AW6-AV6-BA6)</f>
        <v/>
      </c>
      <c r="AY6" s="251" t="str">
        <f>IF(AND(AX6=""),"",SUM(AX9:AX23))</f>
        <v/>
      </c>
      <c r="AZ6" s="103" t="s">
        <v>17</v>
      </c>
      <c r="BA6" s="247">
        <v>4.1666666666666699E-2</v>
      </c>
      <c r="BB6" s="37"/>
      <c r="BC6" s="445">
        <f>AT6+1</f>
        <v>45664</v>
      </c>
      <c r="BD6" s="446"/>
      <c r="BE6" s="249"/>
      <c r="BF6" s="249"/>
      <c r="BG6" s="250" t="str">
        <f>IF(BE6="","",BF6-BE6-BJ6)</f>
        <v/>
      </c>
      <c r="BH6" s="251" t="str">
        <f>IF(AND(BG6=""),"",SUM(BG9:BG23))</f>
        <v/>
      </c>
      <c r="BI6" s="103" t="s">
        <v>17</v>
      </c>
      <c r="BJ6" s="247">
        <v>4.1666666666666699E-2</v>
      </c>
      <c r="BK6" s="37"/>
    </row>
    <row r="7" spans="1:63" ht="18.600000000000001" thickBot="1">
      <c r="A7" s="37" t="s">
        <v>36</v>
      </c>
      <c r="B7" s="104"/>
      <c r="C7" s="104"/>
      <c r="D7" s="104"/>
      <c r="E7" s="105"/>
      <c r="F7" s="106"/>
      <c r="G7" s="106"/>
      <c r="H7" s="413">
        <f>IF(COUNT(H9:H23)=0,0,COUNT(H9:H23))</f>
        <v>0</v>
      </c>
      <c r="I7" s="411" t="s">
        <v>366</v>
      </c>
      <c r="J7" s="37" t="s">
        <v>36</v>
      </c>
      <c r="K7" s="104"/>
      <c r="L7" s="104"/>
      <c r="M7" s="104"/>
      <c r="N7" s="105"/>
      <c r="O7" s="106"/>
      <c r="P7" s="106"/>
      <c r="Q7" s="413">
        <f>IF(COUNT(Q9:Q23)=0,0,COUNT(Q9:Q23))</f>
        <v>0</v>
      </c>
      <c r="R7" s="411" t="s">
        <v>366</v>
      </c>
      <c r="S7" s="37" t="s">
        <v>36</v>
      </c>
      <c r="T7" s="104"/>
      <c r="U7" s="104"/>
      <c r="V7" s="104"/>
      <c r="W7" s="105"/>
      <c r="X7" s="106"/>
      <c r="Y7" s="106"/>
      <c r="Z7" s="413">
        <f>IF(COUNT(Z9:Z23)=0,0,COUNT(Z9:Z23))</f>
        <v>0</v>
      </c>
      <c r="AA7" s="411" t="s">
        <v>366</v>
      </c>
      <c r="AB7" s="37" t="s">
        <v>36</v>
      </c>
      <c r="AC7" s="104"/>
      <c r="AD7" s="104"/>
      <c r="AE7" s="104"/>
      <c r="AF7" s="105"/>
      <c r="AG7" s="106"/>
      <c r="AH7" s="106"/>
      <c r="AI7" s="413">
        <f>IF(COUNT(AI9:AI23)=0,0,COUNT(AI9:AI23))</f>
        <v>0</v>
      </c>
      <c r="AJ7" s="411" t="s">
        <v>366</v>
      </c>
      <c r="AK7" s="37" t="s">
        <v>36</v>
      </c>
      <c r="AL7" s="37"/>
      <c r="AM7" s="104"/>
      <c r="AN7" s="104"/>
      <c r="AO7" s="105"/>
      <c r="AP7" s="106"/>
      <c r="AQ7" s="106"/>
      <c r="AR7" s="413">
        <f>IF(COUNT(AR9:AR23)=0,0,COUNT(AR9:AR23))</f>
        <v>0</v>
      </c>
      <c r="AS7" s="411" t="s">
        <v>366</v>
      </c>
      <c r="AT7" s="37" t="s">
        <v>36</v>
      </c>
      <c r="AU7" s="104"/>
      <c r="AV7" s="104"/>
      <c r="AW7" s="104"/>
      <c r="AX7" s="105"/>
      <c r="AY7" s="106"/>
      <c r="AZ7" s="106"/>
      <c r="BA7" s="413">
        <f>IF(COUNT(BA9:BA23)=0,0,COUNT(BA9:BA23))</f>
        <v>0</v>
      </c>
      <c r="BB7" s="411" t="s">
        <v>366</v>
      </c>
      <c r="BC7" s="37" t="s">
        <v>36</v>
      </c>
      <c r="BD7" s="104"/>
      <c r="BE7" s="104"/>
      <c r="BF7" s="104"/>
      <c r="BG7" s="105"/>
      <c r="BH7" s="106"/>
      <c r="BI7" s="106"/>
      <c r="BJ7" s="413">
        <f>IF(COUNT(BJ9:BJ23)=0,0,COUNT(BJ9:BJ23))</f>
        <v>0</v>
      </c>
      <c r="BK7" s="411" t="s">
        <v>366</v>
      </c>
    </row>
    <row r="8" spans="1:63">
      <c r="A8" s="265" t="s">
        <v>18</v>
      </c>
      <c r="B8" s="447" t="s">
        <v>19</v>
      </c>
      <c r="C8" s="447"/>
      <c r="D8" s="447"/>
      <c r="E8" s="266" t="s">
        <v>20</v>
      </c>
      <c r="F8" s="266" t="s">
        <v>0</v>
      </c>
      <c r="G8" s="266" t="s">
        <v>37</v>
      </c>
      <c r="H8" s="410" t="s">
        <v>21</v>
      </c>
      <c r="I8" s="268" t="s">
        <v>22</v>
      </c>
      <c r="J8" s="265" t="s">
        <v>18</v>
      </c>
      <c r="K8" s="447" t="s">
        <v>19</v>
      </c>
      <c r="L8" s="447"/>
      <c r="M8" s="447"/>
      <c r="N8" s="266" t="s">
        <v>20</v>
      </c>
      <c r="O8" s="266" t="s">
        <v>0</v>
      </c>
      <c r="P8" s="266" t="s">
        <v>37</v>
      </c>
      <c r="Q8" s="267" t="s">
        <v>21</v>
      </c>
      <c r="R8" s="268" t="s">
        <v>22</v>
      </c>
      <c r="S8" s="265" t="s">
        <v>18</v>
      </c>
      <c r="T8" s="447" t="s">
        <v>19</v>
      </c>
      <c r="U8" s="447"/>
      <c r="V8" s="447"/>
      <c r="W8" s="266" t="s">
        <v>20</v>
      </c>
      <c r="X8" s="266" t="s">
        <v>0</v>
      </c>
      <c r="Y8" s="266" t="s">
        <v>37</v>
      </c>
      <c r="Z8" s="267" t="s">
        <v>21</v>
      </c>
      <c r="AA8" s="268" t="s">
        <v>22</v>
      </c>
      <c r="AB8" s="265" t="s">
        <v>18</v>
      </c>
      <c r="AC8" s="447" t="s">
        <v>19</v>
      </c>
      <c r="AD8" s="447"/>
      <c r="AE8" s="447"/>
      <c r="AF8" s="266" t="s">
        <v>20</v>
      </c>
      <c r="AG8" s="266" t="s">
        <v>0</v>
      </c>
      <c r="AH8" s="266" t="s">
        <v>37</v>
      </c>
      <c r="AI8" s="267" t="s">
        <v>21</v>
      </c>
      <c r="AJ8" s="268" t="s">
        <v>22</v>
      </c>
      <c r="AK8" s="265" t="s">
        <v>18</v>
      </c>
      <c r="AL8" s="447" t="s">
        <v>19</v>
      </c>
      <c r="AM8" s="447"/>
      <c r="AN8" s="447"/>
      <c r="AO8" s="266" t="s">
        <v>20</v>
      </c>
      <c r="AP8" s="266" t="s">
        <v>0</v>
      </c>
      <c r="AQ8" s="266" t="s">
        <v>37</v>
      </c>
      <c r="AR8" s="267" t="s">
        <v>21</v>
      </c>
      <c r="AS8" s="268" t="s">
        <v>22</v>
      </c>
      <c r="AT8" s="265" t="s">
        <v>18</v>
      </c>
      <c r="AU8" s="447" t="s">
        <v>19</v>
      </c>
      <c r="AV8" s="447"/>
      <c r="AW8" s="447"/>
      <c r="AX8" s="266" t="s">
        <v>20</v>
      </c>
      <c r="AY8" s="266" t="s">
        <v>0</v>
      </c>
      <c r="AZ8" s="266" t="s">
        <v>37</v>
      </c>
      <c r="BA8" s="267" t="s">
        <v>21</v>
      </c>
      <c r="BB8" s="268" t="s">
        <v>22</v>
      </c>
      <c r="BC8" s="265" t="s">
        <v>18</v>
      </c>
      <c r="BD8" s="447" t="s">
        <v>19</v>
      </c>
      <c r="BE8" s="447"/>
      <c r="BF8" s="447"/>
      <c r="BG8" s="266" t="s">
        <v>20</v>
      </c>
      <c r="BH8" s="266" t="s">
        <v>0</v>
      </c>
      <c r="BI8" s="266" t="s">
        <v>37</v>
      </c>
      <c r="BJ8" s="267" t="s">
        <v>21</v>
      </c>
      <c r="BK8" s="268" t="s">
        <v>22</v>
      </c>
    </row>
    <row r="9" spans="1:63">
      <c r="A9" s="269"/>
      <c r="B9" s="443" t="str">
        <f>IF(A9="","",VLOOKUP(A9,案件コード!$A$1:$B$31,2,FALSE()))</f>
        <v/>
      </c>
      <c r="C9" s="443"/>
      <c r="D9" s="443"/>
      <c r="E9" s="102" t="str">
        <f t="shared" ref="E9:E23" si="0">IF(AND(F9="",G9=""),"",SUM(F9:G9))</f>
        <v/>
      </c>
      <c r="F9" s="245"/>
      <c r="G9" s="244"/>
      <c r="H9" s="246"/>
      <c r="I9" s="270"/>
      <c r="J9" s="269"/>
      <c r="K9" s="443" t="str">
        <f>IF(J9="","",VLOOKUP(J9,案件コード!$A$1:$B$31,2,FALSE()))</f>
        <v/>
      </c>
      <c r="L9" s="443"/>
      <c r="M9" s="443"/>
      <c r="N9" s="102" t="str">
        <f t="shared" ref="N9:N23" si="1">IF(AND(O9="",P9=""),"",SUM(O9:P9))</f>
        <v/>
      </c>
      <c r="O9" s="245"/>
      <c r="P9" s="244"/>
      <c r="Q9" s="246"/>
      <c r="R9" s="270"/>
      <c r="S9" s="269"/>
      <c r="T9" s="443" t="str">
        <f>IF(S9="","",VLOOKUP(S9,案件コード!$A$1:$B$31,2,FALSE()))</f>
        <v/>
      </c>
      <c r="U9" s="443"/>
      <c r="V9" s="443"/>
      <c r="W9" s="102" t="str">
        <f t="shared" ref="W9:W23" si="2">IF(AND(X9="",Y9=""),"",SUM(X9:Y9))</f>
        <v/>
      </c>
      <c r="X9" s="245"/>
      <c r="Y9" s="244"/>
      <c r="Z9" s="246"/>
      <c r="AA9" s="278"/>
      <c r="AB9" s="269"/>
      <c r="AC9" s="443" t="str">
        <f>IF(AB9="","",VLOOKUP(AB9,案件コード!$A$1:$B$31,2,FALSE()))</f>
        <v/>
      </c>
      <c r="AD9" s="443"/>
      <c r="AE9" s="443"/>
      <c r="AF9" s="102" t="str">
        <f t="shared" ref="AF9:AF23" si="3">IF(AND(AG9="",AH9=""),"",SUM(AG9:AH9))</f>
        <v/>
      </c>
      <c r="AG9" s="245"/>
      <c r="AH9" s="244"/>
      <c r="AI9" s="246"/>
      <c r="AJ9" s="278"/>
      <c r="AK9" s="269"/>
      <c r="AL9" s="443" t="str">
        <f>IF(AK9="","",VLOOKUP(AK9,案件コード!$A$1:$B$31,2,FALSE()))</f>
        <v/>
      </c>
      <c r="AM9" s="443"/>
      <c r="AN9" s="443"/>
      <c r="AO9" s="102" t="str">
        <f t="shared" ref="AO9:AO23" si="4">IF(AND(AP9="",AQ9=""),"",SUM(AP9:AQ9))</f>
        <v/>
      </c>
      <c r="AP9" s="245"/>
      <c r="AQ9" s="244"/>
      <c r="AR9" s="246"/>
      <c r="AS9" s="278"/>
      <c r="AT9" s="269"/>
      <c r="AU9" s="443" t="str">
        <f>IF(AT9="","",VLOOKUP(AT9,案件コード!$A$1:$B$31,2,FALSE()))</f>
        <v/>
      </c>
      <c r="AV9" s="443"/>
      <c r="AW9" s="443"/>
      <c r="AX9" s="102" t="str">
        <f t="shared" ref="AX9:AX23" si="5">IF(AND(AY9="",AZ9=""),"",SUM(AY9:AZ9))</f>
        <v/>
      </c>
      <c r="AY9" s="245"/>
      <c r="AZ9" s="244"/>
      <c r="BA9" s="246"/>
      <c r="BB9" s="278"/>
      <c r="BC9" s="269"/>
      <c r="BD9" s="443" t="str">
        <f>IF(BC9="","",VLOOKUP(BC9,案件コード!$A$1:$B$31,2,FALSE()))</f>
        <v/>
      </c>
      <c r="BE9" s="443"/>
      <c r="BF9" s="443"/>
      <c r="BG9" s="102" t="str">
        <f t="shared" ref="BG9:BG23" si="6">IF(AND(BH9="",BI9=""),"",SUM(BH9:BI9))</f>
        <v/>
      </c>
      <c r="BH9" s="245"/>
      <c r="BI9" s="244"/>
      <c r="BJ9" s="246"/>
      <c r="BK9" s="278"/>
    </row>
    <row r="10" spans="1:63">
      <c r="A10" s="269"/>
      <c r="B10" s="443" t="str">
        <f>IF(A10="","",VLOOKUP(A10,案件コード!$A$1:$B$31,2,FALSE()))</f>
        <v/>
      </c>
      <c r="C10" s="443"/>
      <c r="D10" s="443"/>
      <c r="E10" s="102" t="str">
        <f t="shared" si="0"/>
        <v/>
      </c>
      <c r="F10" s="245"/>
      <c r="G10" s="244"/>
      <c r="H10" s="246"/>
      <c r="I10" s="271"/>
      <c r="J10" s="269"/>
      <c r="K10" s="443" t="str">
        <f>IF(J10="","",VLOOKUP(J10,案件コード!$A$1:$B$31,2,FALSE()))</f>
        <v/>
      </c>
      <c r="L10" s="443"/>
      <c r="M10" s="443"/>
      <c r="N10" s="102" t="str">
        <f t="shared" si="1"/>
        <v/>
      </c>
      <c r="O10" s="245"/>
      <c r="P10" s="244"/>
      <c r="Q10" s="246"/>
      <c r="R10" s="271"/>
      <c r="S10" s="269"/>
      <c r="T10" s="443" t="str">
        <f>IF(S10="","",VLOOKUP(S10,案件コード!$A$1:$B$31,2,FALSE()))</f>
        <v/>
      </c>
      <c r="U10" s="443"/>
      <c r="V10" s="443"/>
      <c r="W10" s="102" t="str">
        <f t="shared" si="2"/>
        <v/>
      </c>
      <c r="X10" s="245"/>
      <c r="Y10" s="244"/>
      <c r="Z10" s="246"/>
      <c r="AA10" s="279"/>
      <c r="AB10" s="269"/>
      <c r="AC10" s="443" t="str">
        <f>IF(AB10="","",VLOOKUP(AB10,案件コード!$A$1:$B$31,2,FALSE()))</f>
        <v/>
      </c>
      <c r="AD10" s="443"/>
      <c r="AE10" s="443"/>
      <c r="AF10" s="102" t="str">
        <f t="shared" si="3"/>
        <v/>
      </c>
      <c r="AG10" s="245"/>
      <c r="AH10" s="244"/>
      <c r="AI10" s="246"/>
      <c r="AJ10" s="279"/>
      <c r="AK10" s="269"/>
      <c r="AL10" s="443" t="str">
        <f>IF(AK10="","",VLOOKUP(AK10,案件コード!$A$1:$B$31,2,FALSE()))</f>
        <v/>
      </c>
      <c r="AM10" s="443"/>
      <c r="AN10" s="443"/>
      <c r="AO10" s="102" t="str">
        <f t="shared" si="4"/>
        <v/>
      </c>
      <c r="AP10" s="245"/>
      <c r="AQ10" s="244"/>
      <c r="AR10" s="246"/>
      <c r="AS10" s="279"/>
      <c r="AT10" s="269"/>
      <c r="AU10" s="443" t="str">
        <f>IF(AT10="","",VLOOKUP(AT10,案件コード!$A$1:$B$31,2,FALSE()))</f>
        <v/>
      </c>
      <c r="AV10" s="443"/>
      <c r="AW10" s="443"/>
      <c r="AX10" s="102" t="str">
        <f t="shared" si="5"/>
        <v/>
      </c>
      <c r="AY10" s="245"/>
      <c r="AZ10" s="244"/>
      <c r="BA10" s="246"/>
      <c r="BB10" s="279"/>
      <c r="BC10" s="269"/>
      <c r="BD10" s="443" t="str">
        <f>IF(BC10="","",VLOOKUP(BC10,案件コード!$A$1:$B$31,2,FALSE()))</f>
        <v/>
      </c>
      <c r="BE10" s="443"/>
      <c r="BF10" s="443"/>
      <c r="BG10" s="102" t="str">
        <f t="shared" si="6"/>
        <v/>
      </c>
      <c r="BH10" s="245"/>
      <c r="BI10" s="244"/>
      <c r="BJ10" s="246"/>
      <c r="BK10" s="279"/>
    </row>
    <row r="11" spans="1:63">
      <c r="A11" s="269"/>
      <c r="B11" s="443" t="str">
        <f>IF(A11="","",VLOOKUP(A11,案件コード!$A$1:$B$31,2,FALSE()))</f>
        <v/>
      </c>
      <c r="C11" s="443"/>
      <c r="D11" s="443"/>
      <c r="E11" s="102" t="str">
        <f t="shared" si="0"/>
        <v/>
      </c>
      <c r="F11" s="245"/>
      <c r="G11" s="244"/>
      <c r="H11" s="246"/>
      <c r="I11" s="271"/>
      <c r="J11" s="269"/>
      <c r="K11" s="443" t="str">
        <f>IF(J11="","",VLOOKUP(J11,案件コード!$A$1:$B$31,2,FALSE()))</f>
        <v/>
      </c>
      <c r="L11" s="443"/>
      <c r="M11" s="443"/>
      <c r="N11" s="102" t="str">
        <f t="shared" si="1"/>
        <v/>
      </c>
      <c r="O11" s="245"/>
      <c r="P11" s="244"/>
      <c r="Q11" s="246"/>
      <c r="R11" s="271"/>
      <c r="S11" s="269"/>
      <c r="T11" s="443" t="str">
        <f>IF(S11="","",VLOOKUP(S11,案件コード!$A$1:$B$31,2,FALSE()))</f>
        <v/>
      </c>
      <c r="U11" s="443"/>
      <c r="V11" s="443"/>
      <c r="W11" s="102" t="str">
        <f t="shared" si="2"/>
        <v/>
      </c>
      <c r="X11" s="245"/>
      <c r="Y11" s="244"/>
      <c r="Z11" s="246"/>
      <c r="AA11" s="279"/>
      <c r="AB11" s="269"/>
      <c r="AC11" s="443" t="str">
        <f>IF(AB11="","",VLOOKUP(AB11,案件コード!$A$1:$B$31,2,FALSE()))</f>
        <v/>
      </c>
      <c r="AD11" s="443"/>
      <c r="AE11" s="443"/>
      <c r="AF11" s="102" t="str">
        <f t="shared" si="3"/>
        <v/>
      </c>
      <c r="AG11" s="245"/>
      <c r="AH11" s="244"/>
      <c r="AI11" s="246"/>
      <c r="AJ11" s="279"/>
      <c r="AK11" s="269"/>
      <c r="AL11" s="443" t="str">
        <f>IF(AK11="","",VLOOKUP(AK11,案件コード!$A$1:$B$31,2,FALSE()))</f>
        <v/>
      </c>
      <c r="AM11" s="443"/>
      <c r="AN11" s="443"/>
      <c r="AO11" s="102" t="str">
        <f t="shared" si="4"/>
        <v/>
      </c>
      <c r="AP11" s="245"/>
      <c r="AQ11" s="244"/>
      <c r="AR11" s="246"/>
      <c r="AS11" s="279"/>
      <c r="AT11" s="269"/>
      <c r="AU11" s="443" t="str">
        <f>IF(AT11="","",VLOOKUP(AT11,案件コード!$A$1:$B$31,2,FALSE()))</f>
        <v/>
      </c>
      <c r="AV11" s="443"/>
      <c r="AW11" s="443"/>
      <c r="AX11" s="102" t="str">
        <f t="shared" si="5"/>
        <v/>
      </c>
      <c r="AY11" s="245"/>
      <c r="AZ11" s="244"/>
      <c r="BA11" s="246"/>
      <c r="BB11" s="279"/>
      <c r="BC11" s="269"/>
      <c r="BD11" s="443" t="str">
        <f>IF(BC11="","",VLOOKUP(BC11,案件コード!$A$1:$B$31,2,FALSE()))</f>
        <v/>
      </c>
      <c r="BE11" s="443"/>
      <c r="BF11" s="443"/>
      <c r="BG11" s="102" t="str">
        <f t="shared" si="6"/>
        <v/>
      </c>
      <c r="BH11" s="245"/>
      <c r="BI11" s="244"/>
      <c r="BJ11" s="246"/>
      <c r="BK11" s="279"/>
    </row>
    <row r="12" spans="1:63">
      <c r="A12" s="269"/>
      <c r="B12" s="443" t="str">
        <f>IF(A12="","",VLOOKUP(A12,案件コード!$A$1:$B$31,2,FALSE()))</f>
        <v/>
      </c>
      <c r="C12" s="443"/>
      <c r="D12" s="443"/>
      <c r="E12" s="102" t="str">
        <f t="shared" si="0"/>
        <v/>
      </c>
      <c r="F12" s="245"/>
      <c r="G12" s="244"/>
      <c r="H12" s="246"/>
      <c r="I12" s="271"/>
      <c r="J12" s="269"/>
      <c r="K12" s="443" t="str">
        <f>IF(J12="","",VLOOKUP(J12,案件コード!$A$1:$B$31,2,FALSE()))</f>
        <v/>
      </c>
      <c r="L12" s="443"/>
      <c r="M12" s="443"/>
      <c r="N12" s="102" t="str">
        <f t="shared" si="1"/>
        <v/>
      </c>
      <c r="O12" s="245"/>
      <c r="P12" s="244"/>
      <c r="Q12" s="246"/>
      <c r="R12" s="271"/>
      <c r="S12" s="269"/>
      <c r="T12" s="443" t="str">
        <f>IF(S12="","",VLOOKUP(S12,案件コード!$A$1:$B$31,2,FALSE()))</f>
        <v/>
      </c>
      <c r="U12" s="443"/>
      <c r="V12" s="443"/>
      <c r="W12" s="102" t="str">
        <f t="shared" si="2"/>
        <v/>
      </c>
      <c r="X12" s="245"/>
      <c r="Y12" s="244"/>
      <c r="Z12" s="246"/>
      <c r="AA12" s="279"/>
      <c r="AB12" s="269"/>
      <c r="AC12" s="443" t="str">
        <f>IF(AB12="","",VLOOKUP(AB12,案件コード!$A$1:$B$31,2,FALSE()))</f>
        <v/>
      </c>
      <c r="AD12" s="443"/>
      <c r="AE12" s="443"/>
      <c r="AF12" s="102" t="str">
        <f t="shared" si="3"/>
        <v/>
      </c>
      <c r="AG12" s="245"/>
      <c r="AH12" s="244"/>
      <c r="AI12" s="246"/>
      <c r="AJ12" s="279"/>
      <c r="AK12" s="269"/>
      <c r="AL12" s="443" t="str">
        <f>IF(AK12="","",VLOOKUP(AK12,案件コード!$A$1:$B$31,2,FALSE()))</f>
        <v/>
      </c>
      <c r="AM12" s="443"/>
      <c r="AN12" s="443"/>
      <c r="AO12" s="102" t="str">
        <f t="shared" si="4"/>
        <v/>
      </c>
      <c r="AP12" s="245"/>
      <c r="AQ12" s="244"/>
      <c r="AR12" s="246"/>
      <c r="AS12" s="279"/>
      <c r="AT12" s="269"/>
      <c r="AU12" s="443" t="str">
        <f>IF(AT12="","",VLOOKUP(AT12,案件コード!$A$1:$B$31,2,FALSE()))</f>
        <v/>
      </c>
      <c r="AV12" s="443"/>
      <c r="AW12" s="443"/>
      <c r="AX12" s="102" t="str">
        <f t="shared" si="5"/>
        <v/>
      </c>
      <c r="AY12" s="245"/>
      <c r="AZ12" s="244"/>
      <c r="BA12" s="246"/>
      <c r="BB12" s="279"/>
      <c r="BC12" s="269"/>
      <c r="BD12" s="443" t="str">
        <f>IF(BC12="","",VLOOKUP(BC12,案件コード!$A$1:$B$31,2,FALSE()))</f>
        <v/>
      </c>
      <c r="BE12" s="443"/>
      <c r="BF12" s="443"/>
      <c r="BG12" s="102" t="str">
        <f t="shared" si="6"/>
        <v/>
      </c>
      <c r="BH12" s="245"/>
      <c r="BI12" s="244"/>
      <c r="BJ12" s="246"/>
      <c r="BK12" s="279"/>
    </row>
    <row r="13" spans="1:63">
      <c r="A13" s="269"/>
      <c r="B13" s="443" t="str">
        <f>IF(A13="","",VLOOKUP(A13,案件コード!$A$1:$B$31,2,FALSE()))</f>
        <v/>
      </c>
      <c r="C13" s="443"/>
      <c r="D13" s="443"/>
      <c r="E13" s="102" t="str">
        <f t="shared" si="0"/>
        <v/>
      </c>
      <c r="F13" s="245"/>
      <c r="G13" s="244"/>
      <c r="H13" s="246"/>
      <c r="I13" s="271"/>
      <c r="J13" s="269"/>
      <c r="K13" s="443" t="str">
        <f>IF(J13="","",VLOOKUP(J13,案件コード!$A$1:$B$31,2,FALSE()))</f>
        <v/>
      </c>
      <c r="L13" s="443"/>
      <c r="M13" s="443"/>
      <c r="N13" s="102" t="str">
        <f t="shared" si="1"/>
        <v/>
      </c>
      <c r="O13" s="245"/>
      <c r="P13" s="244"/>
      <c r="Q13" s="246"/>
      <c r="R13" s="271"/>
      <c r="S13" s="269"/>
      <c r="T13" s="443" t="str">
        <f>IF(S13="","",VLOOKUP(S13,案件コード!$A$1:$B$31,2,FALSE()))</f>
        <v/>
      </c>
      <c r="U13" s="443"/>
      <c r="V13" s="443"/>
      <c r="W13" s="102" t="str">
        <f t="shared" si="2"/>
        <v/>
      </c>
      <c r="X13" s="245"/>
      <c r="Y13" s="244"/>
      <c r="Z13" s="246"/>
      <c r="AA13" s="279"/>
      <c r="AB13" s="269"/>
      <c r="AC13" s="443" t="str">
        <f>IF(AB13="","",VLOOKUP(AB13,案件コード!$A$1:$B$31,2,FALSE()))</f>
        <v/>
      </c>
      <c r="AD13" s="443"/>
      <c r="AE13" s="443"/>
      <c r="AF13" s="102" t="str">
        <f t="shared" si="3"/>
        <v/>
      </c>
      <c r="AG13" s="245"/>
      <c r="AH13" s="244"/>
      <c r="AI13" s="246"/>
      <c r="AJ13" s="279"/>
      <c r="AK13" s="269"/>
      <c r="AL13" s="443" t="str">
        <f>IF(AK13="","",VLOOKUP(AK13,案件コード!$A$1:$B$31,2,FALSE()))</f>
        <v/>
      </c>
      <c r="AM13" s="443"/>
      <c r="AN13" s="443"/>
      <c r="AO13" s="102" t="str">
        <f t="shared" si="4"/>
        <v/>
      </c>
      <c r="AP13" s="245"/>
      <c r="AQ13" s="244"/>
      <c r="AR13" s="246"/>
      <c r="AS13" s="279"/>
      <c r="AT13" s="269"/>
      <c r="AU13" s="443" t="str">
        <f>IF(AT13="","",VLOOKUP(AT13,案件コード!$A$1:$B$31,2,FALSE()))</f>
        <v/>
      </c>
      <c r="AV13" s="443"/>
      <c r="AW13" s="443"/>
      <c r="AX13" s="102" t="str">
        <f t="shared" si="5"/>
        <v/>
      </c>
      <c r="AY13" s="245"/>
      <c r="AZ13" s="244"/>
      <c r="BA13" s="246"/>
      <c r="BB13" s="279"/>
      <c r="BC13" s="269"/>
      <c r="BD13" s="443" t="str">
        <f>IF(BC13="","",VLOOKUP(BC13,案件コード!$A$1:$B$31,2,FALSE()))</f>
        <v/>
      </c>
      <c r="BE13" s="443"/>
      <c r="BF13" s="443"/>
      <c r="BG13" s="102" t="str">
        <f t="shared" si="6"/>
        <v/>
      </c>
      <c r="BH13" s="245"/>
      <c r="BI13" s="244"/>
      <c r="BJ13" s="246"/>
      <c r="BK13" s="279"/>
    </row>
    <row r="14" spans="1:63">
      <c r="A14" s="269"/>
      <c r="B14" s="443" t="str">
        <f>IF(A14="","",VLOOKUP(A14,案件コード!$A$1:$B$31,2,FALSE()))</f>
        <v/>
      </c>
      <c r="C14" s="443"/>
      <c r="D14" s="443"/>
      <c r="E14" s="102" t="str">
        <f t="shared" si="0"/>
        <v/>
      </c>
      <c r="F14" s="245"/>
      <c r="G14" s="244"/>
      <c r="H14" s="246"/>
      <c r="I14" s="271"/>
      <c r="J14" s="269"/>
      <c r="K14" s="443" t="str">
        <f>IF(J14="","",VLOOKUP(J14,案件コード!$A$1:$B$31,2,FALSE()))</f>
        <v/>
      </c>
      <c r="L14" s="443"/>
      <c r="M14" s="443"/>
      <c r="N14" s="102" t="str">
        <f t="shared" si="1"/>
        <v/>
      </c>
      <c r="O14" s="245"/>
      <c r="P14" s="244"/>
      <c r="Q14" s="246"/>
      <c r="R14" s="271"/>
      <c r="S14" s="269"/>
      <c r="T14" s="443" t="str">
        <f>IF(S14="","",VLOOKUP(S14,案件コード!$A$1:$B$31,2,FALSE()))</f>
        <v/>
      </c>
      <c r="U14" s="443"/>
      <c r="V14" s="443"/>
      <c r="W14" s="102" t="str">
        <f t="shared" si="2"/>
        <v/>
      </c>
      <c r="X14" s="245"/>
      <c r="Y14" s="244"/>
      <c r="Z14" s="246"/>
      <c r="AA14" s="279"/>
      <c r="AB14" s="269"/>
      <c r="AC14" s="443" t="str">
        <f>IF(AB14="","",VLOOKUP(AB14,案件コード!$A$1:$B$31,2,FALSE()))</f>
        <v/>
      </c>
      <c r="AD14" s="443"/>
      <c r="AE14" s="443"/>
      <c r="AF14" s="102" t="str">
        <f t="shared" si="3"/>
        <v/>
      </c>
      <c r="AG14" s="245"/>
      <c r="AH14" s="244"/>
      <c r="AI14" s="246"/>
      <c r="AJ14" s="279"/>
      <c r="AK14" s="269"/>
      <c r="AL14" s="443" t="str">
        <f>IF(AK14="","",VLOOKUP(AK14,案件コード!$A$1:$B$31,2,FALSE()))</f>
        <v/>
      </c>
      <c r="AM14" s="443"/>
      <c r="AN14" s="443"/>
      <c r="AO14" s="102" t="str">
        <f t="shared" si="4"/>
        <v/>
      </c>
      <c r="AP14" s="245"/>
      <c r="AQ14" s="244"/>
      <c r="AR14" s="246"/>
      <c r="AS14" s="279"/>
      <c r="AT14" s="269"/>
      <c r="AU14" s="443" t="str">
        <f>IF(AT14="","",VLOOKUP(AT14,案件コード!$A$1:$B$31,2,FALSE()))</f>
        <v/>
      </c>
      <c r="AV14" s="443"/>
      <c r="AW14" s="443"/>
      <c r="AX14" s="102" t="str">
        <f t="shared" si="5"/>
        <v/>
      </c>
      <c r="AY14" s="245"/>
      <c r="AZ14" s="244"/>
      <c r="BA14" s="246"/>
      <c r="BB14" s="279"/>
      <c r="BC14" s="269"/>
      <c r="BD14" s="443" t="str">
        <f>IF(BC14="","",VLOOKUP(BC14,案件コード!$A$1:$B$31,2,FALSE()))</f>
        <v/>
      </c>
      <c r="BE14" s="443"/>
      <c r="BF14" s="443"/>
      <c r="BG14" s="102" t="str">
        <f t="shared" si="6"/>
        <v/>
      </c>
      <c r="BH14" s="245"/>
      <c r="BI14" s="244"/>
      <c r="BJ14" s="246"/>
      <c r="BK14" s="279"/>
    </row>
    <row r="15" spans="1:63">
      <c r="A15" s="269"/>
      <c r="B15" s="443" t="str">
        <f>IF(A15="","",VLOOKUP(A15,案件コード!$A$1:$B$31,2,FALSE()))</f>
        <v/>
      </c>
      <c r="C15" s="443"/>
      <c r="D15" s="443"/>
      <c r="E15" s="102" t="str">
        <f t="shared" si="0"/>
        <v/>
      </c>
      <c r="F15" s="245"/>
      <c r="G15" s="244"/>
      <c r="H15" s="246"/>
      <c r="I15" s="271"/>
      <c r="J15" s="269"/>
      <c r="K15" s="443" t="str">
        <f>IF(J15="","",VLOOKUP(J15,案件コード!$A$1:$B$31,2,FALSE()))</f>
        <v/>
      </c>
      <c r="L15" s="443"/>
      <c r="M15" s="443"/>
      <c r="N15" s="102" t="str">
        <f t="shared" si="1"/>
        <v/>
      </c>
      <c r="O15" s="245"/>
      <c r="P15" s="244"/>
      <c r="Q15" s="246"/>
      <c r="R15" s="271"/>
      <c r="S15" s="269"/>
      <c r="T15" s="443" t="str">
        <f>IF(S15="","",VLOOKUP(S15,案件コード!$A$1:$B$31,2,FALSE()))</f>
        <v/>
      </c>
      <c r="U15" s="443"/>
      <c r="V15" s="443"/>
      <c r="W15" s="102" t="str">
        <f t="shared" si="2"/>
        <v/>
      </c>
      <c r="X15" s="245"/>
      <c r="Y15" s="244"/>
      <c r="Z15" s="246"/>
      <c r="AA15" s="279"/>
      <c r="AB15" s="269"/>
      <c r="AC15" s="443" t="str">
        <f>IF(AB15="","",VLOOKUP(AB15,案件コード!$A$1:$B$31,2,FALSE()))</f>
        <v/>
      </c>
      <c r="AD15" s="443"/>
      <c r="AE15" s="443"/>
      <c r="AF15" s="102" t="str">
        <f t="shared" si="3"/>
        <v/>
      </c>
      <c r="AG15" s="245"/>
      <c r="AH15" s="244"/>
      <c r="AI15" s="246"/>
      <c r="AJ15" s="279"/>
      <c r="AK15" s="269"/>
      <c r="AL15" s="443" t="str">
        <f>IF(AK15="","",VLOOKUP(AK15,案件コード!$A$1:$B$31,2,FALSE()))</f>
        <v/>
      </c>
      <c r="AM15" s="443"/>
      <c r="AN15" s="443"/>
      <c r="AO15" s="102" t="str">
        <f t="shared" si="4"/>
        <v/>
      </c>
      <c r="AP15" s="245"/>
      <c r="AQ15" s="244"/>
      <c r="AR15" s="246"/>
      <c r="AS15" s="279"/>
      <c r="AT15" s="269"/>
      <c r="AU15" s="443" t="str">
        <f>IF(AT15="","",VLOOKUP(AT15,案件コード!$A$1:$B$31,2,FALSE()))</f>
        <v/>
      </c>
      <c r="AV15" s="443"/>
      <c r="AW15" s="443"/>
      <c r="AX15" s="102" t="str">
        <f t="shared" si="5"/>
        <v/>
      </c>
      <c r="AY15" s="245"/>
      <c r="AZ15" s="244"/>
      <c r="BA15" s="246"/>
      <c r="BB15" s="279"/>
      <c r="BC15" s="269"/>
      <c r="BD15" s="443" t="str">
        <f>IF(BC15="","",VLOOKUP(BC15,案件コード!$A$1:$B$31,2,FALSE()))</f>
        <v/>
      </c>
      <c r="BE15" s="443"/>
      <c r="BF15" s="443"/>
      <c r="BG15" s="102" t="str">
        <f t="shared" si="6"/>
        <v/>
      </c>
      <c r="BH15" s="245"/>
      <c r="BI15" s="244"/>
      <c r="BJ15" s="246"/>
      <c r="BK15" s="279"/>
    </row>
    <row r="16" spans="1:63">
      <c r="A16" s="269"/>
      <c r="B16" s="443" t="str">
        <f>IF(A16="","",VLOOKUP(A16,案件コード!$A$1:$B$31,2,FALSE()))</f>
        <v/>
      </c>
      <c r="C16" s="443"/>
      <c r="D16" s="443"/>
      <c r="E16" s="102" t="str">
        <f t="shared" si="0"/>
        <v/>
      </c>
      <c r="F16" s="245"/>
      <c r="G16" s="244"/>
      <c r="H16" s="246"/>
      <c r="I16" s="271"/>
      <c r="J16" s="269"/>
      <c r="K16" s="443" t="str">
        <f>IF(J16="","",VLOOKUP(J16,案件コード!$A$1:$B$31,2,FALSE()))</f>
        <v/>
      </c>
      <c r="L16" s="443"/>
      <c r="M16" s="443"/>
      <c r="N16" s="102" t="str">
        <f t="shared" si="1"/>
        <v/>
      </c>
      <c r="O16" s="245"/>
      <c r="P16" s="244"/>
      <c r="Q16" s="246"/>
      <c r="R16" s="271"/>
      <c r="S16" s="269"/>
      <c r="T16" s="443" t="str">
        <f>IF(S16="","",VLOOKUP(S16,案件コード!$A$1:$B$31,2,FALSE()))</f>
        <v/>
      </c>
      <c r="U16" s="443"/>
      <c r="V16" s="443"/>
      <c r="W16" s="102" t="str">
        <f t="shared" si="2"/>
        <v/>
      </c>
      <c r="X16" s="245"/>
      <c r="Y16" s="244"/>
      <c r="Z16" s="246"/>
      <c r="AA16" s="279"/>
      <c r="AB16" s="269"/>
      <c r="AC16" s="443" t="str">
        <f>IF(AB16="","",VLOOKUP(AB16,案件コード!$A$1:$B$31,2,FALSE()))</f>
        <v/>
      </c>
      <c r="AD16" s="443"/>
      <c r="AE16" s="443"/>
      <c r="AF16" s="102" t="str">
        <f t="shared" si="3"/>
        <v/>
      </c>
      <c r="AG16" s="245"/>
      <c r="AH16" s="244"/>
      <c r="AI16" s="246"/>
      <c r="AJ16" s="279"/>
      <c r="AK16" s="269"/>
      <c r="AL16" s="443" t="str">
        <f>IF(AK16="","",VLOOKUP(AK16,案件コード!$A$1:$B$31,2,FALSE()))</f>
        <v/>
      </c>
      <c r="AM16" s="443"/>
      <c r="AN16" s="443"/>
      <c r="AO16" s="102" t="str">
        <f t="shared" si="4"/>
        <v/>
      </c>
      <c r="AP16" s="245"/>
      <c r="AQ16" s="244"/>
      <c r="AR16" s="246"/>
      <c r="AS16" s="279"/>
      <c r="AT16" s="269"/>
      <c r="AU16" s="443" t="str">
        <f>IF(AT16="","",VLOOKUP(AT16,案件コード!$A$1:$B$31,2,FALSE()))</f>
        <v/>
      </c>
      <c r="AV16" s="443"/>
      <c r="AW16" s="443"/>
      <c r="AX16" s="102" t="str">
        <f t="shared" si="5"/>
        <v/>
      </c>
      <c r="AY16" s="245"/>
      <c r="AZ16" s="244"/>
      <c r="BA16" s="246"/>
      <c r="BB16" s="279"/>
      <c r="BC16" s="269"/>
      <c r="BD16" s="443" t="str">
        <f>IF(BC16="","",VLOOKUP(BC16,案件コード!$A$1:$B$31,2,FALSE()))</f>
        <v/>
      </c>
      <c r="BE16" s="443"/>
      <c r="BF16" s="443"/>
      <c r="BG16" s="102" t="str">
        <f t="shared" si="6"/>
        <v/>
      </c>
      <c r="BH16" s="245"/>
      <c r="BI16" s="244"/>
      <c r="BJ16" s="246"/>
      <c r="BK16" s="279"/>
    </row>
    <row r="17" spans="1:63">
      <c r="A17" s="269"/>
      <c r="B17" s="443" t="str">
        <f>IF(A17="","",VLOOKUP(A17,案件コード!$A$1:$B$31,2,FALSE()))</f>
        <v/>
      </c>
      <c r="C17" s="443"/>
      <c r="D17" s="443"/>
      <c r="E17" s="102" t="str">
        <f t="shared" si="0"/>
        <v/>
      </c>
      <c r="F17" s="245"/>
      <c r="G17" s="244"/>
      <c r="H17" s="246"/>
      <c r="I17" s="271"/>
      <c r="J17" s="269"/>
      <c r="K17" s="443" t="str">
        <f>IF(J17="","",VLOOKUP(J17,案件コード!$A$1:$B$31,2,FALSE()))</f>
        <v/>
      </c>
      <c r="L17" s="443"/>
      <c r="M17" s="443"/>
      <c r="N17" s="102" t="str">
        <f t="shared" si="1"/>
        <v/>
      </c>
      <c r="O17" s="245"/>
      <c r="P17" s="244"/>
      <c r="Q17" s="246"/>
      <c r="R17" s="271"/>
      <c r="S17" s="269"/>
      <c r="T17" s="443" t="str">
        <f>IF(S17="","",VLOOKUP(S17,案件コード!$A$1:$B$31,2,FALSE()))</f>
        <v/>
      </c>
      <c r="U17" s="443"/>
      <c r="V17" s="443"/>
      <c r="W17" s="102" t="str">
        <f t="shared" si="2"/>
        <v/>
      </c>
      <c r="X17" s="245"/>
      <c r="Y17" s="244"/>
      <c r="Z17" s="246"/>
      <c r="AA17" s="279"/>
      <c r="AB17" s="269"/>
      <c r="AC17" s="443" t="str">
        <f>IF(AB17="","",VLOOKUP(AB17,案件コード!$A$1:$B$31,2,FALSE()))</f>
        <v/>
      </c>
      <c r="AD17" s="443"/>
      <c r="AE17" s="443"/>
      <c r="AF17" s="102" t="str">
        <f t="shared" si="3"/>
        <v/>
      </c>
      <c r="AG17" s="245"/>
      <c r="AH17" s="244"/>
      <c r="AI17" s="246"/>
      <c r="AJ17" s="279"/>
      <c r="AK17" s="269"/>
      <c r="AL17" s="443" t="str">
        <f>IF(AK17="","",VLOOKUP(AK17,案件コード!$A$1:$B$31,2,FALSE()))</f>
        <v/>
      </c>
      <c r="AM17" s="443"/>
      <c r="AN17" s="443"/>
      <c r="AO17" s="102" t="str">
        <f t="shared" si="4"/>
        <v/>
      </c>
      <c r="AP17" s="245"/>
      <c r="AQ17" s="244"/>
      <c r="AR17" s="246"/>
      <c r="AS17" s="279"/>
      <c r="AT17" s="269"/>
      <c r="AU17" s="443" t="str">
        <f>IF(AT17="","",VLOOKUP(AT17,案件コード!$A$1:$B$31,2,FALSE()))</f>
        <v/>
      </c>
      <c r="AV17" s="443"/>
      <c r="AW17" s="443"/>
      <c r="AX17" s="102" t="str">
        <f t="shared" si="5"/>
        <v/>
      </c>
      <c r="AY17" s="245"/>
      <c r="AZ17" s="244"/>
      <c r="BA17" s="246"/>
      <c r="BB17" s="279"/>
      <c r="BC17" s="269"/>
      <c r="BD17" s="443" t="str">
        <f>IF(BC17="","",VLOOKUP(BC17,案件コード!$A$1:$B$31,2,FALSE()))</f>
        <v/>
      </c>
      <c r="BE17" s="443"/>
      <c r="BF17" s="443"/>
      <c r="BG17" s="102" t="str">
        <f t="shared" si="6"/>
        <v/>
      </c>
      <c r="BH17" s="245"/>
      <c r="BI17" s="244"/>
      <c r="BJ17" s="246"/>
      <c r="BK17" s="279"/>
    </row>
    <row r="18" spans="1:63">
      <c r="A18" s="269"/>
      <c r="B18" s="443" t="str">
        <f>IF(A18="","",VLOOKUP(A18,案件コード!$A$1:$B$31,2,FALSE()))</f>
        <v/>
      </c>
      <c r="C18" s="443"/>
      <c r="D18" s="443"/>
      <c r="E18" s="102" t="str">
        <f t="shared" si="0"/>
        <v/>
      </c>
      <c r="F18" s="245"/>
      <c r="G18" s="244"/>
      <c r="H18" s="246"/>
      <c r="I18" s="271"/>
      <c r="J18" s="269"/>
      <c r="K18" s="443" t="str">
        <f>IF(J18="","",VLOOKUP(J18,案件コード!$A$1:$B$31,2,FALSE()))</f>
        <v/>
      </c>
      <c r="L18" s="443"/>
      <c r="M18" s="443"/>
      <c r="N18" s="102" t="str">
        <f t="shared" si="1"/>
        <v/>
      </c>
      <c r="O18" s="245"/>
      <c r="P18" s="244"/>
      <c r="Q18" s="246"/>
      <c r="R18" s="271"/>
      <c r="S18" s="269"/>
      <c r="T18" s="443" t="str">
        <f>IF(S18="","",VLOOKUP(S18,案件コード!$A$1:$B$31,2,FALSE()))</f>
        <v/>
      </c>
      <c r="U18" s="443"/>
      <c r="V18" s="443"/>
      <c r="W18" s="102" t="str">
        <f t="shared" si="2"/>
        <v/>
      </c>
      <c r="X18" s="245"/>
      <c r="Y18" s="244"/>
      <c r="Z18" s="246"/>
      <c r="AA18" s="279"/>
      <c r="AB18" s="269"/>
      <c r="AC18" s="443" t="str">
        <f>IF(AB18="","",VLOOKUP(AB18,案件コード!$A$1:$B$31,2,FALSE()))</f>
        <v/>
      </c>
      <c r="AD18" s="443"/>
      <c r="AE18" s="443"/>
      <c r="AF18" s="102" t="str">
        <f t="shared" si="3"/>
        <v/>
      </c>
      <c r="AG18" s="245"/>
      <c r="AH18" s="244"/>
      <c r="AI18" s="246"/>
      <c r="AJ18" s="279"/>
      <c r="AK18" s="269"/>
      <c r="AL18" s="443" t="str">
        <f>IF(AK18="","",VLOOKUP(AK18,案件コード!$A$1:$B$31,2,FALSE()))</f>
        <v/>
      </c>
      <c r="AM18" s="443"/>
      <c r="AN18" s="443"/>
      <c r="AO18" s="102" t="str">
        <f t="shared" si="4"/>
        <v/>
      </c>
      <c r="AP18" s="245"/>
      <c r="AQ18" s="244"/>
      <c r="AR18" s="246"/>
      <c r="AS18" s="279"/>
      <c r="AT18" s="269"/>
      <c r="AU18" s="443" t="str">
        <f>IF(AT18="","",VLOOKUP(AT18,案件コード!$A$1:$B$31,2,FALSE()))</f>
        <v/>
      </c>
      <c r="AV18" s="443"/>
      <c r="AW18" s="443"/>
      <c r="AX18" s="102" t="str">
        <f t="shared" si="5"/>
        <v/>
      </c>
      <c r="AY18" s="245"/>
      <c r="AZ18" s="244"/>
      <c r="BA18" s="246"/>
      <c r="BB18" s="279"/>
      <c r="BC18" s="269"/>
      <c r="BD18" s="443" t="str">
        <f>IF(BC18="","",VLOOKUP(BC18,案件コード!$A$1:$B$31,2,FALSE()))</f>
        <v/>
      </c>
      <c r="BE18" s="443"/>
      <c r="BF18" s="443"/>
      <c r="BG18" s="102" t="str">
        <f t="shared" si="6"/>
        <v/>
      </c>
      <c r="BH18" s="245"/>
      <c r="BI18" s="244"/>
      <c r="BJ18" s="246"/>
      <c r="BK18" s="279"/>
    </row>
    <row r="19" spans="1:63">
      <c r="A19" s="269"/>
      <c r="B19" s="443" t="str">
        <f>IF(A19="","",VLOOKUP(A19,案件コード!$A$1:$B$31,2,FALSE()))</f>
        <v/>
      </c>
      <c r="C19" s="443"/>
      <c r="D19" s="443"/>
      <c r="E19" s="102" t="str">
        <f t="shared" si="0"/>
        <v/>
      </c>
      <c r="F19" s="245"/>
      <c r="G19" s="244"/>
      <c r="H19" s="246"/>
      <c r="I19" s="271"/>
      <c r="J19" s="269"/>
      <c r="K19" s="443" t="str">
        <f>IF(J19="","",VLOOKUP(J19,案件コード!$A$1:$B$31,2,FALSE()))</f>
        <v/>
      </c>
      <c r="L19" s="443"/>
      <c r="M19" s="443"/>
      <c r="N19" s="102" t="str">
        <f t="shared" si="1"/>
        <v/>
      </c>
      <c r="O19" s="245"/>
      <c r="P19" s="244"/>
      <c r="Q19" s="246"/>
      <c r="R19" s="271"/>
      <c r="S19" s="269"/>
      <c r="T19" s="443" t="str">
        <f>IF(S19="","",VLOOKUP(S19,案件コード!$A$1:$B$31,2,FALSE()))</f>
        <v/>
      </c>
      <c r="U19" s="443"/>
      <c r="V19" s="443"/>
      <c r="W19" s="102" t="str">
        <f t="shared" si="2"/>
        <v/>
      </c>
      <c r="X19" s="245"/>
      <c r="Y19" s="244"/>
      <c r="Z19" s="246"/>
      <c r="AA19" s="279"/>
      <c r="AB19" s="269"/>
      <c r="AC19" s="443" t="str">
        <f>IF(AB19="","",VLOOKUP(AB19,案件コード!$A$1:$B$31,2,FALSE()))</f>
        <v/>
      </c>
      <c r="AD19" s="443"/>
      <c r="AE19" s="443"/>
      <c r="AF19" s="102" t="str">
        <f t="shared" si="3"/>
        <v/>
      </c>
      <c r="AG19" s="245"/>
      <c r="AH19" s="244"/>
      <c r="AI19" s="246"/>
      <c r="AJ19" s="279"/>
      <c r="AK19" s="269"/>
      <c r="AL19" s="443" t="str">
        <f>IF(AK19="","",VLOOKUP(AK19,案件コード!$A$1:$B$31,2,FALSE()))</f>
        <v/>
      </c>
      <c r="AM19" s="443"/>
      <c r="AN19" s="443"/>
      <c r="AO19" s="102" t="str">
        <f t="shared" si="4"/>
        <v/>
      </c>
      <c r="AP19" s="245"/>
      <c r="AQ19" s="244"/>
      <c r="AR19" s="246"/>
      <c r="AS19" s="279"/>
      <c r="AT19" s="269"/>
      <c r="AU19" s="443" t="str">
        <f>IF(AT19="","",VLOOKUP(AT19,案件コード!$A$1:$B$31,2,FALSE()))</f>
        <v/>
      </c>
      <c r="AV19" s="443"/>
      <c r="AW19" s="443"/>
      <c r="AX19" s="102" t="str">
        <f t="shared" si="5"/>
        <v/>
      </c>
      <c r="AY19" s="245"/>
      <c r="AZ19" s="244"/>
      <c r="BA19" s="246"/>
      <c r="BB19" s="279"/>
      <c r="BC19" s="269"/>
      <c r="BD19" s="443" t="str">
        <f>IF(BC19="","",VLOOKUP(BC19,案件コード!$A$1:$B$31,2,FALSE()))</f>
        <v/>
      </c>
      <c r="BE19" s="443"/>
      <c r="BF19" s="443"/>
      <c r="BG19" s="102" t="str">
        <f t="shared" si="6"/>
        <v/>
      </c>
      <c r="BH19" s="245"/>
      <c r="BI19" s="244"/>
      <c r="BJ19" s="246"/>
      <c r="BK19" s="279"/>
    </row>
    <row r="20" spans="1:63">
      <c r="A20" s="269"/>
      <c r="B20" s="443" t="str">
        <f>IF(A20="","",VLOOKUP(A20,案件コード!$A$1:$B$31,2,FALSE()))</f>
        <v/>
      </c>
      <c r="C20" s="443"/>
      <c r="D20" s="443"/>
      <c r="E20" s="102" t="str">
        <f t="shared" si="0"/>
        <v/>
      </c>
      <c r="F20" s="245"/>
      <c r="G20" s="244"/>
      <c r="H20" s="246"/>
      <c r="I20" s="271"/>
      <c r="J20" s="269"/>
      <c r="K20" s="443" t="str">
        <f>IF(J20="","",VLOOKUP(J20,案件コード!$A$1:$B$31,2,FALSE()))</f>
        <v/>
      </c>
      <c r="L20" s="443"/>
      <c r="M20" s="443"/>
      <c r="N20" s="102" t="str">
        <f t="shared" si="1"/>
        <v/>
      </c>
      <c r="O20" s="245"/>
      <c r="P20" s="244"/>
      <c r="Q20" s="246"/>
      <c r="R20" s="271"/>
      <c r="S20" s="269"/>
      <c r="T20" s="443" t="str">
        <f>IF(S20="","",VLOOKUP(S20,案件コード!$A$1:$B$31,2,FALSE()))</f>
        <v/>
      </c>
      <c r="U20" s="443"/>
      <c r="V20" s="443"/>
      <c r="W20" s="102" t="str">
        <f t="shared" si="2"/>
        <v/>
      </c>
      <c r="X20" s="245"/>
      <c r="Y20" s="244"/>
      <c r="Z20" s="246"/>
      <c r="AA20" s="279"/>
      <c r="AB20" s="269"/>
      <c r="AC20" s="443" t="str">
        <f>IF(AB20="","",VLOOKUP(AB20,案件コード!$A$1:$B$31,2,FALSE()))</f>
        <v/>
      </c>
      <c r="AD20" s="443"/>
      <c r="AE20" s="443"/>
      <c r="AF20" s="102" t="str">
        <f t="shared" si="3"/>
        <v/>
      </c>
      <c r="AG20" s="245"/>
      <c r="AH20" s="244"/>
      <c r="AI20" s="246"/>
      <c r="AJ20" s="279"/>
      <c r="AK20" s="269"/>
      <c r="AL20" s="443" t="str">
        <f>IF(AK20="","",VLOOKUP(AK20,案件コード!$A$1:$B$31,2,FALSE()))</f>
        <v/>
      </c>
      <c r="AM20" s="443"/>
      <c r="AN20" s="443"/>
      <c r="AO20" s="102" t="str">
        <f t="shared" si="4"/>
        <v/>
      </c>
      <c r="AP20" s="245"/>
      <c r="AQ20" s="244"/>
      <c r="AR20" s="246"/>
      <c r="AS20" s="279"/>
      <c r="AT20" s="269"/>
      <c r="AU20" s="443" t="str">
        <f>IF(AT20="","",VLOOKUP(AT20,案件コード!$A$1:$B$31,2,FALSE()))</f>
        <v/>
      </c>
      <c r="AV20" s="443"/>
      <c r="AW20" s="443"/>
      <c r="AX20" s="102" t="str">
        <f t="shared" si="5"/>
        <v/>
      </c>
      <c r="AY20" s="245"/>
      <c r="AZ20" s="244"/>
      <c r="BA20" s="246"/>
      <c r="BB20" s="279"/>
      <c r="BC20" s="269"/>
      <c r="BD20" s="443" t="str">
        <f>IF(BC20="","",VLOOKUP(BC20,案件コード!$A$1:$B$31,2,FALSE()))</f>
        <v/>
      </c>
      <c r="BE20" s="443"/>
      <c r="BF20" s="443"/>
      <c r="BG20" s="102" t="str">
        <f t="shared" si="6"/>
        <v/>
      </c>
      <c r="BH20" s="245"/>
      <c r="BI20" s="244"/>
      <c r="BJ20" s="246"/>
      <c r="BK20" s="279"/>
    </row>
    <row r="21" spans="1:63">
      <c r="A21" s="269"/>
      <c r="B21" s="443" t="str">
        <f>IF(A21="","",VLOOKUP(A21,案件コード!$A$1:$B$31,2,FALSE()))</f>
        <v/>
      </c>
      <c r="C21" s="443"/>
      <c r="D21" s="443"/>
      <c r="E21" s="102" t="str">
        <f t="shared" si="0"/>
        <v/>
      </c>
      <c r="F21" s="245"/>
      <c r="G21" s="244"/>
      <c r="H21" s="246"/>
      <c r="I21" s="271"/>
      <c r="J21" s="269"/>
      <c r="K21" s="443" t="str">
        <f>IF(J21="","",VLOOKUP(J21,案件コード!$A$1:$B$31,2,FALSE()))</f>
        <v/>
      </c>
      <c r="L21" s="443"/>
      <c r="M21" s="443"/>
      <c r="N21" s="102" t="str">
        <f t="shared" si="1"/>
        <v/>
      </c>
      <c r="O21" s="245"/>
      <c r="P21" s="244"/>
      <c r="Q21" s="246"/>
      <c r="R21" s="271"/>
      <c r="S21" s="269"/>
      <c r="T21" s="443" t="str">
        <f>IF(S21="","",VLOOKUP(S21,案件コード!$A$1:$B$31,2,FALSE()))</f>
        <v/>
      </c>
      <c r="U21" s="443"/>
      <c r="V21" s="443"/>
      <c r="W21" s="102" t="str">
        <f t="shared" si="2"/>
        <v/>
      </c>
      <c r="X21" s="245"/>
      <c r="Y21" s="244"/>
      <c r="Z21" s="246"/>
      <c r="AA21" s="279"/>
      <c r="AB21" s="269"/>
      <c r="AC21" s="443" t="str">
        <f>IF(AB21="","",VLOOKUP(AB21,案件コード!$A$1:$B$31,2,FALSE()))</f>
        <v/>
      </c>
      <c r="AD21" s="443"/>
      <c r="AE21" s="443"/>
      <c r="AF21" s="102" t="str">
        <f t="shared" si="3"/>
        <v/>
      </c>
      <c r="AG21" s="245"/>
      <c r="AH21" s="244"/>
      <c r="AI21" s="246"/>
      <c r="AJ21" s="279"/>
      <c r="AK21" s="269"/>
      <c r="AL21" s="443" t="str">
        <f>IF(AK21="","",VLOOKUP(AK21,案件コード!$A$1:$B$31,2,FALSE()))</f>
        <v/>
      </c>
      <c r="AM21" s="443"/>
      <c r="AN21" s="443"/>
      <c r="AO21" s="102" t="str">
        <f t="shared" si="4"/>
        <v/>
      </c>
      <c r="AP21" s="245"/>
      <c r="AQ21" s="244"/>
      <c r="AR21" s="246"/>
      <c r="AS21" s="279"/>
      <c r="AT21" s="269"/>
      <c r="AU21" s="443" t="str">
        <f>IF(AT21="","",VLOOKUP(AT21,案件コード!$A$1:$B$31,2,FALSE()))</f>
        <v/>
      </c>
      <c r="AV21" s="443"/>
      <c r="AW21" s="443"/>
      <c r="AX21" s="102" t="str">
        <f t="shared" si="5"/>
        <v/>
      </c>
      <c r="AY21" s="245"/>
      <c r="AZ21" s="244"/>
      <c r="BA21" s="246"/>
      <c r="BB21" s="279"/>
      <c r="BC21" s="269"/>
      <c r="BD21" s="443" t="str">
        <f>IF(BC21="","",VLOOKUP(BC21,案件コード!$A$1:$B$31,2,FALSE()))</f>
        <v/>
      </c>
      <c r="BE21" s="443"/>
      <c r="BF21" s="443"/>
      <c r="BG21" s="102" t="str">
        <f t="shared" si="6"/>
        <v/>
      </c>
      <c r="BH21" s="245"/>
      <c r="BI21" s="244"/>
      <c r="BJ21" s="246"/>
      <c r="BK21" s="279"/>
    </row>
    <row r="22" spans="1:63">
      <c r="A22" s="269"/>
      <c r="B22" s="443" t="str">
        <f>IF(A22="","",VLOOKUP(A22,案件コード!$A$1:$B$31,2,FALSE()))</f>
        <v/>
      </c>
      <c r="C22" s="443"/>
      <c r="D22" s="443"/>
      <c r="E22" s="102" t="str">
        <f t="shared" si="0"/>
        <v/>
      </c>
      <c r="F22" s="245"/>
      <c r="G22" s="244"/>
      <c r="H22" s="246"/>
      <c r="I22" s="271"/>
      <c r="J22" s="269"/>
      <c r="K22" s="443" t="str">
        <f>IF(J22="","",VLOOKUP(J22,案件コード!$A$1:$B$31,2,FALSE()))</f>
        <v/>
      </c>
      <c r="L22" s="443"/>
      <c r="M22" s="443"/>
      <c r="N22" s="102" t="str">
        <f t="shared" si="1"/>
        <v/>
      </c>
      <c r="O22" s="245"/>
      <c r="P22" s="244"/>
      <c r="Q22" s="246"/>
      <c r="R22" s="271"/>
      <c r="S22" s="269"/>
      <c r="T22" s="443" t="str">
        <f>IF(S22="","",VLOOKUP(S22,案件コード!$A$1:$B$31,2,FALSE()))</f>
        <v/>
      </c>
      <c r="U22" s="443"/>
      <c r="V22" s="443"/>
      <c r="W22" s="102" t="str">
        <f t="shared" si="2"/>
        <v/>
      </c>
      <c r="X22" s="245"/>
      <c r="Y22" s="244"/>
      <c r="Z22" s="246"/>
      <c r="AA22" s="279"/>
      <c r="AB22" s="269"/>
      <c r="AC22" s="443" t="str">
        <f>IF(AB22="","",VLOOKUP(AB22,案件コード!$A$1:$B$31,2,FALSE()))</f>
        <v/>
      </c>
      <c r="AD22" s="443"/>
      <c r="AE22" s="443"/>
      <c r="AF22" s="102" t="str">
        <f t="shared" si="3"/>
        <v/>
      </c>
      <c r="AG22" s="245"/>
      <c r="AH22" s="244"/>
      <c r="AI22" s="246"/>
      <c r="AJ22" s="279"/>
      <c r="AK22" s="269"/>
      <c r="AL22" s="443" t="str">
        <f>IF(AK22="","",VLOOKUP(AK22,案件コード!$A$1:$B$31,2,FALSE()))</f>
        <v/>
      </c>
      <c r="AM22" s="443"/>
      <c r="AN22" s="443"/>
      <c r="AO22" s="102" t="str">
        <f t="shared" si="4"/>
        <v/>
      </c>
      <c r="AP22" s="245"/>
      <c r="AQ22" s="244"/>
      <c r="AR22" s="246"/>
      <c r="AS22" s="279"/>
      <c r="AT22" s="269"/>
      <c r="AU22" s="443" t="str">
        <f>IF(AT22="","",VLOOKUP(AT22,案件コード!$A$1:$B$31,2,FALSE()))</f>
        <v/>
      </c>
      <c r="AV22" s="443"/>
      <c r="AW22" s="443"/>
      <c r="AX22" s="102" t="str">
        <f t="shared" si="5"/>
        <v/>
      </c>
      <c r="AY22" s="245"/>
      <c r="AZ22" s="244"/>
      <c r="BA22" s="246"/>
      <c r="BB22" s="279"/>
      <c r="BC22" s="269"/>
      <c r="BD22" s="443" t="str">
        <f>IF(BC22="","",VLOOKUP(BC22,案件コード!$A$1:$B$31,2,FALSE()))</f>
        <v/>
      </c>
      <c r="BE22" s="443"/>
      <c r="BF22" s="443"/>
      <c r="BG22" s="102" t="str">
        <f t="shared" si="6"/>
        <v/>
      </c>
      <c r="BH22" s="245"/>
      <c r="BI22" s="244"/>
      <c r="BJ22" s="246"/>
      <c r="BK22" s="279"/>
    </row>
    <row r="23" spans="1:63" ht="18.600000000000001" thickBot="1">
      <c r="A23" s="272"/>
      <c r="B23" s="444" t="str">
        <f>IF(A23="","",VLOOKUP(A23,案件コード!$A$1:$B$31,2,FALSE()))</f>
        <v/>
      </c>
      <c r="C23" s="444"/>
      <c r="D23" s="444"/>
      <c r="E23" s="273" t="str">
        <f t="shared" si="0"/>
        <v/>
      </c>
      <c r="F23" s="274"/>
      <c r="G23" s="275"/>
      <c r="H23" s="276"/>
      <c r="I23" s="277"/>
      <c r="J23" s="272"/>
      <c r="K23" s="444" t="str">
        <f>IF(J23="","",VLOOKUP(J23,案件コード!$A$1:$B$31,2,FALSE()))</f>
        <v/>
      </c>
      <c r="L23" s="444"/>
      <c r="M23" s="444"/>
      <c r="N23" s="273" t="str">
        <f t="shared" si="1"/>
        <v/>
      </c>
      <c r="O23" s="274"/>
      <c r="P23" s="275"/>
      <c r="Q23" s="276"/>
      <c r="R23" s="277"/>
      <c r="S23" s="272"/>
      <c r="T23" s="444" t="str">
        <f>IF(S23="","",VLOOKUP(S23,案件コード!$A$1:$B$31,2,FALSE()))</f>
        <v/>
      </c>
      <c r="U23" s="444"/>
      <c r="V23" s="444"/>
      <c r="W23" s="273" t="str">
        <f t="shared" si="2"/>
        <v/>
      </c>
      <c r="X23" s="274"/>
      <c r="Y23" s="275"/>
      <c r="Z23" s="276"/>
      <c r="AA23" s="280"/>
      <c r="AB23" s="272"/>
      <c r="AC23" s="444" t="str">
        <f>IF(AB23="","",VLOOKUP(AB23,案件コード!$A$1:$B$31,2,FALSE()))</f>
        <v/>
      </c>
      <c r="AD23" s="444"/>
      <c r="AE23" s="444"/>
      <c r="AF23" s="273" t="str">
        <f t="shared" si="3"/>
        <v/>
      </c>
      <c r="AG23" s="274"/>
      <c r="AH23" s="275"/>
      <c r="AI23" s="276"/>
      <c r="AJ23" s="280"/>
      <c r="AK23" s="272"/>
      <c r="AL23" s="444" t="str">
        <f>IF(AK23="","",VLOOKUP(AK23,案件コード!$A$1:$B$31,2,FALSE()))</f>
        <v/>
      </c>
      <c r="AM23" s="444"/>
      <c r="AN23" s="444"/>
      <c r="AO23" s="273" t="str">
        <f t="shared" si="4"/>
        <v/>
      </c>
      <c r="AP23" s="274"/>
      <c r="AQ23" s="275"/>
      <c r="AR23" s="276"/>
      <c r="AS23" s="280"/>
      <c r="AT23" s="272"/>
      <c r="AU23" s="444" t="str">
        <f>IF(AT23="","",VLOOKUP(AT23,案件コード!$A$1:$B$31,2,FALSE()))</f>
        <v/>
      </c>
      <c r="AV23" s="444"/>
      <c r="AW23" s="444"/>
      <c r="AX23" s="273" t="str">
        <f t="shared" si="5"/>
        <v/>
      </c>
      <c r="AY23" s="274"/>
      <c r="AZ23" s="275"/>
      <c r="BA23" s="276"/>
      <c r="BB23" s="280"/>
      <c r="BC23" s="272"/>
      <c r="BD23" s="444" t="str">
        <f>IF(BC23="","",VLOOKUP(BC23,案件コード!$A$1:$B$31,2,FALSE()))</f>
        <v/>
      </c>
      <c r="BE23" s="444"/>
      <c r="BF23" s="444"/>
      <c r="BG23" s="273" t="str">
        <f t="shared" si="6"/>
        <v/>
      </c>
      <c r="BH23" s="274"/>
      <c r="BI23" s="275"/>
      <c r="BJ23" s="276"/>
      <c r="BK23" s="280"/>
    </row>
    <row r="24" spans="1:63" ht="18.600000000000001" thickBot="1">
      <c r="A24" s="334">
        <f>A6</f>
        <v>45658</v>
      </c>
      <c r="B24" s="333" t="s">
        <v>291</v>
      </c>
      <c r="C24" s="456"/>
      <c r="D24" s="457"/>
      <c r="E24" s="457"/>
      <c r="F24" s="457"/>
      <c r="G24" s="458"/>
      <c r="H24" s="412">
        <f>SUM(H9:H23)</f>
        <v>0</v>
      </c>
      <c r="I24" s="91" t="s">
        <v>371</v>
      </c>
      <c r="J24" s="334">
        <f>J6</f>
        <v>45659</v>
      </c>
      <c r="K24" s="333" t="s">
        <v>291</v>
      </c>
      <c r="L24" s="456"/>
      <c r="M24" s="457"/>
      <c r="N24" s="457"/>
      <c r="O24" s="457"/>
      <c r="P24" s="458"/>
      <c r="Q24" s="412">
        <f>SUM(Q9:Q23)</f>
        <v>0</v>
      </c>
      <c r="R24" s="91" t="s">
        <v>371</v>
      </c>
      <c r="S24" s="334">
        <f>S6</f>
        <v>45660</v>
      </c>
      <c r="T24" s="333" t="s">
        <v>291</v>
      </c>
      <c r="U24" s="456"/>
      <c r="V24" s="457"/>
      <c r="W24" s="457"/>
      <c r="X24" s="457"/>
      <c r="Y24" s="458"/>
      <c r="Z24" s="412">
        <f>SUM(Z9:Z23)</f>
        <v>0</v>
      </c>
      <c r="AA24" s="91" t="s">
        <v>371</v>
      </c>
      <c r="AB24" s="334">
        <f>AB6</f>
        <v>45661</v>
      </c>
      <c r="AC24" s="333" t="s">
        <v>291</v>
      </c>
      <c r="AD24" s="456"/>
      <c r="AE24" s="457"/>
      <c r="AF24" s="457"/>
      <c r="AG24" s="457"/>
      <c r="AH24" s="458"/>
      <c r="AI24" s="412">
        <f>SUM(AI9:AI23)</f>
        <v>0</v>
      </c>
      <c r="AJ24" s="91" t="s">
        <v>371</v>
      </c>
      <c r="AK24" s="334">
        <f>AK6</f>
        <v>45662</v>
      </c>
      <c r="AL24" s="333" t="s">
        <v>291</v>
      </c>
      <c r="AM24" s="456"/>
      <c r="AN24" s="457"/>
      <c r="AO24" s="457"/>
      <c r="AP24" s="457"/>
      <c r="AQ24" s="458"/>
      <c r="AR24" s="412">
        <f>SUM(AR9:AR23)</f>
        <v>0</v>
      </c>
      <c r="AS24" s="91" t="s">
        <v>371</v>
      </c>
      <c r="AT24" s="334">
        <f>AT6</f>
        <v>45663</v>
      </c>
      <c r="AU24" s="333" t="s">
        <v>291</v>
      </c>
      <c r="AV24" s="456"/>
      <c r="AW24" s="457"/>
      <c r="AX24" s="457"/>
      <c r="AY24" s="457"/>
      <c r="AZ24" s="458"/>
      <c r="BA24" s="412">
        <f>SUM(BA9:BA23)</f>
        <v>0</v>
      </c>
      <c r="BB24" s="91" t="s">
        <v>371</v>
      </c>
      <c r="BC24" s="334">
        <f>BC6</f>
        <v>45664</v>
      </c>
      <c r="BD24" s="333" t="s">
        <v>291</v>
      </c>
      <c r="BE24" s="456"/>
      <c r="BF24" s="457"/>
      <c r="BG24" s="457"/>
      <c r="BH24" s="457"/>
      <c r="BI24" s="458"/>
      <c r="BJ24" s="412">
        <f>SUM(BJ9:BJ23)</f>
        <v>0</v>
      </c>
      <c r="BK24" s="91" t="s">
        <v>371</v>
      </c>
    </row>
    <row r="25" spans="1:63">
      <c r="A25" s="448" t="s">
        <v>14</v>
      </c>
      <c r="B25" s="449"/>
      <c r="C25" s="450" t="s">
        <v>15</v>
      </c>
      <c r="D25" s="450"/>
      <c r="E25" s="450" t="s">
        <v>16</v>
      </c>
      <c r="F25" s="451"/>
      <c r="G25" s="37"/>
      <c r="H25" s="37"/>
      <c r="I25" s="37"/>
      <c r="J25" s="448" t="s">
        <v>14</v>
      </c>
      <c r="K25" s="449"/>
      <c r="L25" s="450" t="s">
        <v>15</v>
      </c>
      <c r="M25" s="450"/>
      <c r="N25" s="450" t="s">
        <v>16</v>
      </c>
      <c r="O25" s="451"/>
      <c r="P25" s="37"/>
      <c r="Q25" s="37"/>
      <c r="R25" s="37"/>
      <c r="S25" s="448" t="s">
        <v>14</v>
      </c>
      <c r="T25" s="449"/>
      <c r="U25" s="450" t="s">
        <v>15</v>
      </c>
      <c r="V25" s="450"/>
      <c r="W25" s="450" t="s">
        <v>16</v>
      </c>
      <c r="X25" s="451"/>
      <c r="Y25" s="37"/>
      <c r="Z25" s="37"/>
      <c r="AA25" s="37"/>
      <c r="AB25" s="448" t="s">
        <v>14</v>
      </c>
      <c r="AC25" s="449"/>
      <c r="AD25" s="450" t="s">
        <v>15</v>
      </c>
      <c r="AE25" s="450"/>
      <c r="AF25" s="450" t="s">
        <v>16</v>
      </c>
      <c r="AG25" s="451"/>
      <c r="AH25" s="37"/>
      <c r="AI25" s="37"/>
      <c r="AJ25" s="37"/>
      <c r="AK25" s="448" t="s">
        <v>14</v>
      </c>
      <c r="AL25" s="449"/>
      <c r="AM25" s="450" t="s">
        <v>15</v>
      </c>
      <c r="AN25" s="450"/>
      <c r="AO25" s="450" t="s">
        <v>16</v>
      </c>
      <c r="AP25" s="451"/>
      <c r="AQ25" s="37"/>
      <c r="AR25" s="37"/>
      <c r="AS25" s="37"/>
      <c r="AT25" s="448" t="s">
        <v>14</v>
      </c>
      <c r="AU25" s="449"/>
      <c r="AV25" s="450" t="s">
        <v>15</v>
      </c>
      <c r="AW25" s="450"/>
      <c r="AX25" s="450" t="s">
        <v>16</v>
      </c>
      <c r="AY25" s="451"/>
      <c r="AZ25" s="37"/>
      <c r="BA25" s="37"/>
      <c r="BB25" s="37"/>
      <c r="BC25" s="448" t="s">
        <v>14</v>
      </c>
      <c r="BD25" s="449"/>
      <c r="BE25" s="450" t="s">
        <v>15</v>
      </c>
      <c r="BF25" s="450"/>
      <c r="BG25" s="450" t="s">
        <v>16</v>
      </c>
      <c r="BH25" s="451"/>
      <c r="BI25" s="37"/>
      <c r="BJ25" s="37"/>
      <c r="BK25" s="37"/>
    </row>
    <row r="26" spans="1:63" ht="18.600000000000001" thickBot="1">
      <c r="A26" s="445">
        <f>BC6+1</f>
        <v>45665</v>
      </c>
      <c r="B26" s="446"/>
      <c r="C26" s="249"/>
      <c r="D26" s="249"/>
      <c r="E26" s="250" t="str">
        <f>IF(C26="","",D26-C26-H26)</f>
        <v/>
      </c>
      <c r="F26" s="251" t="str">
        <f>IF(AND(E26=""),"",SUM(E29:E43))</f>
        <v/>
      </c>
      <c r="G26" s="103" t="s">
        <v>17</v>
      </c>
      <c r="H26" s="247">
        <v>4.1666666666666699E-2</v>
      </c>
      <c r="I26" s="37"/>
      <c r="J26" s="445">
        <f>A26+1</f>
        <v>45666</v>
      </c>
      <c r="K26" s="446"/>
      <c r="L26" s="249"/>
      <c r="M26" s="249"/>
      <c r="N26" s="250" t="str">
        <f>IF(L26="","",M26-L26-Q26)</f>
        <v/>
      </c>
      <c r="O26" s="251" t="str">
        <f>IF(AND(N26=""),"",SUM(N29:N43))</f>
        <v/>
      </c>
      <c r="P26" s="103" t="s">
        <v>17</v>
      </c>
      <c r="Q26" s="247">
        <v>4.1666666666666699E-2</v>
      </c>
      <c r="R26" s="37"/>
      <c r="S26" s="445">
        <f>J26+1</f>
        <v>45667</v>
      </c>
      <c r="T26" s="446"/>
      <c r="U26" s="249"/>
      <c r="V26" s="249"/>
      <c r="W26" s="250" t="str">
        <f>IF(U26="","",V26-U26-Z26)</f>
        <v/>
      </c>
      <c r="X26" s="251" t="str">
        <f>IF(AND(W26=""),"",SUM(W29:W43))</f>
        <v/>
      </c>
      <c r="Y26" s="103" t="s">
        <v>17</v>
      </c>
      <c r="Z26" s="247">
        <v>4.1666666666666699E-2</v>
      </c>
      <c r="AA26" s="37"/>
      <c r="AB26" s="445">
        <f>S26+1</f>
        <v>45668</v>
      </c>
      <c r="AC26" s="446"/>
      <c r="AD26" s="249"/>
      <c r="AE26" s="249"/>
      <c r="AF26" s="250" t="str">
        <f>IF(AD26="","",AE26-AD26-AI26)</f>
        <v/>
      </c>
      <c r="AG26" s="251" t="str">
        <f>IF(AND(AF26=""),"",SUM(AF29:AF43))</f>
        <v/>
      </c>
      <c r="AH26" s="103" t="s">
        <v>17</v>
      </c>
      <c r="AI26" s="247">
        <v>4.1666666666666699E-2</v>
      </c>
      <c r="AJ26" s="37"/>
      <c r="AK26" s="445">
        <f>AB26+1</f>
        <v>45669</v>
      </c>
      <c r="AL26" s="446"/>
      <c r="AM26" s="249"/>
      <c r="AN26" s="249"/>
      <c r="AO26" s="250" t="str">
        <f>IF(AM26="","",AN26-AM26-AR26)</f>
        <v/>
      </c>
      <c r="AP26" s="251" t="str">
        <f>IF(AND(AO26=""),"",SUM(AO29:AO43))</f>
        <v/>
      </c>
      <c r="AQ26" s="103" t="s">
        <v>17</v>
      </c>
      <c r="AR26" s="247">
        <v>4.1666666666666699E-2</v>
      </c>
      <c r="AS26" s="37"/>
      <c r="AT26" s="445">
        <f>AK26+1</f>
        <v>45670</v>
      </c>
      <c r="AU26" s="446"/>
      <c r="AV26" s="249"/>
      <c r="AW26" s="249"/>
      <c r="AX26" s="250" t="str">
        <f>IF(AV26="","",AW26-AV26-BA26)</f>
        <v/>
      </c>
      <c r="AY26" s="251" t="str">
        <f>IF(AND(AX26=""),"",SUM(AX29:AX43))</f>
        <v/>
      </c>
      <c r="AZ26" s="103" t="s">
        <v>17</v>
      </c>
      <c r="BA26" s="247">
        <v>4.1666666666666699E-2</v>
      </c>
      <c r="BB26" s="37"/>
      <c r="BC26" s="445">
        <f>AT26+1</f>
        <v>45671</v>
      </c>
      <c r="BD26" s="446"/>
      <c r="BE26" s="249"/>
      <c r="BF26" s="249"/>
      <c r="BG26" s="250" t="str">
        <f>IF(BE26="","",BF26-BE26-BJ26)</f>
        <v/>
      </c>
      <c r="BH26" s="251" t="str">
        <f>IF(AND(BG26=""),"",SUM(BG29:BG43))</f>
        <v/>
      </c>
      <c r="BI26" s="103" t="s">
        <v>17</v>
      </c>
      <c r="BJ26" s="247">
        <v>4.1666666666666699E-2</v>
      </c>
      <c r="BK26" s="37"/>
    </row>
    <row r="27" spans="1:63" ht="18.600000000000001" thickBot="1">
      <c r="A27" s="37" t="s">
        <v>36</v>
      </c>
      <c r="B27" s="104"/>
      <c r="C27" s="104"/>
      <c r="D27" s="104"/>
      <c r="E27" s="105"/>
      <c r="F27" s="106"/>
      <c r="G27" s="106"/>
      <c r="H27" s="413">
        <f>IF(COUNT(H29:H43)=0,0,COUNT(H29:H43))</f>
        <v>0</v>
      </c>
      <c r="I27" s="411" t="s">
        <v>366</v>
      </c>
      <c r="J27" s="37" t="s">
        <v>36</v>
      </c>
      <c r="K27" s="104"/>
      <c r="L27" s="104"/>
      <c r="M27" s="104"/>
      <c r="N27" s="105"/>
      <c r="O27" s="106"/>
      <c r="P27" s="106"/>
      <c r="Q27" s="413">
        <f>IF(COUNT(Q29:Q43)=0,0,COUNT(Q29:Q43))</f>
        <v>0</v>
      </c>
      <c r="R27" s="411" t="s">
        <v>366</v>
      </c>
      <c r="S27" s="37" t="s">
        <v>36</v>
      </c>
      <c r="T27" s="104"/>
      <c r="U27" s="104"/>
      <c r="V27" s="104"/>
      <c r="W27" s="105"/>
      <c r="X27" s="106"/>
      <c r="Y27" s="106"/>
      <c r="Z27" s="413">
        <f>IF(COUNT(Z29:Z43)=0,0,COUNT(Z29:Z43))</f>
        <v>0</v>
      </c>
      <c r="AA27" s="411" t="s">
        <v>366</v>
      </c>
      <c r="AB27" s="37" t="s">
        <v>36</v>
      </c>
      <c r="AC27" s="104"/>
      <c r="AD27" s="104"/>
      <c r="AE27" s="104"/>
      <c r="AF27" s="105"/>
      <c r="AG27" s="106"/>
      <c r="AH27" s="106"/>
      <c r="AI27" s="413">
        <f>IF(COUNT(AI29:AI43)=0,0,COUNT(AI29:AI43))</f>
        <v>0</v>
      </c>
      <c r="AJ27" s="411" t="s">
        <v>366</v>
      </c>
      <c r="AK27" s="37" t="s">
        <v>36</v>
      </c>
      <c r="AL27" s="104"/>
      <c r="AM27" s="104"/>
      <c r="AN27" s="104"/>
      <c r="AO27" s="105"/>
      <c r="AP27" s="106"/>
      <c r="AQ27" s="106"/>
      <c r="AR27" s="413">
        <f>IF(COUNT(AR29:AR43)=0,0,COUNT(AR29:AR43))</f>
        <v>0</v>
      </c>
      <c r="AS27" s="411" t="s">
        <v>366</v>
      </c>
      <c r="AT27" s="37" t="s">
        <v>36</v>
      </c>
      <c r="AU27" s="104"/>
      <c r="AV27" s="104"/>
      <c r="AW27" s="104"/>
      <c r="AX27" s="105"/>
      <c r="AY27" s="106"/>
      <c r="AZ27" s="106"/>
      <c r="BA27" s="413">
        <f>IF(COUNT(BA29:BA43)=0,0,COUNT(BA29:BA43))</f>
        <v>0</v>
      </c>
      <c r="BB27" s="411" t="s">
        <v>366</v>
      </c>
      <c r="BC27" s="37" t="s">
        <v>36</v>
      </c>
      <c r="BD27" s="104"/>
      <c r="BE27" s="104"/>
      <c r="BF27" s="104"/>
      <c r="BG27" s="105"/>
      <c r="BH27" s="106"/>
      <c r="BI27" s="106"/>
      <c r="BJ27" s="413">
        <f>IF(COUNT(BJ29:BJ43)=0,0,COUNT(BJ29:BJ43))</f>
        <v>0</v>
      </c>
      <c r="BK27" s="411" t="s">
        <v>366</v>
      </c>
    </row>
    <row r="28" spans="1:63">
      <c r="A28" s="265" t="s">
        <v>18</v>
      </c>
      <c r="B28" s="447" t="s">
        <v>19</v>
      </c>
      <c r="C28" s="447"/>
      <c r="D28" s="447"/>
      <c r="E28" s="266" t="s">
        <v>20</v>
      </c>
      <c r="F28" s="266" t="s">
        <v>0</v>
      </c>
      <c r="G28" s="266" t="s">
        <v>37</v>
      </c>
      <c r="H28" s="267" t="s">
        <v>21</v>
      </c>
      <c r="I28" s="268" t="s">
        <v>22</v>
      </c>
      <c r="J28" s="265" t="s">
        <v>18</v>
      </c>
      <c r="K28" s="447" t="s">
        <v>19</v>
      </c>
      <c r="L28" s="447"/>
      <c r="M28" s="447"/>
      <c r="N28" s="266" t="s">
        <v>20</v>
      </c>
      <c r="O28" s="266" t="s">
        <v>0</v>
      </c>
      <c r="P28" s="266" t="s">
        <v>37</v>
      </c>
      <c r="Q28" s="267" t="s">
        <v>21</v>
      </c>
      <c r="R28" s="268" t="s">
        <v>22</v>
      </c>
      <c r="S28" s="265" t="s">
        <v>18</v>
      </c>
      <c r="T28" s="447" t="s">
        <v>19</v>
      </c>
      <c r="U28" s="447"/>
      <c r="V28" s="447"/>
      <c r="W28" s="266" t="s">
        <v>20</v>
      </c>
      <c r="X28" s="266" t="s">
        <v>0</v>
      </c>
      <c r="Y28" s="266" t="s">
        <v>37</v>
      </c>
      <c r="Z28" s="267" t="s">
        <v>21</v>
      </c>
      <c r="AA28" s="268" t="s">
        <v>22</v>
      </c>
      <c r="AB28" s="265" t="s">
        <v>18</v>
      </c>
      <c r="AC28" s="447" t="s">
        <v>19</v>
      </c>
      <c r="AD28" s="447"/>
      <c r="AE28" s="447"/>
      <c r="AF28" s="266" t="s">
        <v>20</v>
      </c>
      <c r="AG28" s="266" t="s">
        <v>0</v>
      </c>
      <c r="AH28" s="266" t="s">
        <v>37</v>
      </c>
      <c r="AI28" s="267" t="s">
        <v>21</v>
      </c>
      <c r="AJ28" s="268" t="s">
        <v>22</v>
      </c>
      <c r="AK28" s="265" t="s">
        <v>18</v>
      </c>
      <c r="AL28" s="447" t="s">
        <v>19</v>
      </c>
      <c r="AM28" s="447"/>
      <c r="AN28" s="447"/>
      <c r="AO28" s="266" t="s">
        <v>20</v>
      </c>
      <c r="AP28" s="266" t="s">
        <v>0</v>
      </c>
      <c r="AQ28" s="266" t="s">
        <v>37</v>
      </c>
      <c r="AR28" s="267" t="s">
        <v>21</v>
      </c>
      <c r="AS28" s="268" t="s">
        <v>22</v>
      </c>
      <c r="AT28" s="265" t="s">
        <v>18</v>
      </c>
      <c r="AU28" s="447" t="s">
        <v>19</v>
      </c>
      <c r="AV28" s="447"/>
      <c r="AW28" s="447"/>
      <c r="AX28" s="266" t="s">
        <v>20</v>
      </c>
      <c r="AY28" s="266" t="s">
        <v>0</v>
      </c>
      <c r="AZ28" s="266" t="s">
        <v>37</v>
      </c>
      <c r="BA28" s="267" t="s">
        <v>21</v>
      </c>
      <c r="BB28" s="268" t="s">
        <v>22</v>
      </c>
      <c r="BC28" s="265" t="s">
        <v>18</v>
      </c>
      <c r="BD28" s="447" t="s">
        <v>19</v>
      </c>
      <c r="BE28" s="447"/>
      <c r="BF28" s="447"/>
      <c r="BG28" s="266" t="s">
        <v>20</v>
      </c>
      <c r="BH28" s="266" t="s">
        <v>0</v>
      </c>
      <c r="BI28" s="266" t="s">
        <v>37</v>
      </c>
      <c r="BJ28" s="267" t="s">
        <v>21</v>
      </c>
      <c r="BK28" s="268" t="s">
        <v>22</v>
      </c>
    </row>
    <row r="29" spans="1:63">
      <c r="A29" s="269"/>
      <c r="B29" s="443" t="str">
        <f>IF(A29="","",VLOOKUP(A29,案件コード!$A$1:$B$31,2,FALSE()))</f>
        <v/>
      </c>
      <c r="C29" s="443"/>
      <c r="D29" s="443"/>
      <c r="E29" s="102" t="str">
        <f t="shared" ref="E29:E43" si="7">IF(AND(F29="",G29=""),"",SUM(F29:G29))</f>
        <v/>
      </c>
      <c r="F29" s="245"/>
      <c r="G29" s="244"/>
      <c r="H29" s="246"/>
      <c r="I29" s="278"/>
      <c r="J29" s="269"/>
      <c r="K29" s="443" t="str">
        <f>IF(J29="","",VLOOKUP(J29,案件コード!$A$1:$B$31,2,FALSE()))</f>
        <v/>
      </c>
      <c r="L29" s="443"/>
      <c r="M29" s="443"/>
      <c r="N29" s="102" t="str">
        <f t="shared" ref="N29:N43" si="8">IF(AND(O29="",P29=""),"",SUM(O29:P29))</f>
        <v/>
      </c>
      <c r="O29" s="245"/>
      <c r="P29" s="244"/>
      <c r="Q29" s="246"/>
      <c r="R29" s="278"/>
      <c r="S29" s="269"/>
      <c r="T29" s="443" t="str">
        <f>IF(S29="","",VLOOKUP(S29,案件コード!$A$1:$B$31,2,FALSE()))</f>
        <v/>
      </c>
      <c r="U29" s="443"/>
      <c r="V29" s="443"/>
      <c r="W29" s="102" t="str">
        <f t="shared" ref="W29:W43" si="9">IF(AND(X29="",Y29=""),"",SUM(X29:Y29))</f>
        <v/>
      </c>
      <c r="X29" s="245"/>
      <c r="Y29" s="244"/>
      <c r="Z29" s="246"/>
      <c r="AA29" s="278"/>
      <c r="AB29" s="269"/>
      <c r="AC29" s="443" t="str">
        <f>IF(AB29="","",VLOOKUP(AB29,案件コード!$A$1:$B$31,2,FALSE()))</f>
        <v/>
      </c>
      <c r="AD29" s="443"/>
      <c r="AE29" s="443"/>
      <c r="AF29" s="102" t="str">
        <f t="shared" ref="AF29:AF43" si="10">IF(AND(AG29="",AH29=""),"",SUM(AG29:AH29))</f>
        <v/>
      </c>
      <c r="AG29" s="245"/>
      <c r="AH29" s="244"/>
      <c r="AI29" s="246"/>
      <c r="AJ29" s="278"/>
      <c r="AK29" s="269"/>
      <c r="AL29" s="443" t="str">
        <f>IF(AK29="","",VLOOKUP(AK29,案件コード!$A$1:$B$31,2,FALSE()))</f>
        <v/>
      </c>
      <c r="AM29" s="443"/>
      <c r="AN29" s="443"/>
      <c r="AO29" s="102" t="str">
        <f t="shared" ref="AO29:AO43" si="11">IF(AND(AP29="",AQ29=""),"",SUM(AP29:AQ29))</f>
        <v/>
      </c>
      <c r="AP29" s="245"/>
      <c r="AQ29" s="244"/>
      <c r="AR29" s="246"/>
      <c r="AS29" s="278"/>
      <c r="AT29" s="269"/>
      <c r="AU29" s="443" t="str">
        <f>IF(AT29="","",VLOOKUP(AT29,案件コード!$A$1:$B$31,2,FALSE()))</f>
        <v/>
      </c>
      <c r="AV29" s="443"/>
      <c r="AW29" s="443"/>
      <c r="AX29" s="102" t="str">
        <f t="shared" ref="AX29:AX43" si="12">IF(AND(AY29="",AZ29=""),"",SUM(AY29:AZ29))</f>
        <v/>
      </c>
      <c r="AY29" s="245"/>
      <c r="AZ29" s="244"/>
      <c r="BA29" s="246"/>
      <c r="BB29" s="278"/>
      <c r="BC29" s="269"/>
      <c r="BD29" s="443" t="str">
        <f>IF(BC29="","",VLOOKUP(BC29,案件コード!$A$1:$B$31,2,FALSE()))</f>
        <v/>
      </c>
      <c r="BE29" s="443"/>
      <c r="BF29" s="443"/>
      <c r="BG29" s="102" t="str">
        <f t="shared" ref="BG29:BG43" si="13">IF(AND(BH29="",BI29=""),"",SUM(BH29:BI29))</f>
        <v/>
      </c>
      <c r="BH29" s="245"/>
      <c r="BI29" s="244"/>
      <c r="BJ29" s="246"/>
      <c r="BK29" s="278"/>
    </row>
    <row r="30" spans="1:63">
      <c r="A30" s="269"/>
      <c r="B30" s="443" t="str">
        <f>IF(A30="","",VLOOKUP(A30,案件コード!$A$1:$B$31,2,FALSE()))</f>
        <v/>
      </c>
      <c r="C30" s="443"/>
      <c r="D30" s="443"/>
      <c r="E30" s="102" t="str">
        <f t="shared" si="7"/>
        <v/>
      </c>
      <c r="F30" s="245"/>
      <c r="G30" s="244"/>
      <c r="H30" s="246"/>
      <c r="I30" s="279"/>
      <c r="J30" s="269"/>
      <c r="K30" s="443" t="str">
        <f>IF(J30="","",VLOOKUP(J30,案件コード!$A$1:$B$31,2,FALSE()))</f>
        <v/>
      </c>
      <c r="L30" s="443"/>
      <c r="M30" s="443"/>
      <c r="N30" s="102" t="str">
        <f t="shared" si="8"/>
        <v/>
      </c>
      <c r="O30" s="245"/>
      <c r="P30" s="244"/>
      <c r="Q30" s="246"/>
      <c r="R30" s="279"/>
      <c r="S30" s="269"/>
      <c r="T30" s="443" t="str">
        <f>IF(S30="","",VLOOKUP(S30,案件コード!$A$1:$B$31,2,FALSE()))</f>
        <v/>
      </c>
      <c r="U30" s="443"/>
      <c r="V30" s="443"/>
      <c r="W30" s="102" t="str">
        <f t="shared" si="9"/>
        <v/>
      </c>
      <c r="X30" s="245"/>
      <c r="Y30" s="244"/>
      <c r="Z30" s="246"/>
      <c r="AA30" s="279"/>
      <c r="AB30" s="269"/>
      <c r="AC30" s="443" t="str">
        <f>IF(AB30="","",VLOOKUP(AB30,案件コード!$A$1:$B$31,2,FALSE()))</f>
        <v/>
      </c>
      <c r="AD30" s="443"/>
      <c r="AE30" s="443"/>
      <c r="AF30" s="102" t="str">
        <f t="shared" si="10"/>
        <v/>
      </c>
      <c r="AG30" s="245"/>
      <c r="AH30" s="244"/>
      <c r="AI30" s="246"/>
      <c r="AJ30" s="279"/>
      <c r="AK30" s="269"/>
      <c r="AL30" s="443" t="str">
        <f>IF(AK30="","",VLOOKUP(AK30,案件コード!$A$1:$B$31,2,FALSE()))</f>
        <v/>
      </c>
      <c r="AM30" s="443"/>
      <c r="AN30" s="443"/>
      <c r="AO30" s="102" t="str">
        <f t="shared" si="11"/>
        <v/>
      </c>
      <c r="AP30" s="245"/>
      <c r="AQ30" s="244"/>
      <c r="AR30" s="246"/>
      <c r="AS30" s="279"/>
      <c r="AT30" s="269"/>
      <c r="AU30" s="443" t="str">
        <f>IF(AT30="","",VLOOKUP(AT30,案件コード!$A$1:$B$31,2,FALSE()))</f>
        <v/>
      </c>
      <c r="AV30" s="443"/>
      <c r="AW30" s="443"/>
      <c r="AX30" s="102" t="str">
        <f t="shared" si="12"/>
        <v/>
      </c>
      <c r="AY30" s="245"/>
      <c r="AZ30" s="244"/>
      <c r="BA30" s="246"/>
      <c r="BB30" s="279"/>
      <c r="BC30" s="269"/>
      <c r="BD30" s="443" t="str">
        <f>IF(BC30="","",VLOOKUP(BC30,案件コード!$A$1:$B$31,2,FALSE()))</f>
        <v/>
      </c>
      <c r="BE30" s="443"/>
      <c r="BF30" s="443"/>
      <c r="BG30" s="102" t="str">
        <f t="shared" si="13"/>
        <v/>
      </c>
      <c r="BH30" s="245"/>
      <c r="BI30" s="244"/>
      <c r="BJ30" s="246"/>
      <c r="BK30" s="279"/>
    </row>
    <row r="31" spans="1:63">
      <c r="A31" s="269"/>
      <c r="B31" s="443" t="str">
        <f>IF(A31="","",VLOOKUP(A31,案件コード!$A$1:$B$31,2,FALSE()))</f>
        <v/>
      </c>
      <c r="C31" s="443"/>
      <c r="D31" s="443"/>
      <c r="E31" s="102" t="str">
        <f t="shared" si="7"/>
        <v/>
      </c>
      <c r="F31" s="245"/>
      <c r="G31" s="244"/>
      <c r="H31" s="246"/>
      <c r="I31" s="279"/>
      <c r="J31" s="269"/>
      <c r="K31" s="443" t="str">
        <f>IF(J31="","",VLOOKUP(J31,案件コード!$A$1:$B$31,2,FALSE()))</f>
        <v/>
      </c>
      <c r="L31" s="443"/>
      <c r="M31" s="443"/>
      <c r="N31" s="102" t="str">
        <f t="shared" si="8"/>
        <v/>
      </c>
      <c r="O31" s="245"/>
      <c r="P31" s="244"/>
      <c r="Q31" s="246"/>
      <c r="R31" s="279"/>
      <c r="S31" s="269"/>
      <c r="T31" s="443" t="str">
        <f>IF(S31="","",VLOOKUP(S31,案件コード!$A$1:$B$31,2,FALSE()))</f>
        <v/>
      </c>
      <c r="U31" s="443"/>
      <c r="V31" s="443"/>
      <c r="W31" s="102" t="str">
        <f t="shared" si="9"/>
        <v/>
      </c>
      <c r="X31" s="245"/>
      <c r="Y31" s="244"/>
      <c r="Z31" s="246"/>
      <c r="AA31" s="279"/>
      <c r="AB31" s="269"/>
      <c r="AC31" s="443" t="str">
        <f>IF(AB31="","",VLOOKUP(AB31,案件コード!$A$1:$B$31,2,FALSE()))</f>
        <v/>
      </c>
      <c r="AD31" s="443"/>
      <c r="AE31" s="443"/>
      <c r="AF31" s="102" t="str">
        <f t="shared" si="10"/>
        <v/>
      </c>
      <c r="AG31" s="245"/>
      <c r="AH31" s="244"/>
      <c r="AI31" s="246"/>
      <c r="AJ31" s="279"/>
      <c r="AK31" s="269"/>
      <c r="AL31" s="443" t="str">
        <f>IF(AK31="","",VLOOKUP(AK31,案件コード!$A$1:$B$31,2,FALSE()))</f>
        <v/>
      </c>
      <c r="AM31" s="443"/>
      <c r="AN31" s="443"/>
      <c r="AO31" s="102" t="str">
        <f t="shared" si="11"/>
        <v/>
      </c>
      <c r="AP31" s="245"/>
      <c r="AQ31" s="244"/>
      <c r="AR31" s="246"/>
      <c r="AS31" s="279"/>
      <c r="AT31" s="269"/>
      <c r="AU31" s="443" t="str">
        <f>IF(AT31="","",VLOOKUP(AT31,案件コード!$A$1:$B$31,2,FALSE()))</f>
        <v/>
      </c>
      <c r="AV31" s="443"/>
      <c r="AW31" s="443"/>
      <c r="AX31" s="102" t="str">
        <f t="shared" si="12"/>
        <v/>
      </c>
      <c r="AY31" s="245"/>
      <c r="AZ31" s="244"/>
      <c r="BA31" s="246"/>
      <c r="BB31" s="279"/>
      <c r="BC31" s="269"/>
      <c r="BD31" s="443" t="str">
        <f>IF(BC31="","",VLOOKUP(BC31,案件コード!$A$1:$B$31,2,FALSE()))</f>
        <v/>
      </c>
      <c r="BE31" s="443"/>
      <c r="BF31" s="443"/>
      <c r="BG31" s="102" t="str">
        <f t="shared" si="13"/>
        <v/>
      </c>
      <c r="BH31" s="245"/>
      <c r="BI31" s="244"/>
      <c r="BJ31" s="246"/>
      <c r="BK31" s="279"/>
    </row>
    <row r="32" spans="1:63">
      <c r="A32" s="269"/>
      <c r="B32" s="443" t="str">
        <f>IF(A32="","",VLOOKUP(A32,案件コード!$A$1:$B$31,2,FALSE()))</f>
        <v/>
      </c>
      <c r="C32" s="443"/>
      <c r="D32" s="443"/>
      <c r="E32" s="102" t="str">
        <f t="shared" si="7"/>
        <v/>
      </c>
      <c r="F32" s="245"/>
      <c r="G32" s="244"/>
      <c r="H32" s="246"/>
      <c r="I32" s="279"/>
      <c r="J32" s="269"/>
      <c r="K32" s="443" t="str">
        <f>IF(J32="","",VLOOKUP(J32,案件コード!$A$1:$B$31,2,FALSE()))</f>
        <v/>
      </c>
      <c r="L32" s="443"/>
      <c r="M32" s="443"/>
      <c r="N32" s="102" t="str">
        <f t="shared" si="8"/>
        <v/>
      </c>
      <c r="O32" s="245"/>
      <c r="P32" s="244"/>
      <c r="Q32" s="246"/>
      <c r="R32" s="279"/>
      <c r="S32" s="269"/>
      <c r="T32" s="443" t="str">
        <f>IF(S32="","",VLOOKUP(S32,案件コード!$A$1:$B$31,2,FALSE()))</f>
        <v/>
      </c>
      <c r="U32" s="443"/>
      <c r="V32" s="443"/>
      <c r="W32" s="102" t="str">
        <f t="shared" si="9"/>
        <v/>
      </c>
      <c r="X32" s="245"/>
      <c r="Y32" s="244"/>
      <c r="Z32" s="246"/>
      <c r="AA32" s="279"/>
      <c r="AB32" s="269"/>
      <c r="AC32" s="443" t="str">
        <f>IF(AB32="","",VLOOKUP(AB32,案件コード!$A$1:$B$31,2,FALSE()))</f>
        <v/>
      </c>
      <c r="AD32" s="443"/>
      <c r="AE32" s="443"/>
      <c r="AF32" s="102" t="str">
        <f t="shared" si="10"/>
        <v/>
      </c>
      <c r="AG32" s="245"/>
      <c r="AH32" s="244"/>
      <c r="AI32" s="246"/>
      <c r="AJ32" s="279"/>
      <c r="AK32" s="269"/>
      <c r="AL32" s="443" t="str">
        <f>IF(AK32="","",VLOOKUP(AK32,案件コード!$A$1:$B$31,2,FALSE()))</f>
        <v/>
      </c>
      <c r="AM32" s="443"/>
      <c r="AN32" s="443"/>
      <c r="AO32" s="102" t="str">
        <f t="shared" si="11"/>
        <v/>
      </c>
      <c r="AP32" s="245"/>
      <c r="AQ32" s="244"/>
      <c r="AR32" s="246"/>
      <c r="AS32" s="279"/>
      <c r="AT32" s="269"/>
      <c r="AU32" s="443" t="str">
        <f>IF(AT32="","",VLOOKUP(AT32,案件コード!$A$1:$B$31,2,FALSE()))</f>
        <v/>
      </c>
      <c r="AV32" s="443"/>
      <c r="AW32" s="443"/>
      <c r="AX32" s="102" t="str">
        <f t="shared" si="12"/>
        <v/>
      </c>
      <c r="AY32" s="245"/>
      <c r="AZ32" s="244"/>
      <c r="BA32" s="246"/>
      <c r="BB32" s="279"/>
      <c r="BC32" s="269"/>
      <c r="BD32" s="443" t="str">
        <f>IF(BC32="","",VLOOKUP(BC32,案件コード!$A$1:$B$31,2,FALSE()))</f>
        <v/>
      </c>
      <c r="BE32" s="443"/>
      <c r="BF32" s="443"/>
      <c r="BG32" s="102" t="str">
        <f t="shared" si="13"/>
        <v/>
      </c>
      <c r="BH32" s="245"/>
      <c r="BI32" s="244"/>
      <c r="BJ32" s="246"/>
      <c r="BK32" s="279"/>
    </row>
    <row r="33" spans="1:63">
      <c r="A33" s="269"/>
      <c r="B33" s="443" t="str">
        <f>IF(A33="","",VLOOKUP(A33,案件コード!$A$1:$B$31,2,FALSE()))</f>
        <v/>
      </c>
      <c r="C33" s="443"/>
      <c r="D33" s="443"/>
      <c r="E33" s="102" t="str">
        <f t="shared" si="7"/>
        <v/>
      </c>
      <c r="F33" s="245"/>
      <c r="G33" s="244"/>
      <c r="H33" s="246"/>
      <c r="I33" s="279"/>
      <c r="J33" s="269"/>
      <c r="K33" s="443" t="str">
        <f>IF(J33="","",VLOOKUP(J33,案件コード!$A$1:$B$31,2,FALSE()))</f>
        <v/>
      </c>
      <c r="L33" s="443"/>
      <c r="M33" s="443"/>
      <c r="N33" s="102" t="str">
        <f t="shared" si="8"/>
        <v/>
      </c>
      <c r="O33" s="245"/>
      <c r="P33" s="244"/>
      <c r="Q33" s="246"/>
      <c r="R33" s="279"/>
      <c r="S33" s="269"/>
      <c r="T33" s="443" t="str">
        <f>IF(S33="","",VLOOKUP(S33,案件コード!$A$1:$B$31,2,FALSE()))</f>
        <v/>
      </c>
      <c r="U33" s="443"/>
      <c r="V33" s="443"/>
      <c r="W33" s="102" t="str">
        <f t="shared" si="9"/>
        <v/>
      </c>
      <c r="X33" s="245"/>
      <c r="Y33" s="244"/>
      <c r="Z33" s="246"/>
      <c r="AA33" s="279"/>
      <c r="AB33" s="269"/>
      <c r="AC33" s="443" t="str">
        <f>IF(AB33="","",VLOOKUP(AB33,案件コード!$A$1:$B$31,2,FALSE()))</f>
        <v/>
      </c>
      <c r="AD33" s="443"/>
      <c r="AE33" s="443"/>
      <c r="AF33" s="102" t="str">
        <f t="shared" si="10"/>
        <v/>
      </c>
      <c r="AG33" s="245"/>
      <c r="AH33" s="244"/>
      <c r="AI33" s="246"/>
      <c r="AJ33" s="279"/>
      <c r="AK33" s="269"/>
      <c r="AL33" s="443" t="str">
        <f>IF(AK33="","",VLOOKUP(AK33,案件コード!$A$1:$B$31,2,FALSE()))</f>
        <v/>
      </c>
      <c r="AM33" s="443"/>
      <c r="AN33" s="443"/>
      <c r="AO33" s="102" t="str">
        <f t="shared" si="11"/>
        <v/>
      </c>
      <c r="AP33" s="245"/>
      <c r="AQ33" s="244"/>
      <c r="AR33" s="246"/>
      <c r="AS33" s="279"/>
      <c r="AT33" s="269"/>
      <c r="AU33" s="443" t="str">
        <f>IF(AT33="","",VLOOKUP(AT33,案件コード!$A$1:$B$31,2,FALSE()))</f>
        <v/>
      </c>
      <c r="AV33" s="443"/>
      <c r="AW33" s="443"/>
      <c r="AX33" s="102" t="str">
        <f t="shared" si="12"/>
        <v/>
      </c>
      <c r="AY33" s="245"/>
      <c r="AZ33" s="244"/>
      <c r="BA33" s="246"/>
      <c r="BB33" s="279"/>
      <c r="BC33" s="269"/>
      <c r="BD33" s="443" t="str">
        <f>IF(BC33="","",VLOOKUP(BC33,案件コード!$A$1:$B$31,2,FALSE()))</f>
        <v/>
      </c>
      <c r="BE33" s="443"/>
      <c r="BF33" s="443"/>
      <c r="BG33" s="102" t="str">
        <f t="shared" si="13"/>
        <v/>
      </c>
      <c r="BH33" s="245"/>
      <c r="BI33" s="244"/>
      <c r="BJ33" s="246"/>
      <c r="BK33" s="279"/>
    </row>
    <row r="34" spans="1:63">
      <c r="A34" s="269"/>
      <c r="B34" s="443" t="str">
        <f>IF(A34="","",VLOOKUP(A34,案件コード!$A$1:$B$31,2,FALSE()))</f>
        <v/>
      </c>
      <c r="C34" s="443"/>
      <c r="D34" s="443"/>
      <c r="E34" s="102" t="str">
        <f t="shared" si="7"/>
        <v/>
      </c>
      <c r="F34" s="245"/>
      <c r="G34" s="244"/>
      <c r="H34" s="246"/>
      <c r="I34" s="279"/>
      <c r="J34" s="269"/>
      <c r="K34" s="443" t="str">
        <f>IF(J34="","",VLOOKUP(J34,案件コード!$A$1:$B$31,2,FALSE()))</f>
        <v/>
      </c>
      <c r="L34" s="443"/>
      <c r="M34" s="443"/>
      <c r="N34" s="102" t="str">
        <f t="shared" si="8"/>
        <v/>
      </c>
      <c r="O34" s="245"/>
      <c r="P34" s="244"/>
      <c r="Q34" s="246"/>
      <c r="R34" s="279"/>
      <c r="S34" s="269"/>
      <c r="T34" s="443" t="str">
        <f>IF(S34="","",VLOOKUP(S34,案件コード!$A$1:$B$31,2,FALSE()))</f>
        <v/>
      </c>
      <c r="U34" s="443"/>
      <c r="V34" s="443"/>
      <c r="W34" s="102" t="str">
        <f t="shared" si="9"/>
        <v/>
      </c>
      <c r="X34" s="245"/>
      <c r="Y34" s="244"/>
      <c r="Z34" s="246"/>
      <c r="AA34" s="279"/>
      <c r="AB34" s="269"/>
      <c r="AC34" s="443" t="str">
        <f>IF(AB34="","",VLOOKUP(AB34,案件コード!$A$1:$B$31,2,FALSE()))</f>
        <v/>
      </c>
      <c r="AD34" s="443"/>
      <c r="AE34" s="443"/>
      <c r="AF34" s="102" t="str">
        <f t="shared" si="10"/>
        <v/>
      </c>
      <c r="AG34" s="245"/>
      <c r="AH34" s="244"/>
      <c r="AI34" s="246"/>
      <c r="AJ34" s="279"/>
      <c r="AK34" s="269"/>
      <c r="AL34" s="443" t="str">
        <f>IF(AK34="","",VLOOKUP(AK34,案件コード!$A$1:$B$31,2,FALSE()))</f>
        <v/>
      </c>
      <c r="AM34" s="443"/>
      <c r="AN34" s="443"/>
      <c r="AO34" s="102" t="str">
        <f t="shared" si="11"/>
        <v/>
      </c>
      <c r="AP34" s="245"/>
      <c r="AQ34" s="244"/>
      <c r="AR34" s="246"/>
      <c r="AS34" s="279"/>
      <c r="AT34" s="269"/>
      <c r="AU34" s="443" t="str">
        <f>IF(AT34="","",VLOOKUP(AT34,案件コード!$A$1:$B$31,2,FALSE()))</f>
        <v/>
      </c>
      <c r="AV34" s="443"/>
      <c r="AW34" s="443"/>
      <c r="AX34" s="102" t="str">
        <f t="shared" si="12"/>
        <v/>
      </c>
      <c r="AY34" s="245"/>
      <c r="AZ34" s="244"/>
      <c r="BA34" s="246"/>
      <c r="BB34" s="279"/>
      <c r="BC34" s="269"/>
      <c r="BD34" s="443" t="str">
        <f>IF(BC34="","",VLOOKUP(BC34,案件コード!$A$1:$B$31,2,FALSE()))</f>
        <v/>
      </c>
      <c r="BE34" s="443"/>
      <c r="BF34" s="443"/>
      <c r="BG34" s="102" t="str">
        <f t="shared" si="13"/>
        <v/>
      </c>
      <c r="BH34" s="245"/>
      <c r="BI34" s="244"/>
      <c r="BJ34" s="246"/>
      <c r="BK34" s="279"/>
    </row>
    <row r="35" spans="1:63">
      <c r="A35" s="269"/>
      <c r="B35" s="443" t="str">
        <f>IF(A35="","",VLOOKUP(A35,案件コード!$A$1:$B$31,2,FALSE()))</f>
        <v/>
      </c>
      <c r="C35" s="443"/>
      <c r="D35" s="443"/>
      <c r="E35" s="102" t="str">
        <f t="shared" si="7"/>
        <v/>
      </c>
      <c r="F35" s="245"/>
      <c r="G35" s="244"/>
      <c r="H35" s="246"/>
      <c r="I35" s="279"/>
      <c r="J35" s="269"/>
      <c r="K35" s="443" t="str">
        <f>IF(J35="","",VLOOKUP(J35,案件コード!$A$1:$B$31,2,FALSE()))</f>
        <v/>
      </c>
      <c r="L35" s="443"/>
      <c r="M35" s="443"/>
      <c r="N35" s="102" t="str">
        <f t="shared" si="8"/>
        <v/>
      </c>
      <c r="O35" s="245"/>
      <c r="P35" s="244"/>
      <c r="Q35" s="246"/>
      <c r="R35" s="279"/>
      <c r="S35" s="269"/>
      <c r="T35" s="443" t="str">
        <f>IF(S35="","",VLOOKUP(S35,案件コード!$A$1:$B$31,2,FALSE()))</f>
        <v/>
      </c>
      <c r="U35" s="443"/>
      <c r="V35" s="443"/>
      <c r="W35" s="102" t="str">
        <f t="shared" si="9"/>
        <v/>
      </c>
      <c r="X35" s="245"/>
      <c r="Y35" s="244"/>
      <c r="Z35" s="246"/>
      <c r="AA35" s="279"/>
      <c r="AB35" s="269"/>
      <c r="AC35" s="443" t="str">
        <f>IF(AB35="","",VLOOKUP(AB35,案件コード!$A$1:$B$31,2,FALSE()))</f>
        <v/>
      </c>
      <c r="AD35" s="443"/>
      <c r="AE35" s="443"/>
      <c r="AF35" s="102" t="str">
        <f t="shared" si="10"/>
        <v/>
      </c>
      <c r="AG35" s="245"/>
      <c r="AH35" s="244"/>
      <c r="AI35" s="246"/>
      <c r="AJ35" s="279"/>
      <c r="AK35" s="269"/>
      <c r="AL35" s="443" t="str">
        <f>IF(AK35="","",VLOOKUP(AK35,案件コード!$A$1:$B$31,2,FALSE()))</f>
        <v/>
      </c>
      <c r="AM35" s="443"/>
      <c r="AN35" s="443"/>
      <c r="AO35" s="102" t="str">
        <f t="shared" si="11"/>
        <v/>
      </c>
      <c r="AP35" s="245"/>
      <c r="AQ35" s="244"/>
      <c r="AR35" s="246"/>
      <c r="AS35" s="279"/>
      <c r="AT35" s="269"/>
      <c r="AU35" s="443" t="str">
        <f>IF(AT35="","",VLOOKUP(AT35,案件コード!$A$1:$B$31,2,FALSE()))</f>
        <v/>
      </c>
      <c r="AV35" s="443"/>
      <c r="AW35" s="443"/>
      <c r="AX35" s="102" t="str">
        <f t="shared" si="12"/>
        <v/>
      </c>
      <c r="AY35" s="245"/>
      <c r="AZ35" s="244"/>
      <c r="BA35" s="246"/>
      <c r="BB35" s="279"/>
      <c r="BC35" s="269"/>
      <c r="BD35" s="443" t="str">
        <f>IF(BC35="","",VLOOKUP(BC35,案件コード!$A$1:$B$31,2,FALSE()))</f>
        <v/>
      </c>
      <c r="BE35" s="443"/>
      <c r="BF35" s="443"/>
      <c r="BG35" s="102" t="str">
        <f t="shared" si="13"/>
        <v/>
      </c>
      <c r="BH35" s="245"/>
      <c r="BI35" s="244"/>
      <c r="BJ35" s="246"/>
      <c r="BK35" s="279"/>
    </row>
    <row r="36" spans="1:63">
      <c r="A36" s="269"/>
      <c r="B36" s="443" t="str">
        <f>IF(A36="","",VLOOKUP(A36,案件コード!$A$1:$B$31,2,FALSE()))</f>
        <v/>
      </c>
      <c r="C36" s="443"/>
      <c r="D36" s="443"/>
      <c r="E36" s="102" t="str">
        <f t="shared" si="7"/>
        <v/>
      </c>
      <c r="F36" s="245"/>
      <c r="G36" s="244"/>
      <c r="H36" s="246"/>
      <c r="I36" s="279"/>
      <c r="J36" s="269"/>
      <c r="K36" s="443" t="str">
        <f>IF(J36="","",VLOOKUP(J36,案件コード!$A$1:$B$31,2,FALSE()))</f>
        <v/>
      </c>
      <c r="L36" s="443"/>
      <c r="M36" s="443"/>
      <c r="N36" s="102" t="str">
        <f t="shared" si="8"/>
        <v/>
      </c>
      <c r="O36" s="245"/>
      <c r="P36" s="244"/>
      <c r="Q36" s="246"/>
      <c r="R36" s="279"/>
      <c r="S36" s="269"/>
      <c r="T36" s="443" t="str">
        <f>IF(S36="","",VLOOKUP(S36,案件コード!$A$1:$B$31,2,FALSE()))</f>
        <v/>
      </c>
      <c r="U36" s="443"/>
      <c r="V36" s="443"/>
      <c r="W36" s="102" t="str">
        <f t="shared" si="9"/>
        <v/>
      </c>
      <c r="X36" s="245"/>
      <c r="Y36" s="244"/>
      <c r="Z36" s="246"/>
      <c r="AA36" s="279"/>
      <c r="AB36" s="269"/>
      <c r="AC36" s="443" t="str">
        <f>IF(AB36="","",VLOOKUP(AB36,案件コード!$A$1:$B$31,2,FALSE()))</f>
        <v/>
      </c>
      <c r="AD36" s="443"/>
      <c r="AE36" s="443"/>
      <c r="AF36" s="102" t="str">
        <f t="shared" si="10"/>
        <v/>
      </c>
      <c r="AG36" s="245"/>
      <c r="AH36" s="244"/>
      <c r="AI36" s="246"/>
      <c r="AJ36" s="279"/>
      <c r="AK36" s="269"/>
      <c r="AL36" s="443" t="str">
        <f>IF(AK36="","",VLOOKUP(AK36,案件コード!$A$1:$B$31,2,FALSE()))</f>
        <v/>
      </c>
      <c r="AM36" s="443"/>
      <c r="AN36" s="443"/>
      <c r="AO36" s="102" t="str">
        <f t="shared" si="11"/>
        <v/>
      </c>
      <c r="AP36" s="245"/>
      <c r="AQ36" s="244"/>
      <c r="AR36" s="246"/>
      <c r="AS36" s="279"/>
      <c r="AT36" s="269"/>
      <c r="AU36" s="443" t="str">
        <f>IF(AT36="","",VLOOKUP(AT36,案件コード!$A$1:$B$31,2,FALSE()))</f>
        <v/>
      </c>
      <c r="AV36" s="443"/>
      <c r="AW36" s="443"/>
      <c r="AX36" s="102" t="str">
        <f t="shared" si="12"/>
        <v/>
      </c>
      <c r="AY36" s="245"/>
      <c r="AZ36" s="244"/>
      <c r="BA36" s="246"/>
      <c r="BB36" s="279"/>
      <c r="BC36" s="269"/>
      <c r="BD36" s="443" t="str">
        <f>IF(BC36="","",VLOOKUP(BC36,案件コード!$A$1:$B$31,2,FALSE()))</f>
        <v/>
      </c>
      <c r="BE36" s="443"/>
      <c r="BF36" s="443"/>
      <c r="BG36" s="102" t="str">
        <f t="shared" si="13"/>
        <v/>
      </c>
      <c r="BH36" s="245"/>
      <c r="BI36" s="244"/>
      <c r="BJ36" s="246"/>
      <c r="BK36" s="279"/>
    </row>
    <row r="37" spans="1:63">
      <c r="A37" s="269"/>
      <c r="B37" s="443" t="str">
        <f>IF(A37="","",VLOOKUP(A37,案件コード!$A$1:$B$31,2,FALSE()))</f>
        <v/>
      </c>
      <c r="C37" s="443"/>
      <c r="D37" s="443"/>
      <c r="E37" s="102" t="str">
        <f t="shared" si="7"/>
        <v/>
      </c>
      <c r="F37" s="245"/>
      <c r="G37" s="244"/>
      <c r="H37" s="246"/>
      <c r="I37" s="279"/>
      <c r="J37" s="269"/>
      <c r="K37" s="443" t="str">
        <f>IF(J37="","",VLOOKUP(J37,案件コード!$A$1:$B$31,2,FALSE()))</f>
        <v/>
      </c>
      <c r="L37" s="443"/>
      <c r="M37" s="443"/>
      <c r="N37" s="102" t="str">
        <f t="shared" si="8"/>
        <v/>
      </c>
      <c r="O37" s="245"/>
      <c r="P37" s="244"/>
      <c r="Q37" s="246"/>
      <c r="R37" s="279"/>
      <c r="S37" s="269"/>
      <c r="T37" s="443" t="str">
        <f>IF(S37="","",VLOOKUP(S37,案件コード!$A$1:$B$31,2,FALSE()))</f>
        <v/>
      </c>
      <c r="U37" s="443"/>
      <c r="V37" s="443"/>
      <c r="W37" s="102" t="str">
        <f t="shared" si="9"/>
        <v/>
      </c>
      <c r="X37" s="245"/>
      <c r="Y37" s="244"/>
      <c r="Z37" s="246"/>
      <c r="AA37" s="279"/>
      <c r="AB37" s="269"/>
      <c r="AC37" s="443" t="str">
        <f>IF(AB37="","",VLOOKUP(AB37,案件コード!$A$1:$B$31,2,FALSE()))</f>
        <v/>
      </c>
      <c r="AD37" s="443"/>
      <c r="AE37" s="443"/>
      <c r="AF37" s="102" t="str">
        <f t="shared" si="10"/>
        <v/>
      </c>
      <c r="AG37" s="245"/>
      <c r="AH37" s="244"/>
      <c r="AI37" s="246"/>
      <c r="AJ37" s="279"/>
      <c r="AK37" s="269"/>
      <c r="AL37" s="443" t="str">
        <f>IF(AK37="","",VLOOKUP(AK37,案件コード!$A$1:$B$31,2,FALSE()))</f>
        <v/>
      </c>
      <c r="AM37" s="443"/>
      <c r="AN37" s="443"/>
      <c r="AO37" s="102" t="str">
        <f t="shared" si="11"/>
        <v/>
      </c>
      <c r="AP37" s="245"/>
      <c r="AQ37" s="244"/>
      <c r="AR37" s="246"/>
      <c r="AS37" s="279"/>
      <c r="AT37" s="269"/>
      <c r="AU37" s="443" t="str">
        <f>IF(AT37="","",VLOOKUP(AT37,案件コード!$A$1:$B$31,2,FALSE()))</f>
        <v/>
      </c>
      <c r="AV37" s="443"/>
      <c r="AW37" s="443"/>
      <c r="AX37" s="102" t="str">
        <f t="shared" si="12"/>
        <v/>
      </c>
      <c r="AY37" s="245"/>
      <c r="AZ37" s="244"/>
      <c r="BA37" s="246"/>
      <c r="BB37" s="279"/>
      <c r="BC37" s="269"/>
      <c r="BD37" s="443" t="str">
        <f>IF(BC37="","",VLOOKUP(BC37,案件コード!$A$1:$B$31,2,FALSE()))</f>
        <v/>
      </c>
      <c r="BE37" s="443"/>
      <c r="BF37" s="443"/>
      <c r="BG37" s="102" t="str">
        <f t="shared" si="13"/>
        <v/>
      </c>
      <c r="BH37" s="245"/>
      <c r="BI37" s="244"/>
      <c r="BJ37" s="246"/>
      <c r="BK37" s="279"/>
    </row>
    <row r="38" spans="1:63">
      <c r="A38" s="269"/>
      <c r="B38" s="443" t="str">
        <f>IF(A38="","",VLOOKUP(A38,案件コード!$A$1:$B$31,2,FALSE()))</f>
        <v/>
      </c>
      <c r="C38" s="443"/>
      <c r="D38" s="443"/>
      <c r="E38" s="102" t="str">
        <f t="shared" si="7"/>
        <v/>
      </c>
      <c r="F38" s="245"/>
      <c r="G38" s="244"/>
      <c r="H38" s="246"/>
      <c r="I38" s="279"/>
      <c r="J38" s="269"/>
      <c r="K38" s="443" t="str">
        <f>IF(J38="","",VLOOKUP(J38,案件コード!$A$1:$B$31,2,FALSE()))</f>
        <v/>
      </c>
      <c r="L38" s="443"/>
      <c r="M38" s="443"/>
      <c r="N38" s="102" t="str">
        <f t="shared" si="8"/>
        <v/>
      </c>
      <c r="O38" s="245"/>
      <c r="P38" s="244"/>
      <c r="Q38" s="246"/>
      <c r="R38" s="279"/>
      <c r="S38" s="269"/>
      <c r="T38" s="443" t="str">
        <f>IF(S38="","",VLOOKUP(S38,案件コード!$A$1:$B$31,2,FALSE()))</f>
        <v/>
      </c>
      <c r="U38" s="443"/>
      <c r="V38" s="443"/>
      <c r="W38" s="102" t="str">
        <f t="shared" si="9"/>
        <v/>
      </c>
      <c r="X38" s="245"/>
      <c r="Y38" s="244"/>
      <c r="Z38" s="246"/>
      <c r="AA38" s="279"/>
      <c r="AB38" s="269"/>
      <c r="AC38" s="443" t="str">
        <f>IF(AB38="","",VLOOKUP(AB38,案件コード!$A$1:$B$31,2,FALSE()))</f>
        <v/>
      </c>
      <c r="AD38" s="443"/>
      <c r="AE38" s="443"/>
      <c r="AF38" s="102" t="str">
        <f t="shared" si="10"/>
        <v/>
      </c>
      <c r="AG38" s="245"/>
      <c r="AH38" s="244"/>
      <c r="AI38" s="246"/>
      <c r="AJ38" s="279"/>
      <c r="AK38" s="269"/>
      <c r="AL38" s="443" t="str">
        <f>IF(AK38="","",VLOOKUP(AK38,案件コード!$A$1:$B$31,2,FALSE()))</f>
        <v/>
      </c>
      <c r="AM38" s="443"/>
      <c r="AN38" s="443"/>
      <c r="AO38" s="102" t="str">
        <f t="shared" si="11"/>
        <v/>
      </c>
      <c r="AP38" s="245"/>
      <c r="AQ38" s="244"/>
      <c r="AR38" s="246"/>
      <c r="AS38" s="279"/>
      <c r="AT38" s="269"/>
      <c r="AU38" s="443" t="str">
        <f>IF(AT38="","",VLOOKUP(AT38,案件コード!$A$1:$B$31,2,FALSE()))</f>
        <v/>
      </c>
      <c r="AV38" s="443"/>
      <c r="AW38" s="443"/>
      <c r="AX38" s="102" t="str">
        <f t="shared" si="12"/>
        <v/>
      </c>
      <c r="AY38" s="245"/>
      <c r="AZ38" s="244"/>
      <c r="BA38" s="246"/>
      <c r="BB38" s="279"/>
      <c r="BC38" s="269"/>
      <c r="BD38" s="443" t="str">
        <f>IF(BC38="","",VLOOKUP(BC38,案件コード!$A$1:$B$31,2,FALSE()))</f>
        <v/>
      </c>
      <c r="BE38" s="443"/>
      <c r="BF38" s="443"/>
      <c r="BG38" s="102" t="str">
        <f t="shared" si="13"/>
        <v/>
      </c>
      <c r="BH38" s="245"/>
      <c r="BI38" s="244"/>
      <c r="BJ38" s="246"/>
      <c r="BK38" s="279"/>
    </row>
    <row r="39" spans="1:63">
      <c r="A39" s="269"/>
      <c r="B39" s="443" t="str">
        <f>IF(A39="","",VLOOKUP(A39,案件コード!$A$1:$B$31,2,FALSE()))</f>
        <v/>
      </c>
      <c r="C39" s="443"/>
      <c r="D39" s="443"/>
      <c r="E39" s="102" t="str">
        <f t="shared" si="7"/>
        <v/>
      </c>
      <c r="F39" s="245"/>
      <c r="G39" s="244"/>
      <c r="H39" s="246"/>
      <c r="I39" s="279"/>
      <c r="J39" s="269"/>
      <c r="K39" s="443" t="str">
        <f>IF(J39="","",VLOOKUP(J39,案件コード!$A$1:$B$31,2,FALSE()))</f>
        <v/>
      </c>
      <c r="L39" s="443"/>
      <c r="M39" s="443"/>
      <c r="N39" s="102" t="str">
        <f t="shared" si="8"/>
        <v/>
      </c>
      <c r="O39" s="245"/>
      <c r="P39" s="244"/>
      <c r="Q39" s="246"/>
      <c r="R39" s="279"/>
      <c r="S39" s="269"/>
      <c r="T39" s="443" t="str">
        <f>IF(S39="","",VLOOKUP(S39,案件コード!$A$1:$B$31,2,FALSE()))</f>
        <v/>
      </c>
      <c r="U39" s="443"/>
      <c r="V39" s="443"/>
      <c r="W39" s="102" t="str">
        <f t="shared" si="9"/>
        <v/>
      </c>
      <c r="X39" s="245"/>
      <c r="Y39" s="244"/>
      <c r="Z39" s="246"/>
      <c r="AA39" s="279"/>
      <c r="AB39" s="269"/>
      <c r="AC39" s="443" t="str">
        <f>IF(AB39="","",VLOOKUP(AB39,案件コード!$A$1:$B$31,2,FALSE()))</f>
        <v/>
      </c>
      <c r="AD39" s="443"/>
      <c r="AE39" s="443"/>
      <c r="AF39" s="102" t="str">
        <f t="shared" si="10"/>
        <v/>
      </c>
      <c r="AG39" s="245"/>
      <c r="AH39" s="244"/>
      <c r="AI39" s="246"/>
      <c r="AJ39" s="279"/>
      <c r="AK39" s="269"/>
      <c r="AL39" s="443" t="str">
        <f>IF(AK39="","",VLOOKUP(AK39,案件コード!$A$1:$B$31,2,FALSE()))</f>
        <v/>
      </c>
      <c r="AM39" s="443"/>
      <c r="AN39" s="443"/>
      <c r="AO39" s="102" t="str">
        <f t="shared" si="11"/>
        <v/>
      </c>
      <c r="AP39" s="245"/>
      <c r="AQ39" s="244"/>
      <c r="AR39" s="246"/>
      <c r="AS39" s="279"/>
      <c r="AT39" s="269"/>
      <c r="AU39" s="443" t="str">
        <f>IF(AT39="","",VLOOKUP(AT39,案件コード!$A$1:$B$31,2,FALSE()))</f>
        <v/>
      </c>
      <c r="AV39" s="443"/>
      <c r="AW39" s="443"/>
      <c r="AX39" s="102" t="str">
        <f t="shared" si="12"/>
        <v/>
      </c>
      <c r="AY39" s="245"/>
      <c r="AZ39" s="244"/>
      <c r="BA39" s="246"/>
      <c r="BB39" s="279"/>
      <c r="BC39" s="269"/>
      <c r="BD39" s="443" t="str">
        <f>IF(BC39="","",VLOOKUP(BC39,案件コード!$A$1:$B$31,2,FALSE()))</f>
        <v/>
      </c>
      <c r="BE39" s="443"/>
      <c r="BF39" s="443"/>
      <c r="BG39" s="102" t="str">
        <f t="shared" si="13"/>
        <v/>
      </c>
      <c r="BH39" s="245"/>
      <c r="BI39" s="244"/>
      <c r="BJ39" s="246"/>
      <c r="BK39" s="279"/>
    </row>
    <row r="40" spans="1:63">
      <c r="A40" s="269"/>
      <c r="B40" s="443" t="str">
        <f>IF(A40="","",VLOOKUP(A40,案件コード!$A$1:$B$31,2,FALSE()))</f>
        <v/>
      </c>
      <c r="C40" s="443"/>
      <c r="D40" s="443"/>
      <c r="E40" s="102" t="str">
        <f t="shared" si="7"/>
        <v/>
      </c>
      <c r="F40" s="245"/>
      <c r="G40" s="244"/>
      <c r="H40" s="246"/>
      <c r="I40" s="279"/>
      <c r="J40" s="269"/>
      <c r="K40" s="443" t="str">
        <f>IF(J40="","",VLOOKUP(J40,案件コード!$A$1:$B$31,2,FALSE()))</f>
        <v/>
      </c>
      <c r="L40" s="443"/>
      <c r="M40" s="443"/>
      <c r="N40" s="102" t="str">
        <f t="shared" si="8"/>
        <v/>
      </c>
      <c r="O40" s="245"/>
      <c r="P40" s="244"/>
      <c r="Q40" s="246"/>
      <c r="R40" s="279"/>
      <c r="S40" s="269"/>
      <c r="T40" s="443" t="str">
        <f>IF(S40="","",VLOOKUP(S40,案件コード!$A$1:$B$31,2,FALSE()))</f>
        <v/>
      </c>
      <c r="U40" s="443"/>
      <c r="V40" s="443"/>
      <c r="W40" s="102" t="str">
        <f t="shared" si="9"/>
        <v/>
      </c>
      <c r="X40" s="245"/>
      <c r="Y40" s="244"/>
      <c r="Z40" s="246"/>
      <c r="AA40" s="279"/>
      <c r="AB40" s="269"/>
      <c r="AC40" s="443" t="str">
        <f>IF(AB40="","",VLOOKUP(AB40,案件コード!$A$1:$B$31,2,FALSE()))</f>
        <v/>
      </c>
      <c r="AD40" s="443"/>
      <c r="AE40" s="443"/>
      <c r="AF40" s="102" t="str">
        <f t="shared" si="10"/>
        <v/>
      </c>
      <c r="AG40" s="245"/>
      <c r="AH40" s="244"/>
      <c r="AI40" s="246"/>
      <c r="AJ40" s="279"/>
      <c r="AK40" s="269"/>
      <c r="AL40" s="443" t="str">
        <f>IF(AK40="","",VLOOKUP(AK40,案件コード!$A$1:$B$31,2,FALSE()))</f>
        <v/>
      </c>
      <c r="AM40" s="443"/>
      <c r="AN40" s="443"/>
      <c r="AO40" s="102" t="str">
        <f t="shared" si="11"/>
        <v/>
      </c>
      <c r="AP40" s="245"/>
      <c r="AQ40" s="244"/>
      <c r="AR40" s="246"/>
      <c r="AS40" s="279"/>
      <c r="AT40" s="269"/>
      <c r="AU40" s="443" t="str">
        <f>IF(AT40="","",VLOOKUP(AT40,案件コード!$A$1:$B$31,2,FALSE()))</f>
        <v/>
      </c>
      <c r="AV40" s="443"/>
      <c r="AW40" s="443"/>
      <c r="AX40" s="102" t="str">
        <f t="shared" si="12"/>
        <v/>
      </c>
      <c r="AY40" s="245"/>
      <c r="AZ40" s="244"/>
      <c r="BA40" s="246"/>
      <c r="BB40" s="279"/>
      <c r="BC40" s="269"/>
      <c r="BD40" s="443" t="str">
        <f>IF(BC40="","",VLOOKUP(BC40,案件コード!$A$1:$B$31,2,FALSE()))</f>
        <v/>
      </c>
      <c r="BE40" s="443"/>
      <c r="BF40" s="443"/>
      <c r="BG40" s="102" t="str">
        <f t="shared" si="13"/>
        <v/>
      </c>
      <c r="BH40" s="245"/>
      <c r="BI40" s="244"/>
      <c r="BJ40" s="246"/>
      <c r="BK40" s="279"/>
    </row>
    <row r="41" spans="1:63">
      <c r="A41" s="269"/>
      <c r="B41" s="443" t="str">
        <f>IF(A41="","",VLOOKUP(A41,案件コード!$A$1:$B$31,2,FALSE()))</f>
        <v/>
      </c>
      <c r="C41" s="443"/>
      <c r="D41" s="443"/>
      <c r="E41" s="102" t="str">
        <f t="shared" si="7"/>
        <v/>
      </c>
      <c r="F41" s="245"/>
      <c r="G41" s="244"/>
      <c r="H41" s="246"/>
      <c r="I41" s="279"/>
      <c r="J41" s="269"/>
      <c r="K41" s="443" t="str">
        <f>IF(J41="","",VLOOKUP(J41,案件コード!$A$1:$B$31,2,FALSE()))</f>
        <v/>
      </c>
      <c r="L41" s="443"/>
      <c r="M41" s="443"/>
      <c r="N41" s="102" t="str">
        <f t="shared" si="8"/>
        <v/>
      </c>
      <c r="O41" s="245"/>
      <c r="P41" s="244"/>
      <c r="Q41" s="246"/>
      <c r="R41" s="279"/>
      <c r="S41" s="269"/>
      <c r="T41" s="443" t="str">
        <f>IF(S41="","",VLOOKUP(S41,案件コード!$A$1:$B$31,2,FALSE()))</f>
        <v/>
      </c>
      <c r="U41" s="443"/>
      <c r="V41" s="443"/>
      <c r="W41" s="102" t="str">
        <f t="shared" si="9"/>
        <v/>
      </c>
      <c r="X41" s="245"/>
      <c r="Y41" s="244"/>
      <c r="Z41" s="246"/>
      <c r="AA41" s="279"/>
      <c r="AB41" s="269"/>
      <c r="AC41" s="443" t="str">
        <f>IF(AB41="","",VLOOKUP(AB41,案件コード!$A$1:$B$31,2,FALSE()))</f>
        <v/>
      </c>
      <c r="AD41" s="443"/>
      <c r="AE41" s="443"/>
      <c r="AF41" s="102" t="str">
        <f t="shared" si="10"/>
        <v/>
      </c>
      <c r="AG41" s="245"/>
      <c r="AH41" s="244"/>
      <c r="AI41" s="246"/>
      <c r="AJ41" s="279"/>
      <c r="AK41" s="269"/>
      <c r="AL41" s="443" t="str">
        <f>IF(AK41="","",VLOOKUP(AK41,案件コード!$A$1:$B$31,2,FALSE()))</f>
        <v/>
      </c>
      <c r="AM41" s="443"/>
      <c r="AN41" s="443"/>
      <c r="AO41" s="102" t="str">
        <f t="shared" si="11"/>
        <v/>
      </c>
      <c r="AP41" s="245"/>
      <c r="AQ41" s="244"/>
      <c r="AR41" s="246"/>
      <c r="AS41" s="279"/>
      <c r="AT41" s="269"/>
      <c r="AU41" s="443" t="str">
        <f>IF(AT41="","",VLOOKUP(AT41,案件コード!$A$1:$B$31,2,FALSE()))</f>
        <v/>
      </c>
      <c r="AV41" s="443"/>
      <c r="AW41" s="443"/>
      <c r="AX41" s="102" t="str">
        <f t="shared" si="12"/>
        <v/>
      </c>
      <c r="AY41" s="245"/>
      <c r="AZ41" s="244"/>
      <c r="BA41" s="246"/>
      <c r="BB41" s="279"/>
      <c r="BC41" s="269"/>
      <c r="BD41" s="443" t="str">
        <f>IF(BC41="","",VLOOKUP(BC41,案件コード!$A$1:$B$31,2,FALSE()))</f>
        <v/>
      </c>
      <c r="BE41" s="443"/>
      <c r="BF41" s="443"/>
      <c r="BG41" s="102" t="str">
        <f t="shared" si="13"/>
        <v/>
      </c>
      <c r="BH41" s="245"/>
      <c r="BI41" s="244"/>
      <c r="BJ41" s="246"/>
      <c r="BK41" s="279"/>
    </row>
    <row r="42" spans="1:63">
      <c r="A42" s="269"/>
      <c r="B42" s="443" t="str">
        <f>IF(A42="","",VLOOKUP(A42,案件コード!$A$1:$B$31,2,FALSE()))</f>
        <v/>
      </c>
      <c r="C42" s="443"/>
      <c r="D42" s="443"/>
      <c r="E42" s="102" t="str">
        <f t="shared" si="7"/>
        <v/>
      </c>
      <c r="F42" s="245"/>
      <c r="G42" s="244"/>
      <c r="H42" s="246"/>
      <c r="I42" s="279"/>
      <c r="J42" s="269"/>
      <c r="K42" s="443" t="str">
        <f>IF(J42="","",VLOOKUP(J42,案件コード!$A$1:$B$31,2,FALSE()))</f>
        <v/>
      </c>
      <c r="L42" s="443"/>
      <c r="M42" s="443"/>
      <c r="N42" s="102" t="str">
        <f t="shared" si="8"/>
        <v/>
      </c>
      <c r="O42" s="245"/>
      <c r="P42" s="244"/>
      <c r="Q42" s="246"/>
      <c r="R42" s="279"/>
      <c r="S42" s="269"/>
      <c r="T42" s="443" t="str">
        <f>IF(S42="","",VLOOKUP(S42,案件コード!$A$1:$B$31,2,FALSE()))</f>
        <v/>
      </c>
      <c r="U42" s="443"/>
      <c r="V42" s="443"/>
      <c r="W42" s="102" t="str">
        <f t="shared" si="9"/>
        <v/>
      </c>
      <c r="X42" s="245"/>
      <c r="Y42" s="244"/>
      <c r="Z42" s="246"/>
      <c r="AA42" s="279"/>
      <c r="AB42" s="269"/>
      <c r="AC42" s="443" t="str">
        <f>IF(AB42="","",VLOOKUP(AB42,案件コード!$A$1:$B$31,2,FALSE()))</f>
        <v/>
      </c>
      <c r="AD42" s="443"/>
      <c r="AE42" s="443"/>
      <c r="AF42" s="102" t="str">
        <f t="shared" si="10"/>
        <v/>
      </c>
      <c r="AG42" s="245"/>
      <c r="AH42" s="244"/>
      <c r="AI42" s="246"/>
      <c r="AJ42" s="279"/>
      <c r="AK42" s="269"/>
      <c r="AL42" s="443" t="str">
        <f>IF(AK42="","",VLOOKUP(AK42,案件コード!$A$1:$B$31,2,FALSE()))</f>
        <v/>
      </c>
      <c r="AM42" s="443"/>
      <c r="AN42" s="443"/>
      <c r="AO42" s="102" t="str">
        <f t="shared" si="11"/>
        <v/>
      </c>
      <c r="AP42" s="245"/>
      <c r="AQ42" s="244"/>
      <c r="AR42" s="246"/>
      <c r="AS42" s="279"/>
      <c r="AT42" s="269"/>
      <c r="AU42" s="443" t="str">
        <f>IF(AT42="","",VLOOKUP(AT42,案件コード!$A$1:$B$31,2,FALSE()))</f>
        <v/>
      </c>
      <c r="AV42" s="443"/>
      <c r="AW42" s="443"/>
      <c r="AX42" s="102" t="str">
        <f t="shared" si="12"/>
        <v/>
      </c>
      <c r="AY42" s="245"/>
      <c r="AZ42" s="244"/>
      <c r="BA42" s="246"/>
      <c r="BB42" s="279"/>
      <c r="BC42" s="269"/>
      <c r="BD42" s="443" t="str">
        <f>IF(BC42="","",VLOOKUP(BC42,案件コード!$A$1:$B$31,2,FALSE()))</f>
        <v/>
      </c>
      <c r="BE42" s="443"/>
      <c r="BF42" s="443"/>
      <c r="BG42" s="102" t="str">
        <f t="shared" si="13"/>
        <v/>
      </c>
      <c r="BH42" s="245"/>
      <c r="BI42" s="244"/>
      <c r="BJ42" s="246"/>
      <c r="BK42" s="279"/>
    </row>
    <row r="43" spans="1:63" ht="18.600000000000001" thickBot="1">
      <c r="A43" s="272"/>
      <c r="B43" s="444" t="str">
        <f>IF(A43="","",VLOOKUP(A43,案件コード!$A$1:$B$31,2,FALSE()))</f>
        <v/>
      </c>
      <c r="C43" s="444"/>
      <c r="D43" s="444"/>
      <c r="E43" s="273" t="str">
        <f t="shared" si="7"/>
        <v/>
      </c>
      <c r="F43" s="274"/>
      <c r="G43" s="275"/>
      <c r="H43" s="276"/>
      <c r="I43" s="280"/>
      <c r="J43" s="272"/>
      <c r="K43" s="444" t="str">
        <f>IF(J43="","",VLOOKUP(J43,案件コード!$A$1:$B$31,2,FALSE()))</f>
        <v/>
      </c>
      <c r="L43" s="444"/>
      <c r="M43" s="444"/>
      <c r="N43" s="273" t="str">
        <f t="shared" si="8"/>
        <v/>
      </c>
      <c r="O43" s="274"/>
      <c r="P43" s="275"/>
      <c r="Q43" s="276"/>
      <c r="R43" s="280"/>
      <c r="S43" s="272"/>
      <c r="T43" s="444" t="str">
        <f>IF(S43="","",VLOOKUP(S43,案件コード!$A$1:$B$31,2,FALSE()))</f>
        <v/>
      </c>
      <c r="U43" s="444"/>
      <c r="V43" s="444"/>
      <c r="W43" s="273" t="str">
        <f t="shared" si="9"/>
        <v/>
      </c>
      <c r="X43" s="274"/>
      <c r="Y43" s="275"/>
      <c r="Z43" s="276"/>
      <c r="AA43" s="280"/>
      <c r="AB43" s="272"/>
      <c r="AC43" s="444" t="str">
        <f>IF(AB43="","",VLOOKUP(AB43,案件コード!$A$1:$B$31,2,FALSE()))</f>
        <v/>
      </c>
      <c r="AD43" s="444"/>
      <c r="AE43" s="444"/>
      <c r="AF43" s="273" t="str">
        <f t="shared" si="10"/>
        <v/>
      </c>
      <c r="AG43" s="274"/>
      <c r="AH43" s="275"/>
      <c r="AI43" s="276"/>
      <c r="AJ43" s="280"/>
      <c r="AK43" s="272"/>
      <c r="AL43" s="444" t="str">
        <f>IF(AK43="","",VLOOKUP(AK43,案件コード!$A$1:$B$31,2,FALSE()))</f>
        <v/>
      </c>
      <c r="AM43" s="444"/>
      <c r="AN43" s="444"/>
      <c r="AO43" s="273" t="str">
        <f t="shared" si="11"/>
        <v/>
      </c>
      <c r="AP43" s="274"/>
      <c r="AQ43" s="275"/>
      <c r="AR43" s="276"/>
      <c r="AS43" s="280"/>
      <c r="AT43" s="272"/>
      <c r="AU43" s="444" t="str">
        <f>IF(AT43="","",VLOOKUP(AT43,案件コード!$A$1:$B$31,2,FALSE()))</f>
        <v/>
      </c>
      <c r="AV43" s="444"/>
      <c r="AW43" s="444"/>
      <c r="AX43" s="273" t="str">
        <f t="shared" si="12"/>
        <v/>
      </c>
      <c r="AY43" s="274"/>
      <c r="AZ43" s="275"/>
      <c r="BA43" s="276"/>
      <c r="BB43" s="280"/>
      <c r="BC43" s="272"/>
      <c r="BD43" s="444" t="str">
        <f>IF(BC43="","",VLOOKUP(BC43,案件コード!$A$1:$B$31,2,FALSE()))</f>
        <v/>
      </c>
      <c r="BE43" s="444"/>
      <c r="BF43" s="444"/>
      <c r="BG43" s="273" t="str">
        <f t="shared" si="13"/>
        <v/>
      </c>
      <c r="BH43" s="274"/>
      <c r="BI43" s="275"/>
      <c r="BJ43" s="276"/>
      <c r="BK43" s="280"/>
    </row>
    <row r="44" spans="1:63" ht="18.600000000000001" thickBot="1">
      <c r="A44" s="334">
        <f>A26</f>
        <v>45665</v>
      </c>
      <c r="B44" s="333" t="s">
        <v>291</v>
      </c>
      <c r="C44" s="456"/>
      <c r="D44" s="457"/>
      <c r="E44" s="457"/>
      <c r="F44" s="457"/>
      <c r="G44" s="458"/>
      <c r="H44" s="412">
        <f>SUM(H29:H43)</f>
        <v>0</v>
      </c>
      <c r="I44" s="91" t="s">
        <v>371</v>
      </c>
      <c r="J44" s="334">
        <f>J26</f>
        <v>45666</v>
      </c>
      <c r="K44" s="333" t="s">
        <v>291</v>
      </c>
      <c r="L44" s="456"/>
      <c r="M44" s="457"/>
      <c r="N44" s="457"/>
      <c r="O44" s="457"/>
      <c r="P44" s="458"/>
      <c r="Q44" s="412">
        <f>SUM(Q29:Q43)</f>
        <v>0</v>
      </c>
      <c r="R44" s="91" t="s">
        <v>371</v>
      </c>
      <c r="S44" s="334">
        <f>S26</f>
        <v>45667</v>
      </c>
      <c r="T44" s="333" t="s">
        <v>291</v>
      </c>
      <c r="U44" s="456"/>
      <c r="V44" s="457"/>
      <c r="W44" s="457"/>
      <c r="X44" s="457"/>
      <c r="Y44" s="458"/>
      <c r="Z44" s="412">
        <f>SUM(Z29:Z43)</f>
        <v>0</v>
      </c>
      <c r="AA44" s="91" t="s">
        <v>371</v>
      </c>
      <c r="AB44" s="334">
        <f>AB26</f>
        <v>45668</v>
      </c>
      <c r="AC44" s="333" t="s">
        <v>291</v>
      </c>
      <c r="AD44" s="456"/>
      <c r="AE44" s="457"/>
      <c r="AF44" s="457"/>
      <c r="AG44" s="457"/>
      <c r="AH44" s="458"/>
      <c r="AI44" s="412">
        <f>SUM(AI29:AI43)</f>
        <v>0</v>
      </c>
      <c r="AJ44" s="91" t="s">
        <v>371</v>
      </c>
      <c r="AK44" s="334">
        <f>AK26</f>
        <v>45669</v>
      </c>
      <c r="AL44" s="333" t="s">
        <v>291</v>
      </c>
      <c r="AM44" s="456"/>
      <c r="AN44" s="457"/>
      <c r="AO44" s="457"/>
      <c r="AP44" s="457"/>
      <c r="AQ44" s="458"/>
      <c r="AR44" s="412">
        <f>SUM(AR29:AR43)</f>
        <v>0</v>
      </c>
      <c r="AS44" s="91" t="s">
        <v>371</v>
      </c>
      <c r="AT44" s="334">
        <f>AT26</f>
        <v>45670</v>
      </c>
      <c r="AU44" s="333" t="s">
        <v>291</v>
      </c>
      <c r="AV44" s="456"/>
      <c r="AW44" s="457"/>
      <c r="AX44" s="457"/>
      <c r="AY44" s="457"/>
      <c r="AZ44" s="458"/>
      <c r="BA44" s="412">
        <f>SUM(BA29:BA43)</f>
        <v>0</v>
      </c>
      <c r="BB44" s="91" t="s">
        <v>371</v>
      </c>
      <c r="BC44" s="334">
        <f>BC26</f>
        <v>45671</v>
      </c>
      <c r="BD44" s="333" t="s">
        <v>291</v>
      </c>
      <c r="BE44" s="456"/>
      <c r="BF44" s="457"/>
      <c r="BG44" s="457"/>
      <c r="BH44" s="457"/>
      <c r="BI44" s="458"/>
      <c r="BJ44" s="412">
        <f>SUM(BJ29:BJ43)</f>
        <v>0</v>
      </c>
      <c r="BK44" s="91" t="s">
        <v>371</v>
      </c>
    </row>
    <row r="45" spans="1:63">
      <c r="A45" s="448" t="s">
        <v>14</v>
      </c>
      <c r="B45" s="449"/>
      <c r="C45" s="450" t="s">
        <v>15</v>
      </c>
      <c r="D45" s="450"/>
      <c r="E45" s="450" t="s">
        <v>16</v>
      </c>
      <c r="F45" s="451"/>
      <c r="G45" s="37"/>
      <c r="H45" s="37"/>
      <c r="I45" s="37"/>
      <c r="J45" s="448" t="s">
        <v>14</v>
      </c>
      <c r="K45" s="449"/>
      <c r="L45" s="450" t="s">
        <v>15</v>
      </c>
      <c r="M45" s="450"/>
      <c r="N45" s="450" t="s">
        <v>16</v>
      </c>
      <c r="O45" s="451"/>
      <c r="P45" s="37"/>
      <c r="Q45" s="37"/>
      <c r="R45" s="37"/>
      <c r="S45" s="448" t="s">
        <v>14</v>
      </c>
      <c r="T45" s="449"/>
      <c r="U45" s="450" t="s">
        <v>15</v>
      </c>
      <c r="V45" s="450"/>
      <c r="W45" s="450" t="s">
        <v>16</v>
      </c>
      <c r="X45" s="451"/>
      <c r="Y45" s="37"/>
      <c r="Z45" s="37"/>
      <c r="AA45" s="37"/>
      <c r="AB45" s="448" t="s">
        <v>14</v>
      </c>
      <c r="AC45" s="449"/>
      <c r="AD45" s="450" t="s">
        <v>15</v>
      </c>
      <c r="AE45" s="450"/>
      <c r="AF45" s="450" t="s">
        <v>16</v>
      </c>
      <c r="AG45" s="451"/>
      <c r="AH45" s="37"/>
      <c r="AI45" s="37"/>
      <c r="AJ45" s="37"/>
      <c r="AK45" s="448" t="s">
        <v>14</v>
      </c>
      <c r="AL45" s="449"/>
      <c r="AM45" s="450" t="s">
        <v>15</v>
      </c>
      <c r="AN45" s="450"/>
      <c r="AO45" s="450" t="s">
        <v>16</v>
      </c>
      <c r="AP45" s="451"/>
      <c r="AQ45" s="37"/>
      <c r="AR45" s="37"/>
      <c r="AS45" s="37"/>
      <c r="AT45" s="448" t="s">
        <v>14</v>
      </c>
      <c r="AU45" s="449"/>
      <c r="AV45" s="450" t="s">
        <v>15</v>
      </c>
      <c r="AW45" s="450"/>
      <c r="AX45" s="450" t="s">
        <v>16</v>
      </c>
      <c r="AY45" s="451"/>
      <c r="AZ45" s="37"/>
      <c r="BA45" s="37"/>
      <c r="BB45" s="37"/>
      <c r="BC45" s="448" t="s">
        <v>14</v>
      </c>
      <c r="BD45" s="449"/>
      <c r="BE45" s="450" t="s">
        <v>15</v>
      </c>
      <c r="BF45" s="450"/>
      <c r="BG45" s="450" t="s">
        <v>16</v>
      </c>
      <c r="BH45" s="451"/>
      <c r="BI45" s="37"/>
      <c r="BJ45" s="37"/>
      <c r="BK45" s="37"/>
    </row>
    <row r="46" spans="1:63" ht="18.600000000000001" thickBot="1">
      <c r="A46" s="445">
        <f>BC26+1</f>
        <v>45672</v>
      </c>
      <c r="B46" s="446"/>
      <c r="C46" s="249"/>
      <c r="D46" s="249"/>
      <c r="E46" s="250" t="str">
        <f>IF(C46="","",D46-C46-H46)</f>
        <v/>
      </c>
      <c r="F46" s="251" t="str">
        <f>IF(AND(E46=""),"",SUM(E49:E63))</f>
        <v/>
      </c>
      <c r="G46" s="103" t="s">
        <v>17</v>
      </c>
      <c r="H46" s="247">
        <v>4.1666666666666699E-2</v>
      </c>
      <c r="I46" s="37"/>
      <c r="J46" s="445">
        <f>A46+1</f>
        <v>45673</v>
      </c>
      <c r="K46" s="446"/>
      <c r="L46" s="249"/>
      <c r="M46" s="249"/>
      <c r="N46" s="250" t="str">
        <f>IF(L46="","",M46-L46-Q46)</f>
        <v/>
      </c>
      <c r="O46" s="251" t="str">
        <f>IF(AND(N46=""),"",SUM(N49:N63))</f>
        <v/>
      </c>
      <c r="P46" s="103" t="s">
        <v>17</v>
      </c>
      <c r="Q46" s="247">
        <v>4.1666666666666699E-2</v>
      </c>
      <c r="R46" s="37"/>
      <c r="S46" s="445">
        <f>J46+1</f>
        <v>45674</v>
      </c>
      <c r="T46" s="446"/>
      <c r="U46" s="249"/>
      <c r="V46" s="249"/>
      <c r="W46" s="250" t="str">
        <f>IF(U46="","",V46-U46-Z46)</f>
        <v/>
      </c>
      <c r="X46" s="251" t="str">
        <f>IF(AND(W46=""),"",SUM(W49:W63))</f>
        <v/>
      </c>
      <c r="Y46" s="103" t="s">
        <v>17</v>
      </c>
      <c r="Z46" s="247">
        <v>4.1666666666666699E-2</v>
      </c>
      <c r="AA46" s="37"/>
      <c r="AB46" s="445">
        <f>S46+1</f>
        <v>45675</v>
      </c>
      <c r="AC46" s="446"/>
      <c r="AD46" s="249"/>
      <c r="AE46" s="249"/>
      <c r="AF46" s="250" t="str">
        <f>IF(AD46="","",AE46-AD46-AI46)</f>
        <v/>
      </c>
      <c r="AG46" s="251" t="str">
        <f>IF(AND(AF46=""),"",SUM(AF49:AF63))</f>
        <v/>
      </c>
      <c r="AH46" s="103" t="s">
        <v>17</v>
      </c>
      <c r="AI46" s="247">
        <v>4.1666666666666699E-2</v>
      </c>
      <c r="AJ46" s="37"/>
      <c r="AK46" s="445">
        <f>AB46+1</f>
        <v>45676</v>
      </c>
      <c r="AL46" s="446"/>
      <c r="AM46" s="249"/>
      <c r="AN46" s="249"/>
      <c r="AO46" s="250" t="str">
        <f>IF(AM46="","",AN46-AM46-AR46)</f>
        <v/>
      </c>
      <c r="AP46" s="251" t="str">
        <f>IF(AND(AO46=""),"",SUM(AO49:AO63))</f>
        <v/>
      </c>
      <c r="AQ46" s="103" t="s">
        <v>17</v>
      </c>
      <c r="AR46" s="247">
        <v>4.1666666666666699E-2</v>
      </c>
      <c r="AS46" s="37"/>
      <c r="AT46" s="445">
        <f>AK46+1</f>
        <v>45677</v>
      </c>
      <c r="AU46" s="446"/>
      <c r="AV46" s="249"/>
      <c r="AW46" s="249"/>
      <c r="AX46" s="250" t="str">
        <f>IF(AV46="","",AW46-AV46-BA46)</f>
        <v/>
      </c>
      <c r="AY46" s="251" t="str">
        <f>IF(AND(AX46=""),"",SUM(AX49:AX63))</f>
        <v/>
      </c>
      <c r="AZ46" s="103" t="s">
        <v>17</v>
      </c>
      <c r="BA46" s="247">
        <v>4.1666666666666699E-2</v>
      </c>
      <c r="BB46" s="37"/>
      <c r="BC46" s="445">
        <f>AT46+1</f>
        <v>45678</v>
      </c>
      <c r="BD46" s="446"/>
      <c r="BE46" s="249"/>
      <c r="BF46" s="249"/>
      <c r="BG46" s="250" t="str">
        <f>IF(BE46="","",BF46-BE46-BJ46)</f>
        <v/>
      </c>
      <c r="BH46" s="251" t="str">
        <f>IF(AND(BG46=""),"",SUM(BG49:BG63))</f>
        <v/>
      </c>
      <c r="BI46" s="103" t="s">
        <v>17</v>
      </c>
      <c r="BJ46" s="247">
        <v>4.1666666666666699E-2</v>
      </c>
      <c r="BK46" s="37"/>
    </row>
    <row r="47" spans="1:63" ht="18.600000000000001" thickBot="1">
      <c r="A47" s="37" t="s">
        <v>36</v>
      </c>
      <c r="B47" s="104"/>
      <c r="C47" s="104"/>
      <c r="D47" s="104"/>
      <c r="E47" s="105"/>
      <c r="F47" s="106"/>
      <c r="G47" s="106"/>
      <c r="H47" s="413">
        <f>IF(COUNT(H49:H63)=0,0,COUNT(H49:H63))</f>
        <v>0</v>
      </c>
      <c r="I47" s="411" t="s">
        <v>366</v>
      </c>
      <c r="J47" s="37" t="s">
        <v>36</v>
      </c>
      <c r="K47" s="104"/>
      <c r="L47" s="104"/>
      <c r="M47" s="104"/>
      <c r="N47" s="105"/>
      <c r="O47" s="106"/>
      <c r="P47" s="106"/>
      <c r="Q47" s="413">
        <f>IF(COUNT(Q49:Q63)=0,0,COUNT(Q49:Q63))</f>
        <v>0</v>
      </c>
      <c r="R47" s="411" t="s">
        <v>366</v>
      </c>
      <c r="S47" s="37" t="s">
        <v>36</v>
      </c>
      <c r="T47" s="104"/>
      <c r="U47" s="104"/>
      <c r="V47" s="104"/>
      <c r="W47" s="105"/>
      <c r="X47" s="106"/>
      <c r="Y47" s="106"/>
      <c r="Z47" s="413">
        <f>IF(COUNT(Z49:Z63)=0,0,COUNT(Z49:Z63))</f>
        <v>0</v>
      </c>
      <c r="AA47" s="411" t="s">
        <v>366</v>
      </c>
      <c r="AB47" s="37" t="s">
        <v>36</v>
      </c>
      <c r="AC47" s="104"/>
      <c r="AD47" s="104"/>
      <c r="AE47" s="104"/>
      <c r="AF47" s="105"/>
      <c r="AG47" s="106"/>
      <c r="AH47" s="106"/>
      <c r="AI47" s="413">
        <f>IF(COUNT(AI49:AI63)=0,0,COUNT(AI49:AI63))</f>
        <v>0</v>
      </c>
      <c r="AJ47" s="411" t="s">
        <v>366</v>
      </c>
      <c r="AK47" s="37" t="s">
        <v>36</v>
      </c>
      <c r="AL47" s="104"/>
      <c r="AM47" s="104"/>
      <c r="AN47" s="104"/>
      <c r="AO47" s="105"/>
      <c r="AP47" s="106"/>
      <c r="AQ47" s="106"/>
      <c r="AR47" s="413">
        <f>IF(COUNT(AR49:AR63)=0,0,COUNT(AR49:AR63))</f>
        <v>0</v>
      </c>
      <c r="AS47" s="411" t="s">
        <v>366</v>
      </c>
      <c r="AT47" s="37" t="s">
        <v>36</v>
      </c>
      <c r="AU47" s="104"/>
      <c r="AV47" s="104"/>
      <c r="AW47" s="104"/>
      <c r="AX47" s="105"/>
      <c r="AY47" s="106"/>
      <c r="AZ47" s="106"/>
      <c r="BA47" s="413">
        <f>IF(COUNT(BA49:BA63)=0,0,COUNT(BA49:BA63))</f>
        <v>0</v>
      </c>
      <c r="BB47" s="411" t="s">
        <v>366</v>
      </c>
      <c r="BC47" s="37" t="s">
        <v>36</v>
      </c>
      <c r="BD47" s="104"/>
      <c r="BE47" s="104"/>
      <c r="BF47" s="104"/>
      <c r="BG47" s="105"/>
      <c r="BH47" s="106"/>
      <c r="BI47" s="106"/>
      <c r="BJ47" s="413">
        <f>IF(COUNT(BJ49:BJ63)=0,0,COUNT(BJ49:BJ63))</f>
        <v>0</v>
      </c>
      <c r="BK47" s="411" t="s">
        <v>366</v>
      </c>
    </row>
    <row r="48" spans="1:63">
      <c r="A48" s="265" t="s">
        <v>18</v>
      </c>
      <c r="B48" s="447" t="s">
        <v>19</v>
      </c>
      <c r="C48" s="447"/>
      <c r="D48" s="447"/>
      <c r="E48" s="266" t="s">
        <v>20</v>
      </c>
      <c r="F48" s="266" t="s">
        <v>0</v>
      </c>
      <c r="G48" s="266" t="s">
        <v>37</v>
      </c>
      <c r="H48" s="267" t="s">
        <v>21</v>
      </c>
      <c r="I48" s="268" t="s">
        <v>22</v>
      </c>
      <c r="J48" s="265" t="s">
        <v>18</v>
      </c>
      <c r="K48" s="447" t="s">
        <v>19</v>
      </c>
      <c r="L48" s="447"/>
      <c r="M48" s="447"/>
      <c r="N48" s="266" t="s">
        <v>20</v>
      </c>
      <c r="O48" s="266" t="s">
        <v>0</v>
      </c>
      <c r="P48" s="266" t="s">
        <v>37</v>
      </c>
      <c r="Q48" s="267" t="s">
        <v>21</v>
      </c>
      <c r="R48" s="268" t="s">
        <v>22</v>
      </c>
      <c r="S48" s="265" t="s">
        <v>18</v>
      </c>
      <c r="T48" s="447" t="s">
        <v>19</v>
      </c>
      <c r="U48" s="447"/>
      <c r="V48" s="447"/>
      <c r="W48" s="266" t="s">
        <v>20</v>
      </c>
      <c r="X48" s="266" t="s">
        <v>0</v>
      </c>
      <c r="Y48" s="266" t="s">
        <v>37</v>
      </c>
      <c r="Z48" s="267" t="s">
        <v>21</v>
      </c>
      <c r="AA48" s="268" t="s">
        <v>22</v>
      </c>
      <c r="AB48" s="265" t="s">
        <v>18</v>
      </c>
      <c r="AC48" s="447" t="s">
        <v>19</v>
      </c>
      <c r="AD48" s="447"/>
      <c r="AE48" s="447"/>
      <c r="AF48" s="266" t="s">
        <v>20</v>
      </c>
      <c r="AG48" s="266" t="s">
        <v>0</v>
      </c>
      <c r="AH48" s="266" t="s">
        <v>37</v>
      </c>
      <c r="AI48" s="267" t="s">
        <v>21</v>
      </c>
      <c r="AJ48" s="268" t="s">
        <v>22</v>
      </c>
      <c r="AK48" s="265" t="s">
        <v>18</v>
      </c>
      <c r="AL48" s="447" t="s">
        <v>19</v>
      </c>
      <c r="AM48" s="447"/>
      <c r="AN48" s="447"/>
      <c r="AO48" s="266" t="s">
        <v>20</v>
      </c>
      <c r="AP48" s="266" t="s">
        <v>0</v>
      </c>
      <c r="AQ48" s="266" t="s">
        <v>37</v>
      </c>
      <c r="AR48" s="267" t="s">
        <v>21</v>
      </c>
      <c r="AS48" s="268" t="s">
        <v>22</v>
      </c>
      <c r="AT48" s="265" t="s">
        <v>18</v>
      </c>
      <c r="AU48" s="447" t="s">
        <v>19</v>
      </c>
      <c r="AV48" s="447"/>
      <c r="AW48" s="447"/>
      <c r="AX48" s="266" t="s">
        <v>20</v>
      </c>
      <c r="AY48" s="266" t="s">
        <v>0</v>
      </c>
      <c r="AZ48" s="266" t="s">
        <v>37</v>
      </c>
      <c r="BA48" s="267" t="s">
        <v>21</v>
      </c>
      <c r="BB48" s="268" t="s">
        <v>22</v>
      </c>
      <c r="BC48" s="265" t="s">
        <v>18</v>
      </c>
      <c r="BD48" s="447" t="s">
        <v>19</v>
      </c>
      <c r="BE48" s="447"/>
      <c r="BF48" s="447"/>
      <c r="BG48" s="266" t="s">
        <v>20</v>
      </c>
      <c r="BH48" s="266" t="s">
        <v>0</v>
      </c>
      <c r="BI48" s="266" t="s">
        <v>37</v>
      </c>
      <c r="BJ48" s="267" t="s">
        <v>21</v>
      </c>
      <c r="BK48" s="268" t="s">
        <v>22</v>
      </c>
    </row>
    <row r="49" spans="1:63">
      <c r="A49" s="269"/>
      <c r="B49" s="443" t="str">
        <f>IF(A49="","",VLOOKUP(A49,案件コード!$A$1:$B$31,2,FALSE()))</f>
        <v/>
      </c>
      <c r="C49" s="443"/>
      <c r="D49" s="443"/>
      <c r="E49" s="102" t="str">
        <f t="shared" ref="E49:E63" si="14">IF(AND(F49="",G49=""),"",SUM(F49:G49))</f>
        <v/>
      </c>
      <c r="F49" s="245"/>
      <c r="G49" s="244"/>
      <c r="H49" s="246"/>
      <c r="I49" s="278"/>
      <c r="J49" s="269"/>
      <c r="K49" s="443" t="str">
        <f>IF(J49="","",VLOOKUP(J49,案件コード!$A$1:$B$31,2,FALSE()))</f>
        <v/>
      </c>
      <c r="L49" s="443"/>
      <c r="M49" s="443"/>
      <c r="N49" s="102" t="str">
        <f t="shared" ref="N49:N63" si="15">IF(AND(O49="",P49=""),"",SUM(O49:P49))</f>
        <v/>
      </c>
      <c r="O49" s="245"/>
      <c r="P49" s="244"/>
      <c r="Q49" s="246"/>
      <c r="R49" s="278"/>
      <c r="S49" s="269"/>
      <c r="T49" s="443" t="str">
        <f>IF(S49="","",VLOOKUP(S49,案件コード!$A$1:$B$31,2,FALSE()))</f>
        <v/>
      </c>
      <c r="U49" s="443"/>
      <c r="V49" s="443"/>
      <c r="W49" s="102" t="str">
        <f t="shared" ref="W49:W63" si="16">IF(AND(X49="",Y49=""),"",SUM(X49:Y49))</f>
        <v/>
      </c>
      <c r="X49" s="245"/>
      <c r="Y49" s="244"/>
      <c r="Z49" s="246"/>
      <c r="AA49" s="278"/>
      <c r="AB49" s="269"/>
      <c r="AC49" s="443" t="str">
        <f>IF(AB49="","",VLOOKUP(AB49,案件コード!$A$1:$B$31,2,FALSE()))</f>
        <v/>
      </c>
      <c r="AD49" s="443"/>
      <c r="AE49" s="443"/>
      <c r="AF49" s="102" t="str">
        <f t="shared" ref="AF49:AF63" si="17">IF(AND(AG49="",AH49=""),"",SUM(AG49:AH49))</f>
        <v/>
      </c>
      <c r="AG49" s="245"/>
      <c r="AH49" s="244"/>
      <c r="AI49" s="246"/>
      <c r="AJ49" s="278"/>
      <c r="AK49" s="269"/>
      <c r="AL49" s="443" t="str">
        <f>IF(AK49="","",VLOOKUP(AK49,案件コード!$A$1:$B$31,2,FALSE()))</f>
        <v/>
      </c>
      <c r="AM49" s="443"/>
      <c r="AN49" s="443"/>
      <c r="AO49" s="102" t="str">
        <f t="shared" ref="AO49:AO63" si="18">IF(AND(AP49="",AQ49=""),"",SUM(AP49:AQ49))</f>
        <v/>
      </c>
      <c r="AP49" s="245"/>
      <c r="AQ49" s="244"/>
      <c r="AR49" s="246"/>
      <c r="AS49" s="278"/>
      <c r="AT49" s="269"/>
      <c r="AU49" s="443" t="str">
        <f>IF(AT49="","",VLOOKUP(AT49,案件コード!$A$1:$B$31,2,FALSE()))</f>
        <v/>
      </c>
      <c r="AV49" s="443"/>
      <c r="AW49" s="443"/>
      <c r="AX49" s="102" t="str">
        <f t="shared" ref="AX49:AX63" si="19">IF(AND(AY49="",AZ49=""),"",SUM(AY49:AZ49))</f>
        <v/>
      </c>
      <c r="AY49" s="245"/>
      <c r="AZ49" s="244"/>
      <c r="BA49" s="246"/>
      <c r="BB49" s="278"/>
      <c r="BC49" s="269"/>
      <c r="BD49" s="443" t="str">
        <f>IF(BC49="","",VLOOKUP(BC49,案件コード!$A$1:$B$31,2,FALSE()))</f>
        <v/>
      </c>
      <c r="BE49" s="443"/>
      <c r="BF49" s="443"/>
      <c r="BG49" s="102" t="str">
        <f t="shared" ref="BG49:BG63" si="20">IF(AND(BH49="",BI49=""),"",SUM(BH49:BI49))</f>
        <v/>
      </c>
      <c r="BH49" s="245"/>
      <c r="BI49" s="244"/>
      <c r="BJ49" s="246"/>
      <c r="BK49" s="278"/>
    </row>
    <row r="50" spans="1:63">
      <c r="A50" s="269"/>
      <c r="B50" s="443" t="str">
        <f>IF(A50="","",VLOOKUP(A50,案件コード!$A$1:$B$31,2,FALSE()))</f>
        <v/>
      </c>
      <c r="C50" s="443"/>
      <c r="D50" s="443"/>
      <c r="E50" s="102" t="str">
        <f t="shared" si="14"/>
        <v/>
      </c>
      <c r="F50" s="245"/>
      <c r="G50" s="244"/>
      <c r="H50" s="246"/>
      <c r="I50" s="279"/>
      <c r="J50" s="269"/>
      <c r="K50" s="443" t="str">
        <f>IF(J50="","",VLOOKUP(J50,案件コード!$A$1:$B$31,2,FALSE()))</f>
        <v/>
      </c>
      <c r="L50" s="443"/>
      <c r="M50" s="443"/>
      <c r="N50" s="102" t="str">
        <f t="shared" si="15"/>
        <v/>
      </c>
      <c r="O50" s="245"/>
      <c r="P50" s="244"/>
      <c r="Q50" s="246"/>
      <c r="R50" s="279"/>
      <c r="S50" s="269"/>
      <c r="T50" s="443" t="str">
        <f>IF(S50="","",VLOOKUP(S50,案件コード!$A$1:$B$31,2,FALSE()))</f>
        <v/>
      </c>
      <c r="U50" s="443"/>
      <c r="V50" s="443"/>
      <c r="W50" s="102" t="str">
        <f t="shared" si="16"/>
        <v/>
      </c>
      <c r="X50" s="245"/>
      <c r="Y50" s="244"/>
      <c r="Z50" s="246"/>
      <c r="AA50" s="279"/>
      <c r="AB50" s="269"/>
      <c r="AC50" s="443" t="str">
        <f>IF(AB50="","",VLOOKUP(AB50,案件コード!$A$1:$B$31,2,FALSE()))</f>
        <v/>
      </c>
      <c r="AD50" s="443"/>
      <c r="AE50" s="443"/>
      <c r="AF50" s="102" t="str">
        <f t="shared" si="17"/>
        <v/>
      </c>
      <c r="AG50" s="245"/>
      <c r="AH50" s="244"/>
      <c r="AI50" s="246"/>
      <c r="AJ50" s="279"/>
      <c r="AK50" s="269"/>
      <c r="AL50" s="443" t="str">
        <f>IF(AK50="","",VLOOKUP(AK50,案件コード!$A$1:$B$31,2,FALSE()))</f>
        <v/>
      </c>
      <c r="AM50" s="443"/>
      <c r="AN50" s="443"/>
      <c r="AO50" s="102" t="str">
        <f t="shared" si="18"/>
        <v/>
      </c>
      <c r="AP50" s="245"/>
      <c r="AQ50" s="244"/>
      <c r="AR50" s="246"/>
      <c r="AS50" s="279"/>
      <c r="AT50" s="269"/>
      <c r="AU50" s="443" t="str">
        <f>IF(AT50="","",VLOOKUP(AT50,案件コード!$A$1:$B$31,2,FALSE()))</f>
        <v/>
      </c>
      <c r="AV50" s="443"/>
      <c r="AW50" s="443"/>
      <c r="AX50" s="102" t="str">
        <f t="shared" si="19"/>
        <v/>
      </c>
      <c r="AY50" s="245"/>
      <c r="AZ50" s="244"/>
      <c r="BA50" s="246"/>
      <c r="BB50" s="279"/>
      <c r="BC50" s="269"/>
      <c r="BD50" s="443" t="str">
        <f>IF(BC50="","",VLOOKUP(BC50,案件コード!$A$1:$B$31,2,FALSE()))</f>
        <v/>
      </c>
      <c r="BE50" s="443"/>
      <c r="BF50" s="443"/>
      <c r="BG50" s="102" t="str">
        <f t="shared" si="20"/>
        <v/>
      </c>
      <c r="BH50" s="245"/>
      <c r="BI50" s="244"/>
      <c r="BJ50" s="246"/>
      <c r="BK50" s="279"/>
    </row>
    <row r="51" spans="1:63">
      <c r="A51" s="269"/>
      <c r="B51" s="443" t="str">
        <f>IF(A51="","",VLOOKUP(A51,案件コード!$A$1:$B$31,2,FALSE()))</f>
        <v/>
      </c>
      <c r="C51" s="443"/>
      <c r="D51" s="443"/>
      <c r="E51" s="102" t="str">
        <f t="shared" si="14"/>
        <v/>
      </c>
      <c r="F51" s="245"/>
      <c r="G51" s="244"/>
      <c r="H51" s="246"/>
      <c r="I51" s="279"/>
      <c r="J51" s="269"/>
      <c r="K51" s="443" t="str">
        <f>IF(J51="","",VLOOKUP(J51,案件コード!$A$1:$B$31,2,FALSE()))</f>
        <v/>
      </c>
      <c r="L51" s="443"/>
      <c r="M51" s="443"/>
      <c r="N51" s="102" t="str">
        <f t="shared" si="15"/>
        <v/>
      </c>
      <c r="O51" s="245"/>
      <c r="P51" s="244"/>
      <c r="Q51" s="246"/>
      <c r="R51" s="279"/>
      <c r="S51" s="269"/>
      <c r="T51" s="443" t="str">
        <f>IF(S51="","",VLOOKUP(S51,案件コード!$A$1:$B$31,2,FALSE()))</f>
        <v/>
      </c>
      <c r="U51" s="443"/>
      <c r="V51" s="443"/>
      <c r="W51" s="102" t="str">
        <f t="shared" si="16"/>
        <v/>
      </c>
      <c r="X51" s="245"/>
      <c r="Y51" s="244"/>
      <c r="Z51" s="246"/>
      <c r="AA51" s="279"/>
      <c r="AB51" s="269"/>
      <c r="AC51" s="443" t="str">
        <f>IF(AB51="","",VLOOKUP(AB51,案件コード!$A$1:$B$31,2,FALSE()))</f>
        <v/>
      </c>
      <c r="AD51" s="443"/>
      <c r="AE51" s="443"/>
      <c r="AF51" s="102" t="str">
        <f t="shared" si="17"/>
        <v/>
      </c>
      <c r="AG51" s="245"/>
      <c r="AH51" s="244"/>
      <c r="AI51" s="246"/>
      <c r="AJ51" s="279"/>
      <c r="AK51" s="269"/>
      <c r="AL51" s="443" t="str">
        <f>IF(AK51="","",VLOOKUP(AK51,案件コード!$A$1:$B$31,2,FALSE()))</f>
        <v/>
      </c>
      <c r="AM51" s="443"/>
      <c r="AN51" s="443"/>
      <c r="AO51" s="102" t="str">
        <f t="shared" si="18"/>
        <v/>
      </c>
      <c r="AP51" s="245"/>
      <c r="AQ51" s="244"/>
      <c r="AR51" s="246"/>
      <c r="AS51" s="279"/>
      <c r="AT51" s="269"/>
      <c r="AU51" s="443" t="str">
        <f>IF(AT51="","",VLOOKUP(AT51,案件コード!$A$1:$B$31,2,FALSE()))</f>
        <v/>
      </c>
      <c r="AV51" s="443"/>
      <c r="AW51" s="443"/>
      <c r="AX51" s="102" t="str">
        <f t="shared" si="19"/>
        <v/>
      </c>
      <c r="AY51" s="245"/>
      <c r="AZ51" s="244"/>
      <c r="BA51" s="246"/>
      <c r="BB51" s="279"/>
      <c r="BC51" s="269"/>
      <c r="BD51" s="443" t="str">
        <f>IF(BC51="","",VLOOKUP(BC51,案件コード!$A$1:$B$31,2,FALSE()))</f>
        <v/>
      </c>
      <c r="BE51" s="443"/>
      <c r="BF51" s="443"/>
      <c r="BG51" s="102" t="str">
        <f t="shared" si="20"/>
        <v/>
      </c>
      <c r="BH51" s="245"/>
      <c r="BI51" s="244"/>
      <c r="BJ51" s="246"/>
      <c r="BK51" s="279"/>
    </row>
    <row r="52" spans="1:63">
      <c r="A52" s="269"/>
      <c r="B52" s="443" t="str">
        <f>IF(A52="","",VLOOKUP(A52,案件コード!$A$1:$B$31,2,FALSE()))</f>
        <v/>
      </c>
      <c r="C52" s="443"/>
      <c r="D52" s="443"/>
      <c r="E52" s="102" t="str">
        <f t="shared" si="14"/>
        <v/>
      </c>
      <c r="F52" s="245"/>
      <c r="G52" s="244"/>
      <c r="H52" s="246"/>
      <c r="I52" s="279"/>
      <c r="J52" s="269"/>
      <c r="K52" s="443" t="str">
        <f>IF(J52="","",VLOOKUP(J52,案件コード!$A$1:$B$31,2,FALSE()))</f>
        <v/>
      </c>
      <c r="L52" s="443"/>
      <c r="M52" s="443"/>
      <c r="N52" s="102" t="str">
        <f t="shared" si="15"/>
        <v/>
      </c>
      <c r="O52" s="245"/>
      <c r="P52" s="244"/>
      <c r="Q52" s="246"/>
      <c r="R52" s="279"/>
      <c r="S52" s="269"/>
      <c r="T52" s="443" t="str">
        <f>IF(S52="","",VLOOKUP(S52,案件コード!$A$1:$B$31,2,FALSE()))</f>
        <v/>
      </c>
      <c r="U52" s="443"/>
      <c r="V52" s="443"/>
      <c r="W52" s="102" t="str">
        <f t="shared" si="16"/>
        <v/>
      </c>
      <c r="X52" s="245"/>
      <c r="Y52" s="244"/>
      <c r="Z52" s="246"/>
      <c r="AA52" s="279"/>
      <c r="AB52" s="269"/>
      <c r="AC52" s="443" t="str">
        <f>IF(AB52="","",VLOOKUP(AB52,案件コード!$A$1:$B$31,2,FALSE()))</f>
        <v/>
      </c>
      <c r="AD52" s="443"/>
      <c r="AE52" s="443"/>
      <c r="AF52" s="102" t="str">
        <f t="shared" si="17"/>
        <v/>
      </c>
      <c r="AG52" s="245"/>
      <c r="AH52" s="244"/>
      <c r="AI52" s="246"/>
      <c r="AJ52" s="279"/>
      <c r="AK52" s="269"/>
      <c r="AL52" s="443" t="str">
        <f>IF(AK52="","",VLOOKUP(AK52,案件コード!$A$1:$B$31,2,FALSE()))</f>
        <v/>
      </c>
      <c r="AM52" s="443"/>
      <c r="AN52" s="443"/>
      <c r="AO52" s="102" t="str">
        <f t="shared" si="18"/>
        <v/>
      </c>
      <c r="AP52" s="245"/>
      <c r="AQ52" s="244"/>
      <c r="AR52" s="246"/>
      <c r="AS52" s="279"/>
      <c r="AT52" s="269"/>
      <c r="AU52" s="443" t="str">
        <f>IF(AT52="","",VLOOKUP(AT52,案件コード!$A$1:$B$31,2,FALSE()))</f>
        <v/>
      </c>
      <c r="AV52" s="443"/>
      <c r="AW52" s="443"/>
      <c r="AX52" s="102" t="str">
        <f t="shared" si="19"/>
        <v/>
      </c>
      <c r="AY52" s="245"/>
      <c r="AZ52" s="244"/>
      <c r="BA52" s="246"/>
      <c r="BB52" s="279"/>
      <c r="BC52" s="269"/>
      <c r="BD52" s="443" t="str">
        <f>IF(BC52="","",VLOOKUP(BC52,案件コード!$A$1:$B$31,2,FALSE()))</f>
        <v/>
      </c>
      <c r="BE52" s="443"/>
      <c r="BF52" s="443"/>
      <c r="BG52" s="102" t="str">
        <f t="shared" si="20"/>
        <v/>
      </c>
      <c r="BH52" s="245"/>
      <c r="BI52" s="244"/>
      <c r="BJ52" s="246"/>
      <c r="BK52" s="279"/>
    </row>
    <row r="53" spans="1:63">
      <c r="A53" s="269"/>
      <c r="B53" s="443" t="str">
        <f>IF(A53="","",VLOOKUP(A53,案件コード!$A$1:$B$31,2,FALSE()))</f>
        <v/>
      </c>
      <c r="C53" s="443"/>
      <c r="D53" s="443"/>
      <c r="E53" s="102" t="str">
        <f t="shared" si="14"/>
        <v/>
      </c>
      <c r="F53" s="245"/>
      <c r="G53" s="244"/>
      <c r="H53" s="246"/>
      <c r="I53" s="279"/>
      <c r="J53" s="269"/>
      <c r="K53" s="443" t="str">
        <f>IF(J53="","",VLOOKUP(J53,案件コード!$A$1:$B$31,2,FALSE()))</f>
        <v/>
      </c>
      <c r="L53" s="443"/>
      <c r="M53" s="443"/>
      <c r="N53" s="102" t="str">
        <f t="shared" si="15"/>
        <v/>
      </c>
      <c r="O53" s="245"/>
      <c r="P53" s="244"/>
      <c r="Q53" s="246"/>
      <c r="R53" s="279"/>
      <c r="S53" s="269"/>
      <c r="T53" s="443" t="str">
        <f>IF(S53="","",VLOOKUP(S53,案件コード!$A$1:$B$31,2,FALSE()))</f>
        <v/>
      </c>
      <c r="U53" s="443"/>
      <c r="V53" s="443"/>
      <c r="W53" s="102" t="str">
        <f t="shared" si="16"/>
        <v/>
      </c>
      <c r="X53" s="245"/>
      <c r="Y53" s="244"/>
      <c r="Z53" s="246"/>
      <c r="AA53" s="279"/>
      <c r="AB53" s="269"/>
      <c r="AC53" s="443" t="str">
        <f>IF(AB53="","",VLOOKUP(AB53,案件コード!$A$1:$B$31,2,FALSE()))</f>
        <v/>
      </c>
      <c r="AD53" s="443"/>
      <c r="AE53" s="443"/>
      <c r="AF53" s="102" t="str">
        <f t="shared" si="17"/>
        <v/>
      </c>
      <c r="AG53" s="245"/>
      <c r="AH53" s="244"/>
      <c r="AI53" s="246"/>
      <c r="AJ53" s="279"/>
      <c r="AK53" s="269"/>
      <c r="AL53" s="443" t="str">
        <f>IF(AK53="","",VLOOKUP(AK53,案件コード!$A$1:$B$31,2,FALSE()))</f>
        <v/>
      </c>
      <c r="AM53" s="443"/>
      <c r="AN53" s="443"/>
      <c r="AO53" s="102" t="str">
        <f t="shared" si="18"/>
        <v/>
      </c>
      <c r="AP53" s="245"/>
      <c r="AQ53" s="244"/>
      <c r="AR53" s="246"/>
      <c r="AS53" s="279"/>
      <c r="AT53" s="269"/>
      <c r="AU53" s="443" t="str">
        <f>IF(AT53="","",VLOOKUP(AT53,案件コード!$A$1:$B$31,2,FALSE()))</f>
        <v/>
      </c>
      <c r="AV53" s="443"/>
      <c r="AW53" s="443"/>
      <c r="AX53" s="102" t="str">
        <f t="shared" si="19"/>
        <v/>
      </c>
      <c r="AY53" s="245"/>
      <c r="AZ53" s="244"/>
      <c r="BA53" s="246"/>
      <c r="BB53" s="279"/>
      <c r="BC53" s="269"/>
      <c r="BD53" s="443" t="str">
        <f>IF(BC53="","",VLOOKUP(BC53,案件コード!$A$1:$B$31,2,FALSE()))</f>
        <v/>
      </c>
      <c r="BE53" s="443"/>
      <c r="BF53" s="443"/>
      <c r="BG53" s="102" t="str">
        <f t="shared" si="20"/>
        <v/>
      </c>
      <c r="BH53" s="245"/>
      <c r="BI53" s="244"/>
      <c r="BJ53" s="246"/>
      <c r="BK53" s="279"/>
    </row>
    <row r="54" spans="1:63">
      <c r="A54" s="269"/>
      <c r="B54" s="443" t="str">
        <f>IF(A54="","",VLOOKUP(A54,案件コード!$A$1:$B$31,2,FALSE()))</f>
        <v/>
      </c>
      <c r="C54" s="443"/>
      <c r="D54" s="443"/>
      <c r="E54" s="102" t="str">
        <f t="shared" si="14"/>
        <v/>
      </c>
      <c r="F54" s="245"/>
      <c r="G54" s="244"/>
      <c r="H54" s="246"/>
      <c r="I54" s="279"/>
      <c r="J54" s="269"/>
      <c r="K54" s="443" t="str">
        <f>IF(J54="","",VLOOKUP(J54,案件コード!$A$1:$B$31,2,FALSE()))</f>
        <v/>
      </c>
      <c r="L54" s="443"/>
      <c r="M54" s="443"/>
      <c r="N54" s="102" t="str">
        <f t="shared" si="15"/>
        <v/>
      </c>
      <c r="O54" s="245"/>
      <c r="P54" s="244"/>
      <c r="Q54" s="246"/>
      <c r="R54" s="279"/>
      <c r="S54" s="269"/>
      <c r="T54" s="443" t="str">
        <f>IF(S54="","",VLOOKUP(S54,案件コード!$A$1:$B$31,2,FALSE()))</f>
        <v/>
      </c>
      <c r="U54" s="443"/>
      <c r="V54" s="443"/>
      <c r="W54" s="102" t="str">
        <f t="shared" si="16"/>
        <v/>
      </c>
      <c r="X54" s="245"/>
      <c r="Y54" s="244"/>
      <c r="Z54" s="246"/>
      <c r="AA54" s="279"/>
      <c r="AB54" s="269"/>
      <c r="AC54" s="443" t="str">
        <f>IF(AB54="","",VLOOKUP(AB54,案件コード!$A$1:$B$31,2,FALSE()))</f>
        <v/>
      </c>
      <c r="AD54" s="443"/>
      <c r="AE54" s="443"/>
      <c r="AF54" s="102" t="str">
        <f t="shared" si="17"/>
        <v/>
      </c>
      <c r="AG54" s="245"/>
      <c r="AH54" s="244"/>
      <c r="AI54" s="246"/>
      <c r="AJ54" s="279"/>
      <c r="AK54" s="269"/>
      <c r="AL54" s="443" t="str">
        <f>IF(AK54="","",VLOOKUP(AK54,案件コード!$A$1:$B$31,2,FALSE()))</f>
        <v/>
      </c>
      <c r="AM54" s="443"/>
      <c r="AN54" s="443"/>
      <c r="AO54" s="102" t="str">
        <f t="shared" si="18"/>
        <v/>
      </c>
      <c r="AP54" s="245"/>
      <c r="AQ54" s="244"/>
      <c r="AR54" s="246"/>
      <c r="AS54" s="279"/>
      <c r="AT54" s="269"/>
      <c r="AU54" s="443" t="str">
        <f>IF(AT54="","",VLOOKUP(AT54,案件コード!$A$1:$B$31,2,FALSE()))</f>
        <v/>
      </c>
      <c r="AV54" s="443"/>
      <c r="AW54" s="443"/>
      <c r="AX54" s="102" t="str">
        <f t="shared" si="19"/>
        <v/>
      </c>
      <c r="AY54" s="245"/>
      <c r="AZ54" s="244"/>
      <c r="BA54" s="246"/>
      <c r="BB54" s="279"/>
      <c r="BC54" s="269"/>
      <c r="BD54" s="443" t="str">
        <f>IF(BC54="","",VLOOKUP(BC54,案件コード!$A$1:$B$31,2,FALSE()))</f>
        <v/>
      </c>
      <c r="BE54" s="443"/>
      <c r="BF54" s="443"/>
      <c r="BG54" s="102" t="str">
        <f t="shared" si="20"/>
        <v/>
      </c>
      <c r="BH54" s="245"/>
      <c r="BI54" s="244"/>
      <c r="BJ54" s="246"/>
      <c r="BK54" s="279"/>
    </row>
    <row r="55" spans="1:63">
      <c r="A55" s="269"/>
      <c r="B55" s="443" t="str">
        <f>IF(A55="","",VLOOKUP(A55,案件コード!$A$1:$B$31,2,FALSE()))</f>
        <v/>
      </c>
      <c r="C55" s="443"/>
      <c r="D55" s="443"/>
      <c r="E55" s="102" t="str">
        <f t="shared" si="14"/>
        <v/>
      </c>
      <c r="F55" s="245"/>
      <c r="G55" s="244"/>
      <c r="H55" s="246"/>
      <c r="I55" s="279"/>
      <c r="J55" s="269"/>
      <c r="K55" s="443" t="str">
        <f>IF(J55="","",VLOOKUP(J55,案件コード!$A$1:$B$31,2,FALSE()))</f>
        <v/>
      </c>
      <c r="L55" s="443"/>
      <c r="M55" s="443"/>
      <c r="N55" s="102" t="str">
        <f t="shared" si="15"/>
        <v/>
      </c>
      <c r="O55" s="245"/>
      <c r="P55" s="244"/>
      <c r="Q55" s="246"/>
      <c r="R55" s="279"/>
      <c r="S55" s="269"/>
      <c r="T55" s="443" t="str">
        <f>IF(S55="","",VLOOKUP(S55,案件コード!$A$1:$B$31,2,FALSE()))</f>
        <v/>
      </c>
      <c r="U55" s="443"/>
      <c r="V55" s="443"/>
      <c r="W55" s="102" t="str">
        <f t="shared" si="16"/>
        <v/>
      </c>
      <c r="X55" s="245"/>
      <c r="Y55" s="244"/>
      <c r="Z55" s="246"/>
      <c r="AA55" s="279"/>
      <c r="AB55" s="269"/>
      <c r="AC55" s="443" t="str">
        <f>IF(AB55="","",VLOOKUP(AB55,案件コード!$A$1:$B$31,2,FALSE()))</f>
        <v/>
      </c>
      <c r="AD55" s="443"/>
      <c r="AE55" s="443"/>
      <c r="AF55" s="102" t="str">
        <f t="shared" si="17"/>
        <v/>
      </c>
      <c r="AG55" s="245"/>
      <c r="AH55" s="244"/>
      <c r="AI55" s="246"/>
      <c r="AJ55" s="279"/>
      <c r="AK55" s="269"/>
      <c r="AL55" s="443" t="str">
        <f>IF(AK55="","",VLOOKUP(AK55,案件コード!$A$1:$B$31,2,FALSE()))</f>
        <v/>
      </c>
      <c r="AM55" s="443"/>
      <c r="AN55" s="443"/>
      <c r="AO55" s="102" t="str">
        <f t="shared" si="18"/>
        <v/>
      </c>
      <c r="AP55" s="245"/>
      <c r="AQ55" s="244"/>
      <c r="AR55" s="246"/>
      <c r="AS55" s="279"/>
      <c r="AT55" s="269"/>
      <c r="AU55" s="443" t="str">
        <f>IF(AT55="","",VLOOKUP(AT55,案件コード!$A$1:$B$31,2,FALSE()))</f>
        <v/>
      </c>
      <c r="AV55" s="443"/>
      <c r="AW55" s="443"/>
      <c r="AX55" s="102" t="str">
        <f t="shared" si="19"/>
        <v/>
      </c>
      <c r="AY55" s="245"/>
      <c r="AZ55" s="244"/>
      <c r="BA55" s="246"/>
      <c r="BB55" s="279"/>
      <c r="BC55" s="269"/>
      <c r="BD55" s="443" t="str">
        <f>IF(BC55="","",VLOOKUP(BC55,案件コード!$A$1:$B$31,2,FALSE()))</f>
        <v/>
      </c>
      <c r="BE55" s="443"/>
      <c r="BF55" s="443"/>
      <c r="BG55" s="102" t="str">
        <f t="shared" si="20"/>
        <v/>
      </c>
      <c r="BH55" s="245"/>
      <c r="BI55" s="244"/>
      <c r="BJ55" s="246"/>
      <c r="BK55" s="279"/>
    </row>
    <row r="56" spans="1:63">
      <c r="A56" s="269"/>
      <c r="B56" s="443" t="str">
        <f>IF(A56="","",VLOOKUP(A56,案件コード!$A$1:$B$31,2,FALSE()))</f>
        <v/>
      </c>
      <c r="C56" s="443"/>
      <c r="D56" s="443"/>
      <c r="E56" s="102" t="str">
        <f t="shared" si="14"/>
        <v/>
      </c>
      <c r="F56" s="245"/>
      <c r="G56" s="244"/>
      <c r="H56" s="246"/>
      <c r="I56" s="279"/>
      <c r="J56" s="269"/>
      <c r="K56" s="443" t="str">
        <f>IF(J56="","",VLOOKUP(J56,案件コード!$A$1:$B$31,2,FALSE()))</f>
        <v/>
      </c>
      <c r="L56" s="443"/>
      <c r="M56" s="443"/>
      <c r="N56" s="102" t="str">
        <f t="shared" si="15"/>
        <v/>
      </c>
      <c r="O56" s="245"/>
      <c r="P56" s="244"/>
      <c r="Q56" s="246"/>
      <c r="R56" s="279"/>
      <c r="S56" s="269"/>
      <c r="T56" s="443" t="str">
        <f>IF(S56="","",VLOOKUP(S56,案件コード!$A$1:$B$31,2,FALSE()))</f>
        <v/>
      </c>
      <c r="U56" s="443"/>
      <c r="V56" s="443"/>
      <c r="W56" s="102" t="str">
        <f t="shared" si="16"/>
        <v/>
      </c>
      <c r="X56" s="245"/>
      <c r="Y56" s="244"/>
      <c r="Z56" s="246"/>
      <c r="AA56" s="279"/>
      <c r="AB56" s="269"/>
      <c r="AC56" s="443" t="str">
        <f>IF(AB56="","",VLOOKUP(AB56,案件コード!$A$1:$B$31,2,FALSE()))</f>
        <v/>
      </c>
      <c r="AD56" s="443"/>
      <c r="AE56" s="443"/>
      <c r="AF56" s="102" t="str">
        <f t="shared" si="17"/>
        <v/>
      </c>
      <c r="AG56" s="245"/>
      <c r="AH56" s="244"/>
      <c r="AI56" s="246"/>
      <c r="AJ56" s="279"/>
      <c r="AK56" s="269"/>
      <c r="AL56" s="443" t="str">
        <f>IF(AK56="","",VLOOKUP(AK56,案件コード!$A$1:$B$31,2,FALSE()))</f>
        <v/>
      </c>
      <c r="AM56" s="443"/>
      <c r="AN56" s="443"/>
      <c r="AO56" s="102" t="str">
        <f t="shared" si="18"/>
        <v/>
      </c>
      <c r="AP56" s="245"/>
      <c r="AQ56" s="244"/>
      <c r="AR56" s="246"/>
      <c r="AS56" s="279"/>
      <c r="AT56" s="269"/>
      <c r="AU56" s="443" t="str">
        <f>IF(AT56="","",VLOOKUP(AT56,案件コード!$A$1:$B$31,2,FALSE()))</f>
        <v/>
      </c>
      <c r="AV56" s="443"/>
      <c r="AW56" s="443"/>
      <c r="AX56" s="102" t="str">
        <f t="shared" si="19"/>
        <v/>
      </c>
      <c r="AY56" s="245"/>
      <c r="AZ56" s="244"/>
      <c r="BA56" s="246"/>
      <c r="BB56" s="279"/>
      <c r="BC56" s="269"/>
      <c r="BD56" s="443" t="str">
        <f>IF(BC56="","",VLOOKUP(BC56,案件コード!$A$1:$B$31,2,FALSE()))</f>
        <v/>
      </c>
      <c r="BE56" s="443"/>
      <c r="BF56" s="443"/>
      <c r="BG56" s="102" t="str">
        <f t="shared" si="20"/>
        <v/>
      </c>
      <c r="BH56" s="245"/>
      <c r="BI56" s="244"/>
      <c r="BJ56" s="246"/>
      <c r="BK56" s="279"/>
    </row>
    <row r="57" spans="1:63">
      <c r="A57" s="269"/>
      <c r="B57" s="443" t="str">
        <f>IF(A57="","",VLOOKUP(A57,案件コード!$A$1:$B$31,2,FALSE()))</f>
        <v/>
      </c>
      <c r="C57" s="443"/>
      <c r="D57" s="443"/>
      <c r="E57" s="102" t="str">
        <f t="shared" si="14"/>
        <v/>
      </c>
      <c r="F57" s="245"/>
      <c r="G57" s="244"/>
      <c r="H57" s="246"/>
      <c r="I57" s="279"/>
      <c r="J57" s="269"/>
      <c r="K57" s="443" t="str">
        <f>IF(J57="","",VLOOKUP(J57,案件コード!$A$1:$B$31,2,FALSE()))</f>
        <v/>
      </c>
      <c r="L57" s="443"/>
      <c r="M57" s="443"/>
      <c r="N57" s="102" t="str">
        <f t="shared" si="15"/>
        <v/>
      </c>
      <c r="O57" s="245"/>
      <c r="P57" s="244"/>
      <c r="Q57" s="246"/>
      <c r="R57" s="279"/>
      <c r="S57" s="269"/>
      <c r="T57" s="443" t="str">
        <f>IF(S57="","",VLOOKUP(S57,案件コード!$A$1:$B$31,2,FALSE()))</f>
        <v/>
      </c>
      <c r="U57" s="443"/>
      <c r="V57" s="443"/>
      <c r="W57" s="102" t="str">
        <f t="shared" si="16"/>
        <v/>
      </c>
      <c r="X57" s="245"/>
      <c r="Y57" s="244"/>
      <c r="Z57" s="246"/>
      <c r="AA57" s="279"/>
      <c r="AB57" s="269"/>
      <c r="AC57" s="443" t="str">
        <f>IF(AB57="","",VLOOKUP(AB57,案件コード!$A$1:$B$31,2,FALSE()))</f>
        <v/>
      </c>
      <c r="AD57" s="443"/>
      <c r="AE57" s="443"/>
      <c r="AF57" s="102" t="str">
        <f t="shared" si="17"/>
        <v/>
      </c>
      <c r="AG57" s="245"/>
      <c r="AH57" s="244"/>
      <c r="AI57" s="246"/>
      <c r="AJ57" s="279"/>
      <c r="AK57" s="269"/>
      <c r="AL57" s="443" t="str">
        <f>IF(AK57="","",VLOOKUP(AK57,案件コード!$A$1:$B$31,2,FALSE()))</f>
        <v/>
      </c>
      <c r="AM57" s="443"/>
      <c r="AN57" s="443"/>
      <c r="AO57" s="102" t="str">
        <f t="shared" si="18"/>
        <v/>
      </c>
      <c r="AP57" s="245"/>
      <c r="AQ57" s="244"/>
      <c r="AR57" s="246"/>
      <c r="AS57" s="279"/>
      <c r="AT57" s="269"/>
      <c r="AU57" s="443" t="str">
        <f>IF(AT57="","",VLOOKUP(AT57,案件コード!$A$1:$B$31,2,FALSE()))</f>
        <v/>
      </c>
      <c r="AV57" s="443"/>
      <c r="AW57" s="443"/>
      <c r="AX57" s="102" t="str">
        <f t="shared" si="19"/>
        <v/>
      </c>
      <c r="AY57" s="245"/>
      <c r="AZ57" s="244"/>
      <c r="BA57" s="246"/>
      <c r="BB57" s="279"/>
      <c r="BC57" s="269"/>
      <c r="BD57" s="443" t="str">
        <f>IF(BC57="","",VLOOKUP(BC57,案件コード!$A$1:$B$31,2,FALSE()))</f>
        <v/>
      </c>
      <c r="BE57" s="443"/>
      <c r="BF57" s="443"/>
      <c r="BG57" s="102" t="str">
        <f t="shared" si="20"/>
        <v/>
      </c>
      <c r="BH57" s="245"/>
      <c r="BI57" s="244"/>
      <c r="BJ57" s="246"/>
      <c r="BK57" s="279"/>
    </row>
    <row r="58" spans="1:63">
      <c r="A58" s="269"/>
      <c r="B58" s="443" t="str">
        <f>IF(A58="","",VLOOKUP(A58,案件コード!$A$1:$B$31,2,FALSE()))</f>
        <v/>
      </c>
      <c r="C58" s="443"/>
      <c r="D58" s="443"/>
      <c r="E58" s="102" t="str">
        <f t="shared" si="14"/>
        <v/>
      </c>
      <c r="F58" s="245"/>
      <c r="G58" s="244"/>
      <c r="H58" s="246"/>
      <c r="I58" s="279"/>
      <c r="J58" s="269"/>
      <c r="K58" s="443" t="str">
        <f>IF(J58="","",VLOOKUP(J58,案件コード!$A$1:$B$31,2,FALSE()))</f>
        <v/>
      </c>
      <c r="L58" s="443"/>
      <c r="M58" s="443"/>
      <c r="N58" s="102" t="str">
        <f t="shared" si="15"/>
        <v/>
      </c>
      <c r="O58" s="245"/>
      <c r="P58" s="244"/>
      <c r="Q58" s="246"/>
      <c r="R58" s="279"/>
      <c r="S58" s="269"/>
      <c r="T58" s="443" t="str">
        <f>IF(S58="","",VLOOKUP(S58,案件コード!$A$1:$B$31,2,FALSE()))</f>
        <v/>
      </c>
      <c r="U58" s="443"/>
      <c r="V58" s="443"/>
      <c r="W58" s="102" t="str">
        <f t="shared" si="16"/>
        <v/>
      </c>
      <c r="X58" s="245"/>
      <c r="Y58" s="244"/>
      <c r="Z58" s="246"/>
      <c r="AA58" s="279"/>
      <c r="AB58" s="269"/>
      <c r="AC58" s="443" t="str">
        <f>IF(AB58="","",VLOOKUP(AB58,案件コード!$A$1:$B$31,2,FALSE()))</f>
        <v/>
      </c>
      <c r="AD58" s="443"/>
      <c r="AE58" s="443"/>
      <c r="AF58" s="102" t="str">
        <f t="shared" si="17"/>
        <v/>
      </c>
      <c r="AG58" s="245"/>
      <c r="AH58" s="244"/>
      <c r="AI58" s="246"/>
      <c r="AJ58" s="279"/>
      <c r="AK58" s="269"/>
      <c r="AL58" s="443" t="str">
        <f>IF(AK58="","",VLOOKUP(AK58,案件コード!$A$1:$B$31,2,FALSE()))</f>
        <v/>
      </c>
      <c r="AM58" s="443"/>
      <c r="AN58" s="443"/>
      <c r="AO58" s="102" t="str">
        <f t="shared" si="18"/>
        <v/>
      </c>
      <c r="AP58" s="245"/>
      <c r="AQ58" s="244"/>
      <c r="AR58" s="246"/>
      <c r="AS58" s="279"/>
      <c r="AT58" s="269"/>
      <c r="AU58" s="443" t="str">
        <f>IF(AT58="","",VLOOKUP(AT58,案件コード!$A$1:$B$31,2,FALSE()))</f>
        <v/>
      </c>
      <c r="AV58" s="443"/>
      <c r="AW58" s="443"/>
      <c r="AX58" s="102" t="str">
        <f t="shared" si="19"/>
        <v/>
      </c>
      <c r="AY58" s="245"/>
      <c r="AZ58" s="244"/>
      <c r="BA58" s="246"/>
      <c r="BB58" s="279"/>
      <c r="BC58" s="269"/>
      <c r="BD58" s="443" t="str">
        <f>IF(BC58="","",VLOOKUP(BC58,案件コード!$A$1:$B$31,2,FALSE()))</f>
        <v/>
      </c>
      <c r="BE58" s="443"/>
      <c r="BF58" s="443"/>
      <c r="BG58" s="102" t="str">
        <f t="shared" si="20"/>
        <v/>
      </c>
      <c r="BH58" s="245"/>
      <c r="BI58" s="244"/>
      <c r="BJ58" s="246"/>
      <c r="BK58" s="279"/>
    </row>
    <row r="59" spans="1:63">
      <c r="A59" s="269"/>
      <c r="B59" s="443" t="str">
        <f>IF(A59="","",VLOOKUP(A59,案件コード!$A$1:$B$31,2,FALSE()))</f>
        <v/>
      </c>
      <c r="C59" s="443"/>
      <c r="D59" s="443"/>
      <c r="E59" s="102" t="str">
        <f t="shared" si="14"/>
        <v/>
      </c>
      <c r="F59" s="245"/>
      <c r="G59" s="244"/>
      <c r="H59" s="246"/>
      <c r="I59" s="279"/>
      <c r="J59" s="269"/>
      <c r="K59" s="443" t="str">
        <f>IF(J59="","",VLOOKUP(J59,案件コード!$A$1:$B$31,2,FALSE()))</f>
        <v/>
      </c>
      <c r="L59" s="443"/>
      <c r="M59" s="443"/>
      <c r="N59" s="102" t="str">
        <f t="shared" si="15"/>
        <v/>
      </c>
      <c r="O59" s="245"/>
      <c r="P59" s="244"/>
      <c r="Q59" s="246"/>
      <c r="R59" s="279"/>
      <c r="S59" s="269"/>
      <c r="T59" s="443" t="str">
        <f>IF(S59="","",VLOOKUP(S59,案件コード!$A$1:$B$31,2,FALSE()))</f>
        <v/>
      </c>
      <c r="U59" s="443"/>
      <c r="V59" s="443"/>
      <c r="W59" s="102" t="str">
        <f t="shared" si="16"/>
        <v/>
      </c>
      <c r="X59" s="245"/>
      <c r="Y59" s="244"/>
      <c r="Z59" s="246"/>
      <c r="AA59" s="279"/>
      <c r="AB59" s="269"/>
      <c r="AC59" s="443" t="str">
        <f>IF(AB59="","",VLOOKUP(AB59,案件コード!$A$1:$B$31,2,FALSE()))</f>
        <v/>
      </c>
      <c r="AD59" s="443"/>
      <c r="AE59" s="443"/>
      <c r="AF59" s="102" t="str">
        <f t="shared" si="17"/>
        <v/>
      </c>
      <c r="AG59" s="245"/>
      <c r="AH59" s="244"/>
      <c r="AI59" s="246"/>
      <c r="AJ59" s="279"/>
      <c r="AK59" s="269"/>
      <c r="AL59" s="443" t="str">
        <f>IF(AK59="","",VLOOKUP(AK59,案件コード!$A$1:$B$31,2,FALSE()))</f>
        <v/>
      </c>
      <c r="AM59" s="443"/>
      <c r="AN59" s="443"/>
      <c r="AO59" s="102" t="str">
        <f t="shared" si="18"/>
        <v/>
      </c>
      <c r="AP59" s="245"/>
      <c r="AQ59" s="244"/>
      <c r="AR59" s="246"/>
      <c r="AS59" s="279"/>
      <c r="AT59" s="269"/>
      <c r="AU59" s="443" t="str">
        <f>IF(AT59="","",VLOOKUP(AT59,案件コード!$A$1:$B$31,2,FALSE()))</f>
        <v/>
      </c>
      <c r="AV59" s="443"/>
      <c r="AW59" s="443"/>
      <c r="AX59" s="102" t="str">
        <f t="shared" si="19"/>
        <v/>
      </c>
      <c r="AY59" s="245"/>
      <c r="AZ59" s="244"/>
      <c r="BA59" s="246"/>
      <c r="BB59" s="279"/>
      <c r="BC59" s="269"/>
      <c r="BD59" s="443" t="str">
        <f>IF(BC59="","",VLOOKUP(BC59,案件コード!$A$1:$B$31,2,FALSE()))</f>
        <v/>
      </c>
      <c r="BE59" s="443"/>
      <c r="BF59" s="443"/>
      <c r="BG59" s="102" t="str">
        <f t="shared" si="20"/>
        <v/>
      </c>
      <c r="BH59" s="245"/>
      <c r="BI59" s="244"/>
      <c r="BJ59" s="246"/>
      <c r="BK59" s="279"/>
    </row>
    <row r="60" spans="1:63">
      <c r="A60" s="269"/>
      <c r="B60" s="443" t="str">
        <f>IF(A60="","",VLOOKUP(A60,案件コード!$A$1:$B$31,2,FALSE()))</f>
        <v/>
      </c>
      <c r="C60" s="443"/>
      <c r="D60" s="443"/>
      <c r="E60" s="102" t="str">
        <f t="shared" si="14"/>
        <v/>
      </c>
      <c r="F60" s="245"/>
      <c r="G60" s="244"/>
      <c r="H60" s="246"/>
      <c r="I60" s="279"/>
      <c r="J60" s="269"/>
      <c r="K60" s="443" t="str">
        <f>IF(J60="","",VLOOKUP(J60,案件コード!$A$1:$B$31,2,FALSE()))</f>
        <v/>
      </c>
      <c r="L60" s="443"/>
      <c r="M60" s="443"/>
      <c r="N60" s="102" t="str">
        <f t="shared" si="15"/>
        <v/>
      </c>
      <c r="O60" s="245"/>
      <c r="P60" s="244"/>
      <c r="Q60" s="246"/>
      <c r="R60" s="279"/>
      <c r="S60" s="269"/>
      <c r="T60" s="443" t="str">
        <f>IF(S60="","",VLOOKUP(S60,案件コード!$A$1:$B$31,2,FALSE()))</f>
        <v/>
      </c>
      <c r="U60" s="443"/>
      <c r="V60" s="443"/>
      <c r="W60" s="102" t="str">
        <f t="shared" si="16"/>
        <v/>
      </c>
      <c r="X60" s="245"/>
      <c r="Y60" s="244"/>
      <c r="Z60" s="246"/>
      <c r="AA60" s="279"/>
      <c r="AB60" s="269"/>
      <c r="AC60" s="443" t="str">
        <f>IF(AB60="","",VLOOKUP(AB60,案件コード!$A$1:$B$31,2,FALSE()))</f>
        <v/>
      </c>
      <c r="AD60" s="443"/>
      <c r="AE60" s="443"/>
      <c r="AF60" s="102" t="str">
        <f t="shared" si="17"/>
        <v/>
      </c>
      <c r="AG60" s="245"/>
      <c r="AH60" s="244"/>
      <c r="AI60" s="246"/>
      <c r="AJ60" s="279"/>
      <c r="AK60" s="269"/>
      <c r="AL60" s="443" t="str">
        <f>IF(AK60="","",VLOOKUP(AK60,案件コード!$A$1:$B$31,2,FALSE()))</f>
        <v/>
      </c>
      <c r="AM60" s="443"/>
      <c r="AN60" s="443"/>
      <c r="AO60" s="102" t="str">
        <f t="shared" si="18"/>
        <v/>
      </c>
      <c r="AP60" s="245"/>
      <c r="AQ60" s="244"/>
      <c r="AR60" s="246"/>
      <c r="AS60" s="279"/>
      <c r="AT60" s="269"/>
      <c r="AU60" s="443" t="str">
        <f>IF(AT60="","",VLOOKUP(AT60,案件コード!$A$1:$B$31,2,FALSE()))</f>
        <v/>
      </c>
      <c r="AV60" s="443"/>
      <c r="AW60" s="443"/>
      <c r="AX60" s="102" t="str">
        <f t="shared" si="19"/>
        <v/>
      </c>
      <c r="AY60" s="245"/>
      <c r="AZ60" s="244"/>
      <c r="BA60" s="246"/>
      <c r="BB60" s="279"/>
      <c r="BC60" s="269"/>
      <c r="BD60" s="443" t="str">
        <f>IF(BC60="","",VLOOKUP(BC60,案件コード!$A$1:$B$31,2,FALSE()))</f>
        <v/>
      </c>
      <c r="BE60" s="443"/>
      <c r="BF60" s="443"/>
      <c r="BG60" s="102" t="str">
        <f t="shared" si="20"/>
        <v/>
      </c>
      <c r="BH60" s="245"/>
      <c r="BI60" s="244"/>
      <c r="BJ60" s="246"/>
      <c r="BK60" s="279"/>
    </row>
    <row r="61" spans="1:63">
      <c r="A61" s="269"/>
      <c r="B61" s="443" t="str">
        <f>IF(A61="","",VLOOKUP(A61,案件コード!$A$1:$B$31,2,FALSE()))</f>
        <v/>
      </c>
      <c r="C61" s="443"/>
      <c r="D61" s="443"/>
      <c r="E61" s="102" t="str">
        <f t="shared" si="14"/>
        <v/>
      </c>
      <c r="F61" s="245"/>
      <c r="G61" s="244"/>
      <c r="H61" s="246"/>
      <c r="I61" s="279"/>
      <c r="J61" s="269"/>
      <c r="K61" s="443" t="str">
        <f>IF(J61="","",VLOOKUP(J61,案件コード!$A$1:$B$31,2,FALSE()))</f>
        <v/>
      </c>
      <c r="L61" s="443"/>
      <c r="M61" s="443"/>
      <c r="N61" s="102" t="str">
        <f t="shared" si="15"/>
        <v/>
      </c>
      <c r="O61" s="245"/>
      <c r="P61" s="244"/>
      <c r="Q61" s="246"/>
      <c r="R61" s="279"/>
      <c r="S61" s="269"/>
      <c r="T61" s="443" t="str">
        <f>IF(S61="","",VLOOKUP(S61,案件コード!$A$1:$B$31,2,FALSE()))</f>
        <v/>
      </c>
      <c r="U61" s="443"/>
      <c r="V61" s="443"/>
      <c r="W61" s="102" t="str">
        <f t="shared" si="16"/>
        <v/>
      </c>
      <c r="X61" s="245"/>
      <c r="Y61" s="244"/>
      <c r="Z61" s="246"/>
      <c r="AA61" s="279"/>
      <c r="AB61" s="269"/>
      <c r="AC61" s="443" t="str">
        <f>IF(AB61="","",VLOOKUP(AB61,案件コード!$A$1:$B$31,2,FALSE()))</f>
        <v/>
      </c>
      <c r="AD61" s="443"/>
      <c r="AE61" s="443"/>
      <c r="AF61" s="102" t="str">
        <f t="shared" si="17"/>
        <v/>
      </c>
      <c r="AG61" s="245"/>
      <c r="AH61" s="244"/>
      <c r="AI61" s="246"/>
      <c r="AJ61" s="279"/>
      <c r="AK61" s="269"/>
      <c r="AL61" s="443" t="str">
        <f>IF(AK61="","",VLOOKUP(AK61,案件コード!$A$1:$B$31,2,FALSE()))</f>
        <v/>
      </c>
      <c r="AM61" s="443"/>
      <c r="AN61" s="443"/>
      <c r="AO61" s="102" t="str">
        <f t="shared" si="18"/>
        <v/>
      </c>
      <c r="AP61" s="245"/>
      <c r="AQ61" s="244"/>
      <c r="AR61" s="246"/>
      <c r="AS61" s="279"/>
      <c r="AT61" s="269"/>
      <c r="AU61" s="443" t="str">
        <f>IF(AT61="","",VLOOKUP(AT61,案件コード!$A$1:$B$31,2,FALSE()))</f>
        <v/>
      </c>
      <c r="AV61" s="443"/>
      <c r="AW61" s="443"/>
      <c r="AX61" s="102" t="str">
        <f t="shared" si="19"/>
        <v/>
      </c>
      <c r="AY61" s="245"/>
      <c r="AZ61" s="244"/>
      <c r="BA61" s="246"/>
      <c r="BB61" s="279"/>
      <c r="BC61" s="269"/>
      <c r="BD61" s="443" t="str">
        <f>IF(BC61="","",VLOOKUP(BC61,案件コード!$A$1:$B$31,2,FALSE()))</f>
        <v/>
      </c>
      <c r="BE61" s="443"/>
      <c r="BF61" s="443"/>
      <c r="BG61" s="102" t="str">
        <f t="shared" si="20"/>
        <v/>
      </c>
      <c r="BH61" s="245"/>
      <c r="BI61" s="244"/>
      <c r="BJ61" s="246"/>
      <c r="BK61" s="279"/>
    </row>
    <row r="62" spans="1:63">
      <c r="A62" s="269"/>
      <c r="B62" s="443" t="str">
        <f>IF(A62="","",VLOOKUP(A62,案件コード!$A$1:$B$31,2,FALSE()))</f>
        <v/>
      </c>
      <c r="C62" s="443"/>
      <c r="D62" s="443"/>
      <c r="E62" s="102" t="str">
        <f t="shared" si="14"/>
        <v/>
      </c>
      <c r="F62" s="245"/>
      <c r="G62" s="244"/>
      <c r="H62" s="246"/>
      <c r="I62" s="279"/>
      <c r="J62" s="269"/>
      <c r="K62" s="443" t="str">
        <f>IF(J62="","",VLOOKUP(J62,案件コード!$A$1:$B$31,2,FALSE()))</f>
        <v/>
      </c>
      <c r="L62" s="443"/>
      <c r="M62" s="443"/>
      <c r="N62" s="102" t="str">
        <f t="shared" si="15"/>
        <v/>
      </c>
      <c r="O62" s="245"/>
      <c r="P62" s="244"/>
      <c r="Q62" s="246"/>
      <c r="R62" s="279"/>
      <c r="S62" s="269"/>
      <c r="T62" s="443" t="str">
        <f>IF(S62="","",VLOOKUP(S62,案件コード!$A$1:$B$31,2,FALSE()))</f>
        <v/>
      </c>
      <c r="U62" s="443"/>
      <c r="V62" s="443"/>
      <c r="W62" s="102" t="str">
        <f t="shared" si="16"/>
        <v/>
      </c>
      <c r="X62" s="245"/>
      <c r="Y62" s="244"/>
      <c r="Z62" s="246"/>
      <c r="AA62" s="279"/>
      <c r="AB62" s="269"/>
      <c r="AC62" s="443" t="str">
        <f>IF(AB62="","",VLOOKUP(AB62,案件コード!$A$1:$B$31,2,FALSE()))</f>
        <v/>
      </c>
      <c r="AD62" s="443"/>
      <c r="AE62" s="443"/>
      <c r="AF62" s="102" t="str">
        <f t="shared" si="17"/>
        <v/>
      </c>
      <c r="AG62" s="245"/>
      <c r="AH62" s="244"/>
      <c r="AI62" s="246"/>
      <c r="AJ62" s="279"/>
      <c r="AK62" s="269"/>
      <c r="AL62" s="443" t="str">
        <f>IF(AK62="","",VLOOKUP(AK62,案件コード!$A$1:$B$31,2,FALSE()))</f>
        <v/>
      </c>
      <c r="AM62" s="443"/>
      <c r="AN62" s="443"/>
      <c r="AO62" s="102" t="str">
        <f t="shared" si="18"/>
        <v/>
      </c>
      <c r="AP62" s="245"/>
      <c r="AQ62" s="244"/>
      <c r="AR62" s="246"/>
      <c r="AS62" s="279"/>
      <c r="AT62" s="269"/>
      <c r="AU62" s="443" t="str">
        <f>IF(AT62="","",VLOOKUP(AT62,案件コード!$A$1:$B$31,2,FALSE()))</f>
        <v/>
      </c>
      <c r="AV62" s="443"/>
      <c r="AW62" s="443"/>
      <c r="AX62" s="102" t="str">
        <f t="shared" si="19"/>
        <v/>
      </c>
      <c r="AY62" s="245"/>
      <c r="AZ62" s="244"/>
      <c r="BA62" s="246"/>
      <c r="BB62" s="279"/>
      <c r="BC62" s="269"/>
      <c r="BD62" s="443" t="str">
        <f>IF(BC62="","",VLOOKUP(BC62,案件コード!$A$1:$B$31,2,FALSE()))</f>
        <v/>
      </c>
      <c r="BE62" s="443"/>
      <c r="BF62" s="443"/>
      <c r="BG62" s="102" t="str">
        <f t="shared" si="20"/>
        <v/>
      </c>
      <c r="BH62" s="245"/>
      <c r="BI62" s="244"/>
      <c r="BJ62" s="246"/>
      <c r="BK62" s="279"/>
    </row>
    <row r="63" spans="1:63" ht="18.600000000000001" thickBot="1">
      <c r="A63" s="272"/>
      <c r="B63" s="444" t="str">
        <f>IF(A63="","",VLOOKUP(A63,案件コード!$A$1:$B$31,2,FALSE()))</f>
        <v/>
      </c>
      <c r="C63" s="444"/>
      <c r="D63" s="444"/>
      <c r="E63" s="273" t="str">
        <f t="shared" si="14"/>
        <v/>
      </c>
      <c r="F63" s="274"/>
      <c r="G63" s="275"/>
      <c r="H63" s="276"/>
      <c r="I63" s="280"/>
      <c r="J63" s="272"/>
      <c r="K63" s="444" t="str">
        <f>IF(J63="","",VLOOKUP(J63,案件コード!$A$1:$B$31,2,FALSE()))</f>
        <v/>
      </c>
      <c r="L63" s="444"/>
      <c r="M63" s="444"/>
      <c r="N63" s="273" t="str">
        <f t="shared" si="15"/>
        <v/>
      </c>
      <c r="O63" s="274"/>
      <c r="P63" s="275"/>
      <c r="Q63" s="276"/>
      <c r="R63" s="280"/>
      <c r="S63" s="272"/>
      <c r="T63" s="444" t="str">
        <f>IF(S63="","",VLOOKUP(S63,案件コード!$A$1:$B$31,2,FALSE()))</f>
        <v/>
      </c>
      <c r="U63" s="444"/>
      <c r="V63" s="444"/>
      <c r="W63" s="273" t="str">
        <f t="shared" si="16"/>
        <v/>
      </c>
      <c r="X63" s="274"/>
      <c r="Y63" s="275"/>
      <c r="Z63" s="276"/>
      <c r="AA63" s="280"/>
      <c r="AB63" s="272"/>
      <c r="AC63" s="444" t="str">
        <f>IF(AB63="","",VLOOKUP(AB63,案件コード!$A$1:$B$31,2,FALSE()))</f>
        <v/>
      </c>
      <c r="AD63" s="444"/>
      <c r="AE63" s="444"/>
      <c r="AF63" s="273" t="str">
        <f t="shared" si="17"/>
        <v/>
      </c>
      <c r="AG63" s="274"/>
      <c r="AH63" s="275"/>
      <c r="AI63" s="276"/>
      <c r="AJ63" s="280"/>
      <c r="AK63" s="272"/>
      <c r="AL63" s="444" t="str">
        <f>IF(AK63="","",VLOOKUP(AK63,案件コード!$A$1:$B$31,2,FALSE()))</f>
        <v/>
      </c>
      <c r="AM63" s="444"/>
      <c r="AN63" s="444"/>
      <c r="AO63" s="273" t="str">
        <f t="shared" si="18"/>
        <v/>
      </c>
      <c r="AP63" s="274"/>
      <c r="AQ63" s="275"/>
      <c r="AR63" s="276"/>
      <c r="AS63" s="280"/>
      <c r="AT63" s="272"/>
      <c r="AU63" s="444" t="str">
        <f>IF(AT63="","",VLOOKUP(AT63,案件コード!$A$1:$B$31,2,FALSE()))</f>
        <v/>
      </c>
      <c r="AV63" s="444"/>
      <c r="AW63" s="444"/>
      <c r="AX63" s="273" t="str">
        <f t="shared" si="19"/>
        <v/>
      </c>
      <c r="AY63" s="274"/>
      <c r="AZ63" s="275"/>
      <c r="BA63" s="276"/>
      <c r="BB63" s="280"/>
      <c r="BC63" s="272"/>
      <c r="BD63" s="444" t="str">
        <f>IF(BC63="","",VLOOKUP(BC63,案件コード!$A$1:$B$31,2,FALSE()))</f>
        <v/>
      </c>
      <c r="BE63" s="444"/>
      <c r="BF63" s="444"/>
      <c r="BG63" s="273" t="str">
        <f t="shared" si="20"/>
        <v/>
      </c>
      <c r="BH63" s="274"/>
      <c r="BI63" s="275"/>
      <c r="BJ63" s="276"/>
      <c r="BK63" s="280"/>
    </row>
    <row r="64" spans="1:63" ht="18.600000000000001" thickBot="1">
      <c r="A64" s="334">
        <f>A46</f>
        <v>45672</v>
      </c>
      <c r="B64" s="333" t="s">
        <v>291</v>
      </c>
      <c r="C64" s="456"/>
      <c r="D64" s="457"/>
      <c r="E64" s="457"/>
      <c r="F64" s="457"/>
      <c r="G64" s="458"/>
      <c r="H64" s="412">
        <f>SUM(H49:H63)</f>
        <v>0</v>
      </c>
      <c r="I64" s="91" t="s">
        <v>371</v>
      </c>
      <c r="J64" s="334">
        <f>J46</f>
        <v>45673</v>
      </c>
      <c r="K64" s="333" t="s">
        <v>291</v>
      </c>
      <c r="L64" s="459"/>
      <c r="M64" s="460"/>
      <c r="N64" s="460"/>
      <c r="O64" s="460"/>
      <c r="P64" s="461"/>
      <c r="Q64" s="412">
        <f>SUM(Q49:Q63)</f>
        <v>0</v>
      </c>
      <c r="R64" s="91" t="s">
        <v>371</v>
      </c>
      <c r="S64" s="334">
        <f>S46</f>
        <v>45674</v>
      </c>
      <c r="T64" s="333" t="s">
        <v>291</v>
      </c>
      <c r="U64" s="456"/>
      <c r="V64" s="457"/>
      <c r="W64" s="457"/>
      <c r="X64" s="457"/>
      <c r="Y64" s="458"/>
      <c r="Z64" s="412">
        <f>SUM(Z49:Z63)</f>
        <v>0</v>
      </c>
      <c r="AA64" s="91" t="s">
        <v>371</v>
      </c>
      <c r="AB64" s="334">
        <f>AB46</f>
        <v>45675</v>
      </c>
      <c r="AC64" s="333" t="s">
        <v>291</v>
      </c>
      <c r="AD64" s="462"/>
      <c r="AE64" s="463"/>
      <c r="AF64" s="463"/>
      <c r="AG64" s="463"/>
      <c r="AH64" s="464"/>
      <c r="AI64" s="412">
        <f>SUM(AI49:AI63)</f>
        <v>0</v>
      </c>
      <c r="AJ64" s="91" t="s">
        <v>371</v>
      </c>
      <c r="AK64" s="334">
        <f>AK46</f>
        <v>45676</v>
      </c>
      <c r="AL64" s="333" t="s">
        <v>291</v>
      </c>
      <c r="AM64" s="456"/>
      <c r="AN64" s="457"/>
      <c r="AO64" s="457"/>
      <c r="AP64" s="457"/>
      <c r="AQ64" s="458"/>
      <c r="AR64" s="412">
        <f>SUM(AR49:AR63)</f>
        <v>0</v>
      </c>
      <c r="AS64" s="91" t="s">
        <v>371</v>
      </c>
      <c r="AT64" s="334">
        <f>AT46</f>
        <v>45677</v>
      </c>
      <c r="AU64" s="333" t="s">
        <v>291</v>
      </c>
      <c r="AV64" s="456"/>
      <c r="AW64" s="457"/>
      <c r="AX64" s="457"/>
      <c r="AY64" s="457"/>
      <c r="AZ64" s="458"/>
      <c r="BA64" s="412">
        <f>SUM(BA49:BA63)</f>
        <v>0</v>
      </c>
      <c r="BB64" s="91" t="s">
        <v>371</v>
      </c>
      <c r="BC64" s="334">
        <f>BC46</f>
        <v>45678</v>
      </c>
      <c r="BD64" s="333" t="s">
        <v>291</v>
      </c>
      <c r="BE64" s="456"/>
      <c r="BF64" s="457"/>
      <c r="BG64" s="457"/>
      <c r="BH64" s="457"/>
      <c r="BI64" s="458"/>
      <c r="BJ64" s="412">
        <f>SUM(BJ49:BJ63)</f>
        <v>0</v>
      </c>
      <c r="BK64" s="91" t="s">
        <v>371</v>
      </c>
    </row>
    <row r="65" spans="1:63">
      <c r="A65" s="448" t="s">
        <v>14</v>
      </c>
      <c r="B65" s="449"/>
      <c r="C65" s="450" t="s">
        <v>15</v>
      </c>
      <c r="D65" s="450"/>
      <c r="E65" s="450" t="s">
        <v>16</v>
      </c>
      <c r="F65" s="451"/>
      <c r="G65" s="37"/>
      <c r="H65" s="37"/>
      <c r="I65" s="37"/>
      <c r="J65" s="448" t="s">
        <v>14</v>
      </c>
      <c r="K65" s="449"/>
      <c r="L65" s="450" t="s">
        <v>15</v>
      </c>
      <c r="M65" s="450"/>
      <c r="N65" s="450" t="s">
        <v>16</v>
      </c>
      <c r="O65" s="451"/>
      <c r="P65" s="37"/>
      <c r="Q65" s="37"/>
      <c r="R65" s="37"/>
      <c r="S65" s="448" t="s">
        <v>14</v>
      </c>
      <c r="T65" s="449"/>
      <c r="U65" s="450" t="s">
        <v>15</v>
      </c>
      <c r="V65" s="450"/>
      <c r="W65" s="450" t="s">
        <v>16</v>
      </c>
      <c r="X65" s="451"/>
      <c r="Y65" s="37"/>
      <c r="Z65" s="37"/>
      <c r="AA65" s="37"/>
      <c r="AB65" s="448" t="s">
        <v>14</v>
      </c>
      <c r="AC65" s="449"/>
      <c r="AD65" s="450" t="s">
        <v>15</v>
      </c>
      <c r="AE65" s="450"/>
      <c r="AF65" s="450" t="s">
        <v>16</v>
      </c>
      <c r="AG65" s="451"/>
      <c r="AH65" s="37"/>
      <c r="AI65" s="37"/>
      <c r="AJ65" s="37"/>
      <c r="AK65" s="448" t="s">
        <v>14</v>
      </c>
      <c r="AL65" s="449"/>
      <c r="AM65" s="450" t="s">
        <v>15</v>
      </c>
      <c r="AN65" s="450"/>
      <c r="AO65" s="450" t="s">
        <v>16</v>
      </c>
      <c r="AP65" s="451"/>
      <c r="AQ65" s="37"/>
      <c r="AR65" s="37"/>
      <c r="AS65" s="37"/>
      <c r="AT65" s="448" t="s">
        <v>14</v>
      </c>
      <c r="AU65" s="449"/>
      <c r="AV65" s="450" t="s">
        <v>15</v>
      </c>
      <c r="AW65" s="450"/>
      <c r="AX65" s="450" t="s">
        <v>16</v>
      </c>
      <c r="AY65" s="451"/>
      <c r="AZ65" s="37"/>
      <c r="BA65" s="37"/>
      <c r="BB65" s="37"/>
      <c r="BC65" s="448" t="s">
        <v>14</v>
      </c>
      <c r="BD65" s="449"/>
      <c r="BE65" s="450" t="s">
        <v>15</v>
      </c>
      <c r="BF65" s="450"/>
      <c r="BG65" s="450" t="s">
        <v>16</v>
      </c>
      <c r="BH65" s="451"/>
      <c r="BI65" s="37"/>
      <c r="BJ65" s="37"/>
      <c r="BK65" s="37"/>
    </row>
    <row r="66" spans="1:63" ht="18.600000000000001" thickBot="1">
      <c r="A66" s="445">
        <f>BC46+1</f>
        <v>45679</v>
      </c>
      <c r="B66" s="446"/>
      <c r="C66" s="249"/>
      <c r="D66" s="249"/>
      <c r="E66" s="250" t="str">
        <f>IF(C66="","",D66-C66-H66)</f>
        <v/>
      </c>
      <c r="F66" s="251" t="str">
        <f>IF(AND(E66=""),"",SUM(E69:E83))</f>
        <v/>
      </c>
      <c r="G66" s="103" t="s">
        <v>17</v>
      </c>
      <c r="H66" s="247">
        <v>4.1666666666666699E-2</v>
      </c>
      <c r="I66" s="37"/>
      <c r="J66" s="445">
        <f>A66+1</f>
        <v>45680</v>
      </c>
      <c r="K66" s="446"/>
      <c r="L66" s="249"/>
      <c r="M66" s="249"/>
      <c r="N66" s="250" t="str">
        <f>IF(L66="","",M66-L66-Q66)</f>
        <v/>
      </c>
      <c r="O66" s="251" t="str">
        <f>IF(AND(N66=""),"",SUM(N69:N83))</f>
        <v/>
      </c>
      <c r="P66" s="103" t="s">
        <v>17</v>
      </c>
      <c r="Q66" s="247">
        <v>4.1666666666666699E-2</v>
      </c>
      <c r="R66" s="37"/>
      <c r="S66" s="445">
        <f>J66+1</f>
        <v>45681</v>
      </c>
      <c r="T66" s="446"/>
      <c r="U66" s="249"/>
      <c r="V66" s="249"/>
      <c r="W66" s="250" t="str">
        <f>IF(U66="","",V66-U66-Z66)</f>
        <v/>
      </c>
      <c r="X66" s="251" t="str">
        <f>IF(AND(W66=""),"",SUM(W69:W83))</f>
        <v/>
      </c>
      <c r="Y66" s="103" t="s">
        <v>17</v>
      </c>
      <c r="Z66" s="247">
        <v>4.1666666666666699E-2</v>
      </c>
      <c r="AA66" s="37"/>
      <c r="AB66" s="445">
        <f>S66+1</f>
        <v>45682</v>
      </c>
      <c r="AC66" s="446"/>
      <c r="AD66" s="249"/>
      <c r="AE66" s="249"/>
      <c r="AF66" s="250" t="str">
        <f>IF(AD66="","",AE66-AD66-AI66)</f>
        <v/>
      </c>
      <c r="AG66" s="251" t="str">
        <f>IF(AND(AF66=""),"",SUM(AF69:AF83))</f>
        <v/>
      </c>
      <c r="AH66" s="103" t="s">
        <v>17</v>
      </c>
      <c r="AI66" s="247">
        <v>4.1666666666666699E-2</v>
      </c>
      <c r="AJ66" s="37"/>
      <c r="AK66" s="445">
        <f>AB66+1</f>
        <v>45683</v>
      </c>
      <c r="AL66" s="446"/>
      <c r="AM66" s="249"/>
      <c r="AN66" s="249"/>
      <c r="AO66" s="250" t="str">
        <f>IF(AM66="","",AN66-AM66-AR66)</f>
        <v/>
      </c>
      <c r="AP66" s="251" t="str">
        <f>IF(AND(AO66=""),"",SUM(AO69:AO83))</f>
        <v/>
      </c>
      <c r="AQ66" s="103" t="s">
        <v>17</v>
      </c>
      <c r="AR66" s="247">
        <v>4.1666666666666699E-2</v>
      </c>
      <c r="AS66" s="37"/>
      <c r="AT66" s="445">
        <f>AK66+1</f>
        <v>45684</v>
      </c>
      <c r="AU66" s="446"/>
      <c r="AV66" s="249"/>
      <c r="AW66" s="249"/>
      <c r="AX66" s="250" t="str">
        <f>IF(AV66="","",AW66-AV66-BA66)</f>
        <v/>
      </c>
      <c r="AY66" s="251" t="str">
        <f>IF(AND(AX66=""),"",SUM(AX69:AX83))</f>
        <v/>
      </c>
      <c r="AZ66" s="103" t="s">
        <v>17</v>
      </c>
      <c r="BA66" s="247">
        <v>4.1666666666666699E-2</v>
      </c>
      <c r="BB66" s="37"/>
      <c r="BC66" s="445">
        <f>AT66+1</f>
        <v>45685</v>
      </c>
      <c r="BD66" s="446"/>
      <c r="BE66" s="249"/>
      <c r="BF66" s="249"/>
      <c r="BG66" s="250" t="str">
        <f>IF(BE66="","",BF66-BE66-BJ66)</f>
        <v/>
      </c>
      <c r="BH66" s="251" t="str">
        <f>IF(AND(BG66=""),"",SUM(BG69:BG83))</f>
        <v/>
      </c>
      <c r="BI66" s="103" t="s">
        <v>17</v>
      </c>
      <c r="BJ66" s="247">
        <v>4.1666666666666699E-2</v>
      </c>
      <c r="BK66" s="37"/>
    </row>
    <row r="67" spans="1:63" ht="18.600000000000001" thickBot="1">
      <c r="A67" s="37" t="s">
        <v>36</v>
      </c>
      <c r="B67" s="104"/>
      <c r="C67" s="104"/>
      <c r="D67" s="104"/>
      <c r="E67" s="105"/>
      <c r="F67" s="106"/>
      <c r="G67" s="106"/>
      <c r="H67" s="413">
        <f>IF(COUNT(H69:H83)=0,0,COUNT(H69:H83))</f>
        <v>0</v>
      </c>
      <c r="I67" s="411" t="s">
        <v>366</v>
      </c>
      <c r="J67" s="37" t="s">
        <v>36</v>
      </c>
      <c r="K67" s="104"/>
      <c r="L67" s="104"/>
      <c r="M67" s="104"/>
      <c r="N67" s="105"/>
      <c r="O67" s="106"/>
      <c r="P67" s="106"/>
      <c r="Q67" s="413">
        <f>IF(COUNT(Q69:Q83)=0,0,COUNT(Q69:Q83))</f>
        <v>0</v>
      </c>
      <c r="R67" s="411" t="s">
        <v>366</v>
      </c>
      <c r="S67" s="37" t="s">
        <v>36</v>
      </c>
      <c r="T67" s="104"/>
      <c r="U67" s="104"/>
      <c r="V67" s="104"/>
      <c r="W67" s="105"/>
      <c r="X67" s="106"/>
      <c r="Y67" s="106"/>
      <c r="Z67" s="413">
        <f>IF(COUNT(Z69:Z83)=0,0,COUNT(Z69:Z83))</f>
        <v>0</v>
      </c>
      <c r="AA67" s="411" t="s">
        <v>366</v>
      </c>
      <c r="AB67" s="37" t="s">
        <v>36</v>
      </c>
      <c r="AC67" s="104"/>
      <c r="AD67" s="104"/>
      <c r="AE67" s="104"/>
      <c r="AF67" s="105"/>
      <c r="AG67" s="106"/>
      <c r="AH67" s="106"/>
      <c r="AI67" s="413">
        <f>IF(COUNT(AI69:AI83)=0,0,COUNT(AI69:AI83))</f>
        <v>0</v>
      </c>
      <c r="AJ67" s="411" t="s">
        <v>366</v>
      </c>
      <c r="AK67" s="37" t="s">
        <v>36</v>
      </c>
      <c r="AL67" s="104"/>
      <c r="AM67" s="104"/>
      <c r="AN67" s="104"/>
      <c r="AO67" s="105"/>
      <c r="AP67" s="106"/>
      <c r="AQ67" s="106"/>
      <c r="AR67" s="413">
        <f>IF(COUNT(AR69:AR83)=0,0,COUNT(AR69:AR83))</f>
        <v>0</v>
      </c>
      <c r="AS67" s="411" t="s">
        <v>366</v>
      </c>
      <c r="AT67" s="37" t="s">
        <v>36</v>
      </c>
      <c r="AU67" s="104"/>
      <c r="AV67" s="104"/>
      <c r="AW67" s="104"/>
      <c r="AX67" s="105"/>
      <c r="AY67" s="106"/>
      <c r="AZ67" s="106"/>
      <c r="BA67" s="413">
        <f>IF(COUNT(BA69:BA83)=0,0,COUNT(BA69:BA83))</f>
        <v>0</v>
      </c>
      <c r="BB67" s="411" t="s">
        <v>366</v>
      </c>
      <c r="BC67" s="37" t="s">
        <v>36</v>
      </c>
      <c r="BD67" s="104"/>
      <c r="BE67" s="104"/>
      <c r="BF67" s="104"/>
      <c r="BG67" s="105"/>
      <c r="BH67" s="106"/>
      <c r="BI67" s="106"/>
      <c r="BJ67" s="413">
        <f>IF(COUNT(BJ69:BJ83)=0,0,COUNT(BJ69:BJ83))</f>
        <v>0</v>
      </c>
      <c r="BK67" s="411" t="s">
        <v>366</v>
      </c>
    </row>
    <row r="68" spans="1:63">
      <c r="A68" s="265" t="s">
        <v>18</v>
      </c>
      <c r="B68" s="447" t="s">
        <v>19</v>
      </c>
      <c r="C68" s="447"/>
      <c r="D68" s="447"/>
      <c r="E68" s="266" t="s">
        <v>20</v>
      </c>
      <c r="F68" s="266" t="s">
        <v>0</v>
      </c>
      <c r="G68" s="266" t="s">
        <v>37</v>
      </c>
      <c r="H68" s="267" t="s">
        <v>21</v>
      </c>
      <c r="I68" s="268" t="s">
        <v>22</v>
      </c>
      <c r="J68" s="265" t="s">
        <v>18</v>
      </c>
      <c r="K68" s="447" t="s">
        <v>19</v>
      </c>
      <c r="L68" s="447"/>
      <c r="M68" s="447"/>
      <c r="N68" s="266" t="s">
        <v>20</v>
      </c>
      <c r="O68" s="266" t="s">
        <v>0</v>
      </c>
      <c r="P68" s="266" t="s">
        <v>37</v>
      </c>
      <c r="Q68" s="267" t="s">
        <v>21</v>
      </c>
      <c r="R68" s="268" t="s">
        <v>22</v>
      </c>
      <c r="S68" s="265" t="s">
        <v>18</v>
      </c>
      <c r="T68" s="447" t="s">
        <v>19</v>
      </c>
      <c r="U68" s="447"/>
      <c r="V68" s="447"/>
      <c r="W68" s="266" t="s">
        <v>20</v>
      </c>
      <c r="X68" s="266" t="s">
        <v>0</v>
      </c>
      <c r="Y68" s="266" t="s">
        <v>37</v>
      </c>
      <c r="Z68" s="267" t="s">
        <v>21</v>
      </c>
      <c r="AA68" s="268" t="s">
        <v>22</v>
      </c>
      <c r="AB68" s="265" t="s">
        <v>18</v>
      </c>
      <c r="AC68" s="447" t="s">
        <v>19</v>
      </c>
      <c r="AD68" s="447"/>
      <c r="AE68" s="447"/>
      <c r="AF68" s="266" t="s">
        <v>20</v>
      </c>
      <c r="AG68" s="266" t="s">
        <v>0</v>
      </c>
      <c r="AH68" s="266" t="s">
        <v>37</v>
      </c>
      <c r="AI68" s="267" t="s">
        <v>21</v>
      </c>
      <c r="AJ68" s="268" t="s">
        <v>22</v>
      </c>
      <c r="AK68" s="265" t="s">
        <v>18</v>
      </c>
      <c r="AL68" s="447" t="s">
        <v>19</v>
      </c>
      <c r="AM68" s="447"/>
      <c r="AN68" s="447"/>
      <c r="AO68" s="266" t="s">
        <v>20</v>
      </c>
      <c r="AP68" s="266" t="s">
        <v>0</v>
      </c>
      <c r="AQ68" s="266" t="s">
        <v>37</v>
      </c>
      <c r="AR68" s="267" t="s">
        <v>21</v>
      </c>
      <c r="AS68" s="268" t="s">
        <v>22</v>
      </c>
      <c r="AT68" s="265" t="s">
        <v>18</v>
      </c>
      <c r="AU68" s="447" t="s">
        <v>19</v>
      </c>
      <c r="AV68" s="447"/>
      <c r="AW68" s="447"/>
      <c r="AX68" s="266" t="s">
        <v>20</v>
      </c>
      <c r="AY68" s="266" t="s">
        <v>0</v>
      </c>
      <c r="AZ68" s="266" t="s">
        <v>37</v>
      </c>
      <c r="BA68" s="267" t="s">
        <v>21</v>
      </c>
      <c r="BB68" s="268" t="s">
        <v>22</v>
      </c>
      <c r="BC68" s="265" t="s">
        <v>18</v>
      </c>
      <c r="BD68" s="447" t="s">
        <v>19</v>
      </c>
      <c r="BE68" s="447"/>
      <c r="BF68" s="447"/>
      <c r="BG68" s="266" t="s">
        <v>20</v>
      </c>
      <c r="BH68" s="266" t="s">
        <v>0</v>
      </c>
      <c r="BI68" s="266" t="s">
        <v>37</v>
      </c>
      <c r="BJ68" s="267" t="s">
        <v>21</v>
      </c>
      <c r="BK68" s="268" t="s">
        <v>22</v>
      </c>
    </row>
    <row r="69" spans="1:63">
      <c r="A69" s="269"/>
      <c r="B69" s="443" t="str">
        <f>IF(A69="","",VLOOKUP(A69,案件コード!$A$1:$B$31,2,FALSE()))</f>
        <v/>
      </c>
      <c r="C69" s="443"/>
      <c r="D69" s="443"/>
      <c r="E69" s="102" t="str">
        <f t="shared" ref="E69:E83" si="21">IF(AND(F69="",G69=""),"",SUM(F69:G69))</f>
        <v/>
      </c>
      <c r="F69" s="245"/>
      <c r="G69" s="244"/>
      <c r="H69" s="246"/>
      <c r="I69" s="278"/>
      <c r="J69" s="269"/>
      <c r="K69" s="443" t="str">
        <f>IF(J69="","",VLOOKUP(J69,案件コード!$A$1:$B$31,2,FALSE()))</f>
        <v/>
      </c>
      <c r="L69" s="443"/>
      <c r="M69" s="443"/>
      <c r="N69" s="102" t="str">
        <f t="shared" ref="N69:N83" si="22">IF(AND(O69="",P69=""),"",SUM(O69:P69))</f>
        <v/>
      </c>
      <c r="O69" s="245"/>
      <c r="P69" s="244"/>
      <c r="Q69" s="246"/>
      <c r="R69" s="278"/>
      <c r="S69" s="269"/>
      <c r="T69" s="443" t="str">
        <f>IF(S69="","",VLOOKUP(S69,案件コード!$A$1:$B$31,2,FALSE()))</f>
        <v/>
      </c>
      <c r="U69" s="443"/>
      <c r="V69" s="443"/>
      <c r="W69" s="102" t="str">
        <f t="shared" ref="W69:W83" si="23">IF(AND(X69="",Y69=""),"",SUM(X69:Y69))</f>
        <v/>
      </c>
      <c r="X69" s="245"/>
      <c r="Y69" s="244"/>
      <c r="Z69" s="246"/>
      <c r="AA69" s="278"/>
      <c r="AB69" s="269"/>
      <c r="AC69" s="443" t="str">
        <f>IF(AB69="","",VLOOKUP(AB69,案件コード!$A$1:$B$31,2,FALSE()))</f>
        <v/>
      </c>
      <c r="AD69" s="443"/>
      <c r="AE69" s="443"/>
      <c r="AF69" s="102" t="str">
        <f t="shared" ref="AF69:AF83" si="24">IF(AND(AG69="",AH69=""),"",SUM(AG69:AH69))</f>
        <v/>
      </c>
      <c r="AG69" s="245"/>
      <c r="AH69" s="244"/>
      <c r="AI69" s="246"/>
      <c r="AJ69" s="278"/>
      <c r="AK69" s="269"/>
      <c r="AL69" s="443" t="str">
        <f>IF(AK69="","",VLOOKUP(AK69,案件コード!$A$1:$B$31,2,FALSE()))</f>
        <v/>
      </c>
      <c r="AM69" s="443"/>
      <c r="AN69" s="443"/>
      <c r="AO69" s="102" t="str">
        <f t="shared" ref="AO69:AO83" si="25">IF(AND(AP69="",AQ69=""),"",SUM(AP69:AQ69))</f>
        <v/>
      </c>
      <c r="AP69" s="245"/>
      <c r="AQ69" s="244"/>
      <c r="AR69" s="246"/>
      <c r="AS69" s="278"/>
      <c r="AT69" s="269"/>
      <c r="AU69" s="443" t="str">
        <f>IF(AT69="","",VLOOKUP(AT69,案件コード!$A$1:$B$31,2,FALSE()))</f>
        <v/>
      </c>
      <c r="AV69" s="443"/>
      <c r="AW69" s="443"/>
      <c r="AX69" s="102" t="str">
        <f t="shared" ref="AX69:AX83" si="26">IF(AND(AY69="",AZ69=""),"",SUM(AY69:AZ69))</f>
        <v/>
      </c>
      <c r="AY69" s="245"/>
      <c r="AZ69" s="244"/>
      <c r="BA69" s="246"/>
      <c r="BB69" s="278"/>
      <c r="BC69" s="269"/>
      <c r="BD69" s="443" t="str">
        <f>IF(BC69="","",VLOOKUP(BC69,案件コード!$A$1:$B$31,2,FALSE()))</f>
        <v/>
      </c>
      <c r="BE69" s="443"/>
      <c r="BF69" s="443"/>
      <c r="BG69" s="102" t="str">
        <f t="shared" ref="BG69:BG83" si="27">IF(AND(BH69="",BI69=""),"",SUM(BH69:BI69))</f>
        <v/>
      </c>
      <c r="BH69" s="245"/>
      <c r="BI69" s="244"/>
      <c r="BJ69" s="246"/>
      <c r="BK69" s="278"/>
    </row>
    <row r="70" spans="1:63">
      <c r="A70" s="269"/>
      <c r="B70" s="443" t="str">
        <f>IF(A70="","",VLOOKUP(A70,案件コード!$A$1:$B$31,2,FALSE()))</f>
        <v/>
      </c>
      <c r="C70" s="443"/>
      <c r="D70" s="443"/>
      <c r="E70" s="102" t="str">
        <f t="shared" si="21"/>
        <v/>
      </c>
      <c r="F70" s="245"/>
      <c r="G70" s="244"/>
      <c r="H70" s="246"/>
      <c r="I70" s="279"/>
      <c r="J70" s="269"/>
      <c r="K70" s="443" t="str">
        <f>IF(J70="","",VLOOKUP(J70,案件コード!$A$1:$B$31,2,FALSE()))</f>
        <v/>
      </c>
      <c r="L70" s="443"/>
      <c r="M70" s="443"/>
      <c r="N70" s="102" t="str">
        <f t="shared" si="22"/>
        <v/>
      </c>
      <c r="O70" s="245"/>
      <c r="P70" s="244"/>
      <c r="Q70" s="246"/>
      <c r="R70" s="279"/>
      <c r="S70" s="269"/>
      <c r="T70" s="443" t="str">
        <f>IF(S70="","",VLOOKUP(S70,案件コード!$A$1:$B$31,2,FALSE()))</f>
        <v/>
      </c>
      <c r="U70" s="443"/>
      <c r="V70" s="443"/>
      <c r="W70" s="102" t="str">
        <f t="shared" si="23"/>
        <v/>
      </c>
      <c r="X70" s="245"/>
      <c r="Y70" s="244"/>
      <c r="Z70" s="246"/>
      <c r="AA70" s="279"/>
      <c r="AB70" s="269"/>
      <c r="AC70" s="443" t="str">
        <f>IF(AB70="","",VLOOKUP(AB70,案件コード!$A$1:$B$31,2,FALSE()))</f>
        <v/>
      </c>
      <c r="AD70" s="443"/>
      <c r="AE70" s="443"/>
      <c r="AF70" s="102" t="str">
        <f t="shared" si="24"/>
        <v/>
      </c>
      <c r="AG70" s="245"/>
      <c r="AH70" s="244"/>
      <c r="AI70" s="246"/>
      <c r="AJ70" s="279"/>
      <c r="AK70" s="269"/>
      <c r="AL70" s="443" t="str">
        <f>IF(AK70="","",VLOOKUP(AK70,案件コード!$A$1:$B$31,2,FALSE()))</f>
        <v/>
      </c>
      <c r="AM70" s="443"/>
      <c r="AN70" s="443"/>
      <c r="AO70" s="102" t="str">
        <f t="shared" si="25"/>
        <v/>
      </c>
      <c r="AP70" s="245"/>
      <c r="AQ70" s="244"/>
      <c r="AR70" s="246"/>
      <c r="AS70" s="279"/>
      <c r="AT70" s="269"/>
      <c r="AU70" s="443" t="str">
        <f>IF(AT70="","",VLOOKUP(AT70,案件コード!$A$1:$B$31,2,FALSE()))</f>
        <v/>
      </c>
      <c r="AV70" s="443"/>
      <c r="AW70" s="443"/>
      <c r="AX70" s="102" t="str">
        <f t="shared" si="26"/>
        <v/>
      </c>
      <c r="AY70" s="245"/>
      <c r="AZ70" s="244"/>
      <c r="BA70" s="246"/>
      <c r="BB70" s="279"/>
      <c r="BC70" s="269"/>
      <c r="BD70" s="443" t="str">
        <f>IF(BC70="","",VLOOKUP(BC70,案件コード!$A$1:$B$31,2,FALSE()))</f>
        <v/>
      </c>
      <c r="BE70" s="443"/>
      <c r="BF70" s="443"/>
      <c r="BG70" s="102" t="str">
        <f t="shared" si="27"/>
        <v/>
      </c>
      <c r="BH70" s="245"/>
      <c r="BI70" s="244"/>
      <c r="BJ70" s="246"/>
      <c r="BK70" s="279"/>
    </row>
    <row r="71" spans="1:63">
      <c r="A71" s="269"/>
      <c r="B71" s="443" t="str">
        <f>IF(A71="","",VLOOKUP(A71,案件コード!$A$1:$B$31,2,FALSE()))</f>
        <v/>
      </c>
      <c r="C71" s="443"/>
      <c r="D71" s="443"/>
      <c r="E71" s="102" t="str">
        <f t="shared" si="21"/>
        <v/>
      </c>
      <c r="F71" s="245"/>
      <c r="G71" s="244"/>
      <c r="H71" s="246"/>
      <c r="I71" s="279"/>
      <c r="J71" s="269"/>
      <c r="K71" s="443" t="str">
        <f>IF(J71="","",VLOOKUP(J71,案件コード!$A$1:$B$31,2,FALSE()))</f>
        <v/>
      </c>
      <c r="L71" s="443"/>
      <c r="M71" s="443"/>
      <c r="N71" s="102" t="str">
        <f t="shared" si="22"/>
        <v/>
      </c>
      <c r="O71" s="245"/>
      <c r="P71" s="244"/>
      <c r="Q71" s="246"/>
      <c r="R71" s="279"/>
      <c r="S71" s="269"/>
      <c r="T71" s="443" t="str">
        <f>IF(S71="","",VLOOKUP(S71,案件コード!$A$1:$B$31,2,FALSE()))</f>
        <v/>
      </c>
      <c r="U71" s="443"/>
      <c r="V71" s="443"/>
      <c r="W71" s="102" t="str">
        <f t="shared" si="23"/>
        <v/>
      </c>
      <c r="X71" s="245"/>
      <c r="Y71" s="244"/>
      <c r="Z71" s="246"/>
      <c r="AA71" s="279"/>
      <c r="AB71" s="269"/>
      <c r="AC71" s="443" t="str">
        <f>IF(AB71="","",VLOOKUP(AB71,案件コード!$A$1:$B$31,2,FALSE()))</f>
        <v/>
      </c>
      <c r="AD71" s="443"/>
      <c r="AE71" s="443"/>
      <c r="AF71" s="102" t="str">
        <f t="shared" si="24"/>
        <v/>
      </c>
      <c r="AG71" s="245"/>
      <c r="AH71" s="244"/>
      <c r="AI71" s="246"/>
      <c r="AJ71" s="279"/>
      <c r="AK71" s="269"/>
      <c r="AL71" s="443" t="str">
        <f>IF(AK71="","",VLOOKUP(AK71,案件コード!$A$1:$B$31,2,FALSE()))</f>
        <v/>
      </c>
      <c r="AM71" s="443"/>
      <c r="AN71" s="443"/>
      <c r="AO71" s="102" t="str">
        <f t="shared" si="25"/>
        <v/>
      </c>
      <c r="AP71" s="245"/>
      <c r="AQ71" s="244"/>
      <c r="AR71" s="246"/>
      <c r="AS71" s="279"/>
      <c r="AT71" s="269"/>
      <c r="AU71" s="443" t="str">
        <f>IF(AT71="","",VLOOKUP(AT71,案件コード!$A$1:$B$31,2,FALSE()))</f>
        <v/>
      </c>
      <c r="AV71" s="443"/>
      <c r="AW71" s="443"/>
      <c r="AX71" s="102" t="str">
        <f t="shared" si="26"/>
        <v/>
      </c>
      <c r="AY71" s="245"/>
      <c r="AZ71" s="244"/>
      <c r="BA71" s="246"/>
      <c r="BB71" s="279"/>
      <c r="BC71" s="269"/>
      <c r="BD71" s="443" t="str">
        <f>IF(BC71="","",VLOOKUP(BC71,案件コード!$A$1:$B$31,2,FALSE()))</f>
        <v/>
      </c>
      <c r="BE71" s="443"/>
      <c r="BF71" s="443"/>
      <c r="BG71" s="102" t="str">
        <f t="shared" si="27"/>
        <v/>
      </c>
      <c r="BH71" s="245"/>
      <c r="BI71" s="244"/>
      <c r="BJ71" s="246"/>
      <c r="BK71" s="279"/>
    </row>
    <row r="72" spans="1:63">
      <c r="A72" s="269"/>
      <c r="B72" s="443" t="str">
        <f>IF(A72="","",VLOOKUP(A72,案件コード!$A$1:$B$31,2,FALSE()))</f>
        <v/>
      </c>
      <c r="C72" s="443"/>
      <c r="D72" s="443"/>
      <c r="E72" s="102" t="str">
        <f t="shared" si="21"/>
        <v/>
      </c>
      <c r="F72" s="245"/>
      <c r="G72" s="244"/>
      <c r="H72" s="246"/>
      <c r="I72" s="279"/>
      <c r="J72" s="269"/>
      <c r="K72" s="443" t="str">
        <f>IF(J72="","",VLOOKUP(J72,案件コード!$A$1:$B$31,2,FALSE()))</f>
        <v/>
      </c>
      <c r="L72" s="443"/>
      <c r="M72" s="443"/>
      <c r="N72" s="102" t="str">
        <f t="shared" si="22"/>
        <v/>
      </c>
      <c r="O72" s="245"/>
      <c r="P72" s="244"/>
      <c r="Q72" s="246"/>
      <c r="R72" s="279"/>
      <c r="S72" s="269"/>
      <c r="T72" s="443" t="str">
        <f>IF(S72="","",VLOOKUP(S72,案件コード!$A$1:$B$31,2,FALSE()))</f>
        <v/>
      </c>
      <c r="U72" s="443"/>
      <c r="V72" s="443"/>
      <c r="W72" s="102" t="str">
        <f t="shared" si="23"/>
        <v/>
      </c>
      <c r="X72" s="245"/>
      <c r="Y72" s="244"/>
      <c r="Z72" s="246"/>
      <c r="AA72" s="279"/>
      <c r="AB72" s="269"/>
      <c r="AC72" s="443" t="str">
        <f>IF(AB72="","",VLOOKUP(AB72,案件コード!$A$1:$B$31,2,FALSE()))</f>
        <v/>
      </c>
      <c r="AD72" s="443"/>
      <c r="AE72" s="443"/>
      <c r="AF72" s="102" t="str">
        <f t="shared" si="24"/>
        <v/>
      </c>
      <c r="AG72" s="245"/>
      <c r="AH72" s="244"/>
      <c r="AI72" s="246"/>
      <c r="AJ72" s="279"/>
      <c r="AK72" s="269"/>
      <c r="AL72" s="443" t="str">
        <f>IF(AK72="","",VLOOKUP(AK72,案件コード!$A$1:$B$31,2,FALSE()))</f>
        <v/>
      </c>
      <c r="AM72" s="443"/>
      <c r="AN72" s="443"/>
      <c r="AO72" s="102" t="str">
        <f t="shared" si="25"/>
        <v/>
      </c>
      <c r="AP72" s="245"/>
      <c r="AQ72" s="244"/>
      <c r="AR72" s="246"/>
      <c r="AS72" s="279"/>
      <c r="AT72" s="269"/>
      <c r="AU72" s="443" t="str">
        <f>IF(AT72="","",VLOOKUP(AT72,案件コード!$A$1:$B$31,2,FALSE()))</f>
        <v/>
      </c>
      <c r="AV72" s="443"/>
      <c r="AW72" s="443"/>
      <c r="AX72" s="102" t="str">
        <f t="shared" si="26"/>
        <v/>
      </c>
      <c r="AY72" s="245"/>
      <c r="AZ72" s="244"/>
      <c r="BA72" s="246"/>
      <c r="BB72" s="279"/>
      <c r="BC72" s="269"/>
      <c r="BD72" s="443" t="str">
        <f>IF(BC72="","",VLOOKUP(BC72,案件コード!$A$1:$B$31,2,FALSE()))</f>
        <v/>
      </c>
      <c r="BE72" s="443"/>
      <c r="BF72" s="443"/>
      <c r="BG72" s="102" t="str">
        <f t="shared" si="27"/>
        <v/>
      </c>
      <c r="BH72" s="245"/>
      <c r="BI72" s="244"/>
      <c r="BJ72" s="246"/>
      <c r="BK72" s="279"/>
    </row>
    <row r="73" spans="1:63">
      <c r="A73" s="269"/>
      <c r="B73" s="443" t="str">
        <f>IF(A73="","",VLOOKUP(A73,案件コード!$A$1:$B$31,2,FALSE()))</f>
        <v/>
      </c>
      <c r="C73" s="443"/>
      <c r="D73" s="443"/>
      <c r="E73" s="102" t="str">
        <f t="shared" si="21"/>
        <v/>
      </c>
      <c r="F73" s="245"/>
      <c r="G73" s="244"/>
      <c r="H73" s="246"/>
      <c r="I73" s="279"/>
      <c r="J73" s="269"/>
      <c r="K73" s="443" t="str">
        <f>IF(J73="","",VLOOKUP(J73,案件コード!$A$1:$B$31,2,FALSE()))</f>
        <v/>
      </c>
      <c r="L73" s="443"/>
      <c r="M73" s="443"/>
      <c r="N73" s="102" t="str">
        <f t="shared" si="22"/>
        <v/>
      </c>
      <c r="O73" s="245"/>
      <c r="P73" s="244"/>
      <c r="Q73" s="246"/>
      <c r="R73" s="279"/>
      <c r="S73" s="269"/>
      <c r="T73" s="443" t="str">
        <f>IF(S73="","",VLOOKUP(S73,案件コード!$A$1:$B$31,2,FALSE()))</f>
        <v/>
      </c>
      <c r="U73" s="443"/>
      <c r="V73" s="443"/>
      <c r="W73" s="102" t="str">
        <f t="shared" si="23"/>
        <v/>
      </c>
      <c r="X73" s="245"/>
      <c r="Y73" s="244"/>
      <c r="Z73" s="246"/>
      <c r="AA73" s="279"/>
      <c r="AB73" s="269"/>
      <c r="AC73" s="443" t="str">
        <f>IF(AB73="","",VLOOKUP(AB73,案件コード!$A$1:$B$31,2,FALSE()))</f>
        <v/>
      </c>
      <c r="AD73" s="443"/>
      <c r="AE73" s="443"/>
      <c r="AF73" s="102" t="str">
        <f t="shared" si="24"/>
        <v/>
      </c>
      <c r="AG73" s="245"/>
      <c r="AH73" s="244"/>
      <c r="AI73" s="246"/>
      <c r="AJ73" s="279"/>
      <c r="AK73" s="269"/>
      <c r="AL73" s="443" t="str">
        <f>IF(AK73="","",VLOOKUP(AK73,案件コード!$A$1:$B$31,2,FALSE()))</f>
        <v/>
      </c>
      <c r="AM73" s="443"/>
      <c r="AN73" s="443"/>
      <c r="AO73" s="102" t="str">
        <f t="shared" si="25"/>
        <v/>
      </c>
      <c r="AP73" s="245"/>
      <c r="AQ73" s="244"/>
      <c r="AR73" s="246"/>
      <c r="AS73" s="279"/>
      <c r="AT73" s="269"/>
      <c r="AU73" s="443" t="str">
        <f>IF(AT73="","",VLOOKUP(AT73,案件コード!$A$1:$B$31,2,FALSE()))</f>
        <v/>
      </c>
      <c r="AV73" s="443"/>
      <c r="AW73" s="443"/>
      <c r="AX73" s="102" t="str">
        <f t="shared" si="26"/>
        <v/>
      </c>
      <c r="AY73" s="245"/>
      <c r="AZ73" s="244"/>
      <c r="BA73" s="246"/>
      <c r="BB73" s="279"/>
      <c r="BC73" s="269"/>
      <c r="BD73" s="443" t="str">
        <f>IF(BC73="","",VLOOKUP(BC73,案件コード!$A$1:$B$31,2,FALSE()))</f>
        <v/>
      </c>
      <c r="BE73" s="443"/>
      <c r="BF73" s="443"/>
      <c r="BG73" s="102" t="str">
        <f t="shared" si="27"/>
        <v/>
      </c>
      <c r="BH73" s="245"/>
      <c r="BI73" s="244"/>
      <c r="BJ73" s="246"/>
      <c r="BK73" s="279"/>
    </row>
    <row r="74" spans="1:63">
      <c r="A74" s="269"/>
      <c r="B74" s="443" t="str">
        <f>IF(A74="","",VLOOKUP(A74,案件コード!$A$1:$B$31,2,FALSE()))</f>
        <v/>
      </c>
      <c r="C74" s="443"/>
      <c r="D74" s="443"/>
      <c r="E74" s="102" t="str">
        <f t="shared" si="21"/>
        <v/>
      </c>
      <c r="F74" s="245"/>
      <c r="G74" s="244"/>
      <c r="H74" s="246"/>
      <c r="I74" s="279"/>
      <c r="J74" s="269"/>
      <c r="K74" s="443" t="str">
        <f>IF(J74="","",VLOOKUP(J74,案件コード!$A$1:$B$31,2,FALSE()))</f>
        <v/>
      </c>
      <c r="L74" s="443"/>
      <c r="M74" s="443"/>
      <c r="N74" s="102" t="str">
        <f t="shared" si="22"/>
        <v/>
      </c>
      <c r="O74" s="245"/>
      <c r="P74" s="244"/>
      <c r="Q74" s="246"/>
      <c r="R74" s="279"/>
      <c r="S74" s="269"/>
      <c r="T74" s="443" t="str">
        <f>IF(S74="","",VLOOKUP(S74,案件コード!$A$1:$B$31,2,FALSE()))</f>
        <v/>
      </c>
      <c r="U74" s="443"/>
      <c r="V74" s="443"/>
      <c r="W74" s="102" t="str">
        <f t="shared" si="23"/>
        <v/>
      </c>
      <c r="X74" s="245"/>
      <c r="Y74" s="244"/>
      <c r="Z74" s="246"/>
      <c r="AA74" s="279"/>
      <c r="AB74" s="269"/>
      <c r="AC74" s="443" t="str">
        <f>IF(AB74="","",VLOOKUP(AB74,案件コード!$A$1:$B$31,2,FALSE()))</f>
        <v/>
      </c>
      <c r="AD74" s="443"/>
      <c r="AE74" s="443"/>
      <c r="AF74" s="102" t="str">
        <f t="shared" si="24"/>
        <v/>
      </c>
      <c r="AG74" s="245"/>
      <c r="AH74" s="244"/>
      <c r="AI74" s="246"/>
      <c r="AJ74" s="279"/>
      <c r="AK74" s="269"/>
      <c r="AL74" s="443" t="str">
        <f>IF(AK74="","",VLOOKUP(AK74,案件コード!$A$1:$B$31,2,FALSE()))</f>
        <v/>
      </c>
      <c r="AM74" s="443"/>
      <c r="AN74" s="443"/>
      <c r="AO74" s="102" t="str">
        <f t="shared" si="25"/>
        <v/>
      </c>
      <c r="AP74" s="245"/>
      <c r="AQ74" s="244"/>
      <c r="AR74" s="246"/>
      <c r="AS74" s="279"/>
      <c r="AT74" s="269"/>
      <c r="AU74" s="443" t="str">
        <f>IF(AT74="","",VLOOKUP(AT74,案件コード!$A$1:$B$31,2,FALSE()))</f>
        <v/>
      </c>
      <c r="AV74" s="443"/>
      <c r="AW74" s="443"/>
      <c r="AX74" s="102" t="str">
        <f t="shared" si="26"/>
        <v/>
      </c>
      <c r="AY74" s="245"/>
      <c r="AZ74" s="244"/>
      <c r="BA74" s="246"/>
      <c r="BB74" s="279"/>
      <c r="BC74" s="269"/>
      <c r="BD74" s="443" t="str">
        <f>IF(BC74="","",VLOOKUP(BC74,案件コード!$A$1:$B$31,2,FALSE()))</f>
        <v/>
      </c>
      <c r="BE74" s="443"/>
      <c r="BF74" s="443"/>
      <c r="BG74" s="102" t="str">
        <f t="shared" si="27"/>
        <v/>
      </c>
      <c r="BH74" s="245"/>
      <c r="BI74" s="244"/>
      <c r="BJ74" s="246"/>
      <c r="BK74" s="279"/>
    </row>
    <row r="75" spans="1:63">
      <c r="A75" s="269"/>
      <c r="B75" s="443" t="str">
        <f>IF(A75="","",VLOOKUP(A75,案件コード!$A$1:$B$31,2,FALSE()))</f>
        <v/>
      </c>
      <c r="C75" s="443"/>
      <c r="D75" s="443"/>
      <c r="E75" s="102" t="str">
        <f t="shared" si="21"/>
        <v/>
      </c>
      <c r="F75" s="245"/>
      <c r="G75" s="244"/>
      <c r="H75" s="246"/>
      <c r="I75" s="279"/>
      <c r="J75" s="269"/>
      <c r="K75" s="443" t="str">
        <f>IF(J75="","",VLOOKUP(J75,案件コード!$A$1:$B$31,2,FALSE()))</f>
        <v/>
      </c>
      <c r="L75" s="443"/>
      <c r="M75" s="443"/>
      <c r="N75" s="102" t="str">
        <f t="shared" si="22"/>
        <v/>
      </c>
      <c r="O75" s="245"/>
      <c r="P75" s="244"/>
      <c r="Q75" s="246"/>
      <c r="R75" s="279"/>
      <c r="S75" s="269"/>
      <c r="T75" s="443" t="str">
        <f>IF(S75="","",VLOOKUP(S75,案件コード!$A$1:$B$31,2,FALSE()))</f>
        <v/>
      </c>
      <c r="U75" s="443"/>
      <c r="V75" s="443"/>
      <c r="W75" s="102" t="str">
        <f t="shared" si="23"/>
        <v/>
      </c>
      <c r="X75" s="245"/>
      <c r="Y75" s="244"/>
      <c r="Z75" s="246"/>
      <c r="AA75" s="279"/>
      <c r="AB75" s="269"/>
      <c r="AC75" s="443" t="str">
        <f>IF(AB75="","",VLOOKUP(AB75,案件コード!$A$1:$B$31,2,FALSE()))</f>
        <v/>
      </c>
      <c r="AD75" s="443"/>
      <c r="AE75" s="443"/>
      <c r="AF75" s="102" t="str">
        <f t="shared" si="24"/>
        <v/>
      </c>
      <c r="AG75" s="245"/>
      <c r="AH75" s="244"/>
      <c r="AI75" s="246"/>
      <c r="AJ75" s="279"/>
      <c r="AK75" s="269"/>
      <c r="AL75" s="443" t="str">
        <f>IF(AK75="","",VLOOKUP(AK75,案件コード!$A$1:$B$31,2,FALSE()))</f>
        <v/>
      </c>
      <c r="AM75" s="443"/>
      <c r="AN75" s="443"/>
      <c r="AO75" s="102" t="str">
        <f t="shared" si="25"/>
        <v/>
      </c>
      <c r="AP75" s="245"/>
      <c r="AQ75" s="244"/>
      <c r="AR75" s="246"/>
      <c r="AS75" s="279"/>
      <c r="AT75" s="269"/>
      <c r="AU75" s="443" t="str">
        <f>IF(AT75="","",VLOOKUP(AT75,案件コード!$A$1:$B$31,2,FALSE()))</f>
        <v/>
      </c>
      <c r="AV75" s="443"/>
      <c r="AW75" s="443"/>
      <c r="AX75" s="102" t="str">
        <f t="shared" si="26"/>
        <v/>
      </c>
      <c r="AY75" s="245"/>
      <c r="AZ75" s="244"/>
      <c r="BA75" s="246"/>
      <c r="BB75" s="279"/>
      <c r="BC75" s="269"/>
      <c r="BD75" s="443" t="str">
        <f>IF(BC75="","",VLOOKUP(BC75,案件コード!$A$1:$B$31,2,FALSE()))</f>
        <v/>
      </c>
      <c r="BE75" s="443"/>
      <c r="BF75" s="443"/>
      <c r="BG75" s="102" t="str">
        <f t="shared" si="27"/>
        <v/>
      </c>
      <c r="BH75" s="245"/>
      <c r="BI75" s="244"/>
      <c r="BJ75" s="246"/>
      <c r="BK75" s="279"/>
    </row>
    <row r="76" spans="1:63">
      <c r="A76" s="269"/>
      <c r="B76" s="443" t="str">
        <f>IF(A76="","",VLOOKUP(A76,案件コード!$A$1:$B$31,2,FALSE()))</f>
        <v/>
      </c>
      <c r="C76" s="443"/>
      <c r="D76" s="443"/>
      <c r="E76" s="102" t="str">
        <f t="shared" si="21"/>
        <v/>
      </c>
      <c r="F76" s="245"/>
      <c r="G76" s="244"/>
      <c r="H76" s="246"/>
      <c r="I76" s="279"/>
      <c r="J76" s="269"/>
      <c r="K76" s="443" t="str">
        <f>IF(J76="","",VLOOKUP(J76,案件コード!$A$1:$B$31,2,FALSE()))</f>
        <v/>
      </c>
      <c r="L76" s="443"/>
      <c r="M76" s="443"/>
      <c r="N76" s="102" t="str">
        <f t="shared" si="22"/>
        <v/>
      </c>
      <c r="O76" s="245"/>
      <c r="P76" s="244"/>
      <c r="Q76" s="246"/>
      <c r="R76" s="279"/>
      <c r="S76" s="269"/>
      <c r="T76" s="443" t="str">
        <f>IF(S76="","",VLOOKUP(S76,案件コード!$A$1:$B$31,2,FALSE()))</f>
        <v/>
      </c>
      <c r="U76" s="443"/>
      <c r="V76" s="443"/>
      <c r="W76" s="102" t="str">
        <f t="shared" si="23"/>
        <v/>
      </c>
      <c r="X76" s="245"/>
      <c r="Y76" s="244"/>
      <c r="Z76" s="246"/>
      <c r="AA76" s="279"/>
      <c r="AB76" s="269"/>
      <c r="AC76" s="443" t="str">
        <f>IF(AB76="","",VLOOKUP(AB76,案件コード!$A$1:$B$31,2,FALSE()))</f>
        <v/>
      </c>
      <c r="AD76" s="443"/>
      <c r="AE76" s="443"/>
      <c r="AF76" s="102" t="str">
        <f t="shared" si="24"/>
        <v/>
      </c>
      <c r="AG76" s="245"/>
      <c r="AH76" s="244"/>
      <c r="AI76" s="246"/>
      <c r="AJ76" s="279"/>
      <c r="AK76" s="269"/>
      <c r="AL76" s="443" t="str">
        <f>IF(AK76="","",VLOOKUP(AK76,案件コード!$A$1:$B$31,2,FALSE()))</f>
        <v/>
      </c>
      <c r="AM76" s="443"/>
      <c r="AN76" s="443"/>
      <c r="AO76" s="102" t="str">
        <f t="shared" si="25"/>
        <v/>
      </c>
      <c r="AP76" s="245"/>
      <c r="AQ76" s="244"/>
      <c r="AR76" s="246"/>
      <c r="AS76" s="279"/>
      <c r="AT76" s="269"/>
      <c r="AU76" s="443" t="str">
        <f>IF(AT76="","",VLOOKUP(AT76,案件コード!$A$1:$B$31,2,FALSE()))</f>
        <v/>
      </c>
      <c r="AV76" s="443"/>
      <c r="AW76" s="443"/>
      <c r="AX76" s="102" t="str">
        <f t="shared" si="26"/>
        <v/>
      </c>
      <c r="AY76" s="245"/>
      <c r="AZ76" s="244"/>
      <c r="BA76" s="246"/>
      <c r="BB76" s="279"/>
      <c r="BC76" s="269"/>
      <c r="BD76" s="443" t="str">
        <f>IF(BC76="","",VLOOKUP(BC76,案件コード!$A$1:$B$31,2,FALSE()))</f>
        <v/>
      </c>
      <c r="BE76" s="443"/>
      <c r="BF76" s="443"/>
      <c r="BG76" s="102" t="str">
        <f t="shared" si="27"/>
        <v/>
      </c>
      <c r="BH76" s="245"/>
      <c r="BI76" s="244"/>
      <c r="BJ76" s="246"/>
      <c r="BK76" s="279"/>
    </row>
    <row r="77" spans="1:63">
      <c r="A77" s="269"/>
      <c r="B77" s="443" t="str">
        <f>IF(A77="","",VLOOKUP(A77,案件コード!$A$1:$B$31,2,FALSE()))</f>
        <v/>
      </c>
      <c r="C77" s="443"/>
      <c r="D77" s="443"/>
      <c r="E77" s="102" t="str">
        <f t="shared" si="21"/>
        <v/>
      </c>
      <c r="F77" s="245"/>
      <c r="G77" s="244"/>
      <c r="H77" s="246"/>
      <c r="I77" s="279"/>
      <c r="J77" s="269"/>
      <c r="K77" s="443" t="str">
        <f>IF(J77="","",VLOOKUP(J77,案件コード!$A$1:$B$31,2,FALSE()))</f>
        <v/>
      </c>
      <c r="L77" s="443"/>
      <c r="M77" s="443"/>
      <c r="N77" s="102" t="str">
        <f t="shared" si="22"/>
        <v/>
      </c>
      <c r="O77" s="245"/>
      <c r="P77" s="244"/>
      <c r="Q77" s="246"/>
      <c r="R77" s="279"/>
      <c r="S77" s="269"/>
      <c r="T77" s="443" t="str">
        <f>IF(S77="","",VLOOKUP(S77,案件コード!$A$1:$B$31,2,FALSE()))</f>
        <v/>
      </c>
      <c r="U77" s="443"/>
      <c r="V77" s="443"/>
      <c r="W77" s="102" t="str">
        <f t="shared" si="23"/>
        <v/>
      </c>
      <c r="X77" s="245"/>
      <c r="Y77" s="244"/>
      <c r="Z77" s="246"/>
      <c r="AA77" s="279"/>
      <c r="AB77" s="269"/>
      <c r="AC77" s="443" t="str">
        <f>IF(AB77="","",VLOOKUP(AB77,案件コード!$A$1:$B$31,2,FALSE()))</f>
        <v/>
      </c>
      <c r="AD77" s="443"/>
      <c r="AE77" s="443"/>
      <c r="AF77" s="102" t="str">
        <f t="shared" si="24"/>
        <v/>
      </c>
      <c r="AG77" s="245"/>
      <c r="AH77" s="244"/>
      <c r="AI77" s="246"/>
      <c r="AJ77" s="279"/>
      <c r="AK77" s="269"/>
      <c r="AL77" s="443" t="str">
        <f>IF(AK77="","",VLOOKUP(AK77,案件コード!$A$1:$B$31,2,FALSE()))</f>
        <v/>
      </c>
      <c r="AM77" s="443"/>
      <c r="AN77" s="443"/>
      <c r="AO77" s="102" t="str">
        <f t="shared" si="25"/>
        <v/>
      </c>
      <c r="AP77" s="245"/>
      <c r="AQ77" s="244"/>
      <c r="AR77" s="246"/>
      <c r="AS77" s="279"/>
      <c r="AT77" s="269"/>
      <c r="AU77" s="443" t="str">
        <f>IF(AT77="","",VLOOKUP(AT77,案件コード!$A$1:$B$31,2,FALSE()))</f>
        <v/>
      </c>
      <c r="AV77" s="443"/>
      <c r="AW77" s="443"/>
      <c r="AX77" s="102" t="str">
        <f t="shared" si="26"/>
        <v/>
      </c>
      <c r="AY77" s="245"/>
      <c r="AZ77" s="244"/>
      <c r="BA77" s="246"/>
      <c r="BB77" s="279"/>
      <c r="BC77" s="269"/>
      <c r="BD77" s="443" t="str">
        <f>IF(BC77="","",VLOOKUP(BC77,案件コード!$A$1:$B$31,2,FALSE()))</f>
        <v/>
      </c>
      <c r="BE77" s="443"/>
      <c r="BF77" s="443"/>
      <c r="BG77" s="102" t="str">
        <f t="shared" si="27"/>
        <v/>
      </c>
      <c r="BH77" s="245"/>
      <c r="BI77" s="244"/>
      <c r="BJ77" s="246"/>
      <c r="BK77" s="279"/>
    </row>
    <row r="78" spans="1:63">
      <c r="A78" s="269"/>
      <c r="B78" s="443" t="str">
        <f>IF(A78="","",VLOOKUP(A78,案件コード!$A$1:$B$31,2,FALSE()))</f>
        <v/>
      </c>
      <c r="C78" s="443"/>
      <c r="D78" s="443"/>
      <c r="E78" s="102" t="str">
        <f t="shared" si="21"/>
        <v/>
      </c>
      <c r="F78" s="245"/>
      <c r="G78" s="244"/>
      <c r="H78" s="246"/>
      <c r="I78" s="279"/>
      <c r="J78" s="269"/>
      <c r="K78" s="443" t="str">
        <f>IF(J78="","",VLOOKUP(J78,案件コード!$A$1:$B$31,2,FALSE()))</f>
        <v/>
      </c>
      <c r="L78" s="443"/>
      <c r="M78" s="443"/>
      <c r="N78" s="102" t="str">
        <f t="shared" si="22"/>
        <v/>
      </c>
      <c r="O78" s="245"/>
      <c r="P78" s="244"/>
      <c r="Q78" s="246"/>
      <c r="R78" s="279"/>
      <c r="S78" s="269"/>
      <c r="T78" s="443" t="str">
        <f>IF(S78="","",VLOOKUP(S78,案件コード!$A$1:$B$31,2,FALSE()))</f>
        <v/>
      </c>
      <c r="U78" s="443"/>
      <c r="V78" s="443"/>
      <c r="W78" s="102" t="str">
        <f t="shared" si="23"/>
        <v/>
      </c>
      <c r="X78" s="245"/>
      <c r="Y78" s="244"/>
      <c r="Z78" s="246"/>
      <c r="AA78" s="279"/>
      <c r="AB78" s="269"/>
      <c r="AC78" s="443" t="str">
        <f>IF(AB78="","",VLOOKUP(AB78,案件コード!$A$1:$B$31,2,FALSE()))</f>
        <v/>
      </c>
      <c r="AD78" s="443"/>
      <c r="AE78" s="443"/>
      <c r="AF78" s="102" t="str">
        <f t="shared" si="24"/>
        <v/>
      </c>
      <c r="AG78" s="245"/>
      <c r="AH78" s="244"/>
      <c r="AI78" s="246"/>
      <c r="AJ78" s="279"/>
      <c r="AK78" s="269"/>
      <c r="AL78" s="443" t="str">
        <f>IF(AK78="","",VLOOKUP(AK78,案件コード!$A$1:$B$31,2,FALSE()))</f>
        <v/>
      </c>
      <c r="AM78" s="443"/>
      <c r="AN78" s="443"/>
      <c r="AO78" s="102" t="str">
        <f t="shared" si="25"/>
        <v/>
      </c>
      <c r="AP78" s="245"/>
      <c r="AQ78" s="244"/>
      <c r="AR78" s="246"/>
      <c r="AS78" s="279"/>
      <c r="AT78" s="269"/>
      <c r="AU78" s="443" t="str">
        <f>IF(AT78="","",VLOOKUP(AT78,案件コード!$A$1:$B$31,2,FALSE()))</f>
        <v/>
      </c>
      <c r="AV78" s="443"/>
      <c r="AW78" s="443"/>
      <c r="AX78" s="102" t="str">
        <f t="shared" si="26"/>
        <v/>
      </c>
      <c r="AY78" s="245"/>
      <c r="AZ78" s="244"/>
      <c r="BA78" s="246"/>
      <c r="BB78" s="279"/>
      <c r="BC78" s="269"/>
      <c r="BD78" s="443" t="str">
        <f>IF(BC78="","",VLOOKUP(BC78,案件コード!$A$1:$B$31,2,FALSE()))</f>
        <v/>
      </c>
      <c r="BE78" s="443"/>
      <c r="BF78" s="443"/>
      <c r="BG78" s="102" t="str">
        <f t="shared" si="27"/>
        <v/>
      </c>
      <c r="BH78" s="245"/>
      <c r="BI78" s="244"/>
      <c r="BJ78" s="246"/>
      <c r="BK78" s="279"/>
    </row>
    <row r="79" spans="1:63">
      <c r="A79" s="269"/>
      <c r="B79" s="443" t="str">
        <f>IF(A79="","",VLOOKUP(A79,案件コード!$A$1:$B$31,2,FALSE()))</f>
        <v/>
      </c>
      <c r="C79" s="443"/>
      <c r="D79" s="443"/>
      <c r="E79" s="102" t="str">
        <f t="shared" si="21"/>
        <v/>
      </c>
      <c r="F79" s="245"/>
      <c r="G79" s="244"/>
      <c r="H79" s="246"/>
      <c r="I79" s="279"/>
      <c r="J79" s="269"/>
      <c r="K79" s="443" t="str">
        <f>IF(J79="","",VLOOKUP(J79,案件コード!$A$1:$B$31,2,FALSE()))</f>
        <v/>
      </c>
      <c r="L79" s="443"/>
      <c r="M79" s="443"/>
      <c r="N79" s="102" t="str">
        <f t="shared" si="22"/>
        <v/>
      </c>
      <c r="O79" s="245"/>
      <c r="P79" s="244"/>
      <c r="Q79" s="246"/>
      <c r="R79" s="279"/>
      <c r="S79" s="269"/>
      <c r="T79" s="443" t="str">
        <f>IF(S79="","",VLOOKUP(S79,案件コード!$A$1:$B$31,2,FALSE()))</f>
        <v/>
      </c>
      <c r="U79" s="443"/>
      <c r="V79" s="443"/>
      <c r="W79" s="102" t="str">
        <f t="shared" si="23"/>
        <v/>
      </c>
      <c r="X79" s="245"/>
      <c r="Y79" s="244"/>
      <c r="Z79" s="246"/>
      <c r="AA79" s="279"/>
      <c r="AB79" s="269"/>
      <c r="AC79" s="443" t="str">
        <f>IF(AB79="","",VLOOKUP(AB79,案件コード!$A$1:$B$31,2,FALSE()))</f>
        <v/>
      </c>
      <c r="AD79" s="443"/>
      <c r="AE79" s="443"/>
      <c r="AF79" s="102" t="str">
        <f t="shared" si="24"/>
        <v/>
      </c>
      <c r="AG79" s="245"/>
      <c r="AH79" s="244"/>
      <c r="AI79" s="246"/>
      <c r="AJ79" s="279"/>
      <c r="AK79" s="269"/>
      <c r="AL79" s="443" t="str">
        <f>IF(AK79="","",VLOOKUP(AK79,案件コード!$A$1:$B$31,2,FALSE()))</f>
        <v/>
      </c>
      <c r="AM79" s="443"/>
      <c r="AN79" s="443"/>
      <c r="AO79" s="102" t="str">
        <f t="shared" si="25"/>
        <v/>
      </c>
      <c r="AP79" s="245"/>
      <c r="AQ79" s="244"/>
      <c r="AR79" s="246"/>
      <c r="AS79" s="279"/>
      <c r="AT79" s="269"/>
      <c r="AU79" s="443" t="str">
        <f>IF(AT79="","",VLOOKUP(AT79,案件コード!$A$1:$B$31,2,FALSE()))</f>
        <v/>
      </c>
      <c r="AV79" s="443"/>
      <c r="AW79" s="443"/>
      <c r="AX79" s="102" t="str">
        <f t="shared" si="26"/>
        <v/>
      </c>
      <c r="AY79" s="245"/>
      <c r="AZ79" s="244"/>
      <c r="BA79" s="246"/>
      <c r="BB79" s="279"/>
      <c r="BC79" s="269"/>
      <c r="BD79" s="443" t="str">
        <f>IF(BC79="","",VLOOKUP(BC79,案件コード!$A$1:$B$31,2,FALSE()))</f>
        <v/>
      </c>
      <c r="BE79" s="443"/>
      <c r="BF79" s="443"/>
      <c r="BG79" s="102" t="str">
        <f t="shared" si="27"/>
        <v/>
      </c>
      <c r="BH79" s="245"/>
      <c r="BI79" s="244"/>
      <c r="BJ79" s="246"/>
      <c r="BK79" s="279"/>
    </row>
    <row r="80" spans="1:63">
      <c r="A80" s="269"/>
      <c r="B80" s="443" t="str">
        <f>IF(A80="","",VLOOKUP(A80,案件コード!$A$1:$B$31,2,FALSE()))</f>
        <v/>
      </c>
      <c r="C80" s="443"/>
      <c r="D80" s="443"/>
      <c r="E80" s="102" t="str">
        <f t="shared" si="21"/>
        <v/>
      </c>
      <c r="F80" s="245"/>
      <c r="G80" s="244"/>
      <c r="H80" s="246"/>
      <c r="I80" s="279"/>
      <c r="J80" s="269"/>
      <c r="K80" s="443" t="str">
        <f>IF(J80="","",VLOOKUP(J80,案件コード!$A$1:$B$31,2,FALSE()))</f>
        <v/>
      </c>
      <c r="L80" s="443"/>
      <c r="M80" s="443"/>
      <c r="N80" s="102" t="str">
        <f t="shared" si="22"/>
        <v/>
      </c>
      <c r="O80" s="245"/>
      <c r="P80" s="244"/>
      <c r="Q80" s="246"/>
      <c r="R80" s="279"/>
      <c r="S80" s="269"/>
      <c r="T80" s="443" t="str">
        <f>IF(S80="","",VLOOKUP(S80,案件コード!$A$1:$B$31,2,FALSE()))</f>
        <v/>
      </c>
      <c r="U80" s="443"/>
      <c r="V80" s="443"/>
      <c r="W80" s="102" t="str">
        <f t="shared" si="23"/>
        <v/>
      </c>
      <c r="X80" s="245"/>
      <c r="Y80" s="244"/>
      <c r="Z80" s="246"/>
      <c r="AA80" s="279"/>
      <c r="AB80" s="269"/>
      <c r="AC80" s="443" t="str">
        <f>IF(AB80="","",VLOOKUP(AB80,案件コード!$A$1:$B$31,2,FALSE()))</f>
        <v/>
      </c>
      <c r="AD80" s="443"/>
      <c r="AE80" s="443"/>
      <c r="AF80" s="102" t="str">
        <f t="shared" si="24"/>
        <v/>
      </c>
      <c r="AG80" s="245"/>
      <c r="AH80" s="244"/>
      <c r="AI80" s="246"/>
      <c r="AJ80" s="279"/>
      <c r="AK80" s="269"/>
      <c r="AL80" s="443" t="str">
        <f>IF(AK80="","",VLOOKUP(AK80,案件コード!$A$1:$B$31,2,FALSE()))</f>
        <v/>
      </c>
      <c r="AM80" s="443"/>
      <c r="AN80" s="443"/>
      <c r="AO80" s="102" t="str">
        <f t="shared" si="25"/>
        <v/>
      </c>
      <c r="AP80" s="245"/>
      <c r="AQ80" s="244"/>
      <c r="AR80" s="246"/>
      <c r="AS80" s="279"/>
      <c r="AT80" s="269"/>
      <c r="AU80" s="443" t="str">
        <f>IF(AT80="","",VLOOKUP(AT80,案件コード!$A$1:$B$31,2,FALSE()))</f>
        <v/>
      </c>
      <c r="AV80" s="443"/>
      <c r="AW80" s="443"/>
      <c r="AX80" s="102" t="str">
        <f t="shared" si="26"/>
        <v/>
      </c>
      <c r="AY80" s="245"/>
      <c r="AZ80" s="244"/>
      <c r="BA80" s="246"/>
      <c r="BB80" s="279"/>
      <c r="BC80" s="269"/>
      <c r="BD80" s="443" t="str">
        <f>IF(BC80="","",VLOOKUP(BC80,案件コード!$A$1:$B$31,2,FALSE()))</f>
        <v/>
      </c>
      <c r="BE80" s="443"/>
      <c r="BF80" s="443"/>
      <c r="BG80" s="102" t="str">
        <f t="shared" si="27"/>
        <v/>
      </c>
      <c r="BH80" s="245"/>
      <c r="BI80" s="244"/>
      <c r="BJ80" s="246"/>
      <c r="BK80" s="279"/>
    </row>
    <row r="81" spans="1:63">
      <c r="A81" s="269"/>
      <c r="B81" s="443" t="str">
        <f>IF(A81="","",VLOOKUP(A81,案件コード!$A$1:$B$31,2,FALSE()))</f>
        <v/>
      </c>
      <c r="C81" s="443"/>
      <c r="D81" s="443"/>
      <c r="E81" s="102" t="str">
        <f t="shared" si="21"/>
        <v/>
      </c>
      <c r="F81" s="245"/>
      <c r="G81" s="244"/>
      <c r="H81" s="246"/>
      <c r="I81" s="279"/>
      <c r="J81" s="269"/>
      <c r="K81" s="443" t="str">
        <f>IF(J81="","",VLOOKUP(J81,案件コード!$A$1:$B$31,2,FALSE()))</f>
        <v/>
      </c>
      <c r="L81" s="443"/>
      <c r="M81" s="443"/>
      <c r="N81" s="102" t="str">
        <f t="shared" si="22"/>
        <v/>
      </c>
      <c r="O81" s="245"/>
      <c r="P81" s="244"/>
      <c r="Q81" s="246"/>
      <c r="R81" s="279"/>
      <c r="S81" s="269"/>
      <c r="T81" s="443" t="str">
        <f>IF(S81="","",VLOOKUP(S81,案件コード!$A$1:$B$31,2,FALSE()))</f>
        <v/>
      </c>
      <c r="U81" s="443"/>
      <c r="V81" s="443"/>
      <c r="W81" s="102" t="str">
        <f t="shared" si="23"/>
        <v/>
      </c>
      <c r="X81" s="245"/>
      <c r="Y81" s="244"/>
      <c r="Z81" s="246"/>
      <c r="AA81" s="279"/>
      <c r="AB81" s="269"/>
      <c r="AC81" s="443" t="str">
        <f>IF(AB81="","",VLOOKUP(AB81,案件コード!$A$1:$B$31,2,FALSE()))</f>
        <v/>
      </c>
      <c r="AD81" s="443"/>
      <c r="AE81" s="443"/>
      <c r="AF81" s="102" t="str">
        <f t="shared" si="24"/>
        <v/>
      </c>
      <c r="AG81" s="245"/>
      <c r="AH81" s="244"/>
      <c r="AI81" s="246"/>
      <c r="AJ81" s="279"/>
      <c r="AK81" s="269"/>
      <c r="AL81" s="443" t="str">
        <f>IF(AK81="","",VLOOKUP(AK81,案件コード!$A$1:$B$31,2,FALSE()))</f>
        <v/>
      </c>
      <c r="AM81" s="443"/>
      <c r="AN81" s="443"/>
      <c r="AO81" s="102" t="str">
        <f t="shared" si="25"/>
        <v/>
      </c>
      <c r="AP81" s="245"/>
      <c r="AQ81" s="244"/>
      <c r="AR81" s="246"/>
      <c r="AS81" s="279"/>
      <c r="AT81" s="269"/>
      <c r="AU81" s="443" t="str">
        <f>IF(AT81="","",VLOOKUP(AT81,案件コード!$A$1:$B$31,2,FALSE()))</f>
        <v/>
      </c>
      <c r="AV81" s="443"/>
      <c r="AW81" s="443"/>
      <c r="AX81" s="102" t="str">
        <f t="shared" si="26"/>
        <v/>
      </c>
      <c r="AY81" s="245"/>
      <c r="AZ81" s="244"/>
      <c r="BA81" s="246"/>
      <c r="BB81" s="279"/>
      <c r="BC81" s="269"/>
      <c r="BD81" s="443" t="str">
        <f>IF(BC81="","",VLOOKUP(BC81,案件コード!$A$1:$B$31,2,FALSE()))</f>
        <v/>
      </c>
      <c r="BE81" s="443"/>
      <c r="BF81" s="443"/>
      <c r="BG81" s="102" t="str">
        <f t="shared" si="27"/>
        <v/>
      </c>
      <c r="BH81" s="245"/>
      <c r="BI81" s="244"/>
      <c r="BJ81" s="246"/>
      <c r="BK81" s="279"/>
    </row>
    <row r="82" spans="1:63">
      <c r="A82" s="269"/>
      <c r="B82" s="443" t="str">
        <f>IF(A82="","",VLOOKUP(A82,案件コード!$A$1:$B$31,2,FALSE()))</f>
        <v/>
      </c>
      <c r="C82" s="443"/>
      <c r="D82" s="443"/>
      <c r="E82" s="102" t="str">
        <f t="shared" si="21"/>
        <v/>
      </c>
      <c r="F82" s="245"/>
      <c r="G82" s="244"/>
      <c r="H82" s="246"/>
      <c r="I82" s="279"/>
      <c r="J82" s="269"/>
      <c r="K82" s="443" t="str">
        <f>IF(J82="","",VLOOKUP(J82,案件コード!$A$1:$B$31,2,FALSE()))</f>
        <v/>
      </c>
      <c r="L82" s="443"/>
      <c r="M82" s="443"/>
      <c r="N82" s="102" t="str">
        <f t="shared" si="22"/>
        <v/>
      </c>
      <c r="O82" s="245"/>
      <c r="P82" s="244"/>
      <c r="Q82" s="246"/>
      <c r="R82" s="279"/>
      <c r="S82" s="269"/>
      <c r="T82" s="443" t="str">
        <f>IF(S82="","",VLOOKUP(S82,案件コード!$A$1:$B$31,2,FALSE()))</f>
        <v/>
      </c>
      <c r="U82" s="443"/>
      <c r="V82" s="443"/>
      <c r="W82" s="102" t="str">
        <f t="shared" si="23"/>
        <v/>
      </c>
      <c r="X82" s="245"/>
      <c r="Y82" s="244"/>
      <c r="Z82" s="246"/>
      <c r="AA82" s="279"/>
      <c r="AB82" s="269"/>
      <c r="AC82" s="443" t="str">
        <f>IF(AB82="","",VLOOKUP(AB82,案件コード!$A$1:$B$31,2,FALSE()))</f>
        <v/>
      </c>
      <c r="AD82" s="443"/>
      <c r="AE82" s="443"/>
      <c r="AF82" s="102" t="str">
        <f t="shared" si="24"/>
        <v/>
      </c>
      <c r="AG82" s="245"/>
      <c r="AH82" s="244"/>
      <c r="AI82" s="246"/>
      <c r="AJ82" s="279"/>
      <c r="AK82" s="269"/>
      <c r="AL82" s="443" t="str">
        <f>IF(AK82="","",VLOOKUP(AK82,案件コード!$A$1:$B$31,2,FALSE()))</f>
        <v/>
      </c>
      <c r="AM82" s="443"/>
      <c r="AN82" s="443"/>
      <c r="AO82" s="102" t="str">
        <f t="shared" si="25"/>
        <v/>
      </c>
      <c r="AP82" s="245"/>
      <c r="AQ82" s="244"/>
      <c r="AR82" s="246"/>
      <c r="AS82" s="279"/>
      <c r="AT82" s="269"/>
      <c r="AU82" s="443" t="str">
        <f>IF(AT82="","",VLOOKUP(AT82,案件コード!$A$1:$B$31,2,FALSE()))</f>
        <v/>
      </c>
      <c r="AV82" s="443"/>
      <c r="AW82" s="443"/>
      <c r="AX82" s="102" t="str">
        <f t="shared" si="26"/>
        <v/>
      </c>
      <c r="AY82" s="245"/>
      <c r="AZ82" s="244"/>
      <c r="BA82" s="246"/>
      <c r="BB82" s="279"/>
      <c r="BC82" s="269"/>
      <c r="BD82" s="443" t="str">
        <f>IF(BC82="","",VLOOKUP(BC82,案件コード!$A$1:$B$31,2,FALSE()))</f>
        <v/>
      </c>
      <c r="BE82" s="443"/>
      <c r="BF82" s="443"/>
      <c r="BG82" s="102" t="str">
        <f t="shared" si="27"/>
        <v/>
      </c>
      <c r="BH82" s="245"/>
      <c r="BI82" s="244"/>
      <c r="BJ82" s="246"/>
      <c r="BK82" s="279"/>
    </row>
    <row r="83" spans="1:63" ht="18.600000000000001" thickBot="1">
      <c r="A83" s="272"/>
      <c r="B83" s="444" t="str">
        <f>IF(A83="","",VLOOKUP(A83,案件コード!$A$1:$B$31,2,FALSE()))</f>
        <v/>
      </c>
      <c r="C83" s="444"/>
      <c r="D83" s="444"/>
      <c r="E83" s="273" t="str">
        <f t="shared" si="21"/>
        <v/>
      </c>
      <c r="F83" s="274"/>
      <c r="G83" s="275"/>
      <c r="H83" s="276"/>
      <c r="I83" s="280"/>
      <c r="J83" s="272"/>
      <c r="K83" s="444" t="str">
        <f>IF(J83="","",VLOOKUP(J83,案件コード!$A$1:$B$31,2,FALSE()))</f>
        <v/>
      </c>
      <c r="L83" s="444"/>
      <c r="M83" s="444"/>
      <c r="N83" s="273" t="str">
        <f t="shared" si="22"/>
        <v/>
      </c>
      <c r="O83" s="274"/>
      <c r="P83" s="275"/>
      <c r="Q83" s="276"/>
      <c r="R83" s="280"/>
      <c r="S83" s="272"/>
      <c r="T83" s="444" t="str">
        <f>IF(S83="","",VLOOKUP(S83,案件コード!$A$1:$B$31,2,FALSE()))</f>
        <v/>
      </c>
      <c r="U83" s="444"/>
      <c r="V83" s="444"/>
      <c r="W83" s="273" t="str">
        <f t="shared" si="23"/>
        <v/>
      </c>
      <c r="X83" s="274"/>
      <c r="Y83" s="275"/>
      <c r="Z83" s="276"/>
      <c r="AA83" s="280"/>
      <c r="AB83" s="272"/>
      <c r="AC83" s="444" t="str">
        <f>IF(AB83="","",VLOOKUP(AB83,案件コード!$A$1:$B$31,2,FALSE()))</f>
        <v/>
      </c>
      <c r="AD83" s="444"/>
      <c r="AE83" s="444"/>
      <c r="AF83" s="273" t="str">
        <f t="shared" si="24"/>
        <v/>
      </c>
      <c r="AG83" s="274"/>
      <c r="AH83" s="275"/>
      <c r="AI83" s="276"/>
      <c r="AJ83" s="280"/>
      <c r="AK83" s="272"/>
      <c r="AL83" s="444" t="str">
        <f>IF(AK83="","",VLOOKUP(AK83,案件コード!$A$1:$B$31,2,FALSE()))</f>
        <v/>
      </c>
      <c r="AM83" s="444"/>
      <c r="AN83" s="444"/>
      <c r="AO83" s="273" t="str">
        <f t="shared" si="25"/>
        <v/>
      </c>
      <c r="AP83" s="274"/>
      <c r="AQ83" s="275"/>
      <c r="AR83" s="276"/>
      <c r="AS83" s="280"/>
      <c r="AT83" s="272"/>
      <c r="AU83" s="444" t="str">
        <f>IF(AT83="","",VLOOKUP(AT83,案件コード!$A$1:$B$31,2,FALSE()))</f>
        <v/>
      </c>
      <c r="AV83" s="444"/>
      <c r="AW83" s="444"/>
      <c r="AX83" s="273" t="str">
        <f t="shared" si="26"/>
        <v/>
      </c>
      <c r="AY83" s="274"/>
      <c r="AZ83" s="275"/>
      <c r="BA83" s="276"/>
      <c r="BB83" s="280"/>
      <c r="BC83" s="272"/>
      <c r="BD83" s="444" t="str">
        <f>IF(BC83="","",VLOOKUP(BC83,案件コード!$A$1:$B$31,2,FALSE()))</f>
        <v/>
      </c>
      <c r="BE83" s="444"/>
      <c r="BF83" s="444"/>
      <c r="BG83" s="273" t="str">
        <f t="shared" si="27"/>
        <v/>
      </c>
      <c r="BH83" s="274"/>
      <c r="BI83" s="275"/>
      <c r="BJ83" s="276"/>
      <c r="BK83" s="280"/>
    </row>
    <row r="84" spans="1:63" ht="18.600000000000001" thickBot="1">
      <c r="A84" s="334">
        <f>A66</f>
        <v>45679</v>
      </c>
      <c r="B84" s="333" t="s">
        <v>291</v>
      </c>
      <c r="C84" s="456"/>
      <c r="D84" s="457"/>
      <c r="E84" s="457"/>
      <c r="F84" s="457"/>
      <c r="G84" s="458"/>
      <c r="H84" s="412">
        <f>SUM(H69:H83)</f>
        <v>0</v>
      </c>
      <c r="I84" s="91" t="s">
        <v>371</v>
      </c>
      <c r="J84" s="334">
        <f>J66</f>
        <v>45680</v>
      </c>
      <c r="K84" s="333" t="s">
        <v>291</v>
      </c>
      <c r="L84" s="456"/>
      <c r="M84" s="457"/>
      <c r="N84" s="457"/>
      <c r="O84" s="457"/>
      <c r="P84" s="458"/>
      <c r="Q84" s="412">
        <f>SUM(Q69:Q83)</f>
        <v>0</v>
      </c>
      <c r="R84" s="91" t="s">
        <v>371</v>
      </c>
      <c r="S84" s="334">
        <f>S66</f>
        <v>45681</v>
      </c>
      <c r="T84" s="333" t="s">
        <v>291</v>
      </c>
      <c r="U84" s="456"/>
      <c r="V84" s="457"/>
      <c r="W84" s="457"/>
      <c r="X84" s="457"/>
      <c r="Y84" s="458"/>
      <c r="Z84" s="412">
        <f>SUM(Z69:Z83)</f>
        <v>0</v>
      </c>
      <c r="AA84" s="91" t="s">
        <v>371</v>
      </c>
      <c r="AB84" s="334">
        <f>AB66</f>
        <v>45682</v>
      </c>
      <c r="AC84" s="333" t="s">
        <v>291</v>
      </c>
      <c r="AD84" s="456"/>
      <c r="AE84" s="457"/>
      <c r="AF84" s="457"/>
      <c r="AG84" s="457"/>
      <c r="AH84" s="458"/>
      <c r="AI84" s="412">
        <f>SUM(AI69:AI83)</f>
        <v>0</v>
      </c>
      <c r="AJ84" s="91" t="s">
        <v>371</v>
      </c>
      <c r="AK84" s="334">
        <f>AK66</f>
        <v>45683</v>
      </c>
      <c r="AL84" s="333" t="s">
        <v>291</v>
      </c>
      <c r="AM84" s="456"/>
      <c r="AN84" s="457"/>
      <c r="AO84" s="457"/>
      <c r="AP84" s="457"/>
      <c r="AQ84" s="458"/>
      <c r="AR84" s="412">
        <f>SUM(AR69:AR83)</f>
        <v>0</v>
      </c>
      <c r="AS84" s="91" t="s">
        <v>371</v>
      </c>
      <c r="AT84" s="334">
        <f>AT66</f>
        <v>45684</v>
      </c>
      <c r="AU84" s="333" t="s">
        <v>291</v>
      </c>
      <c r="AV84" s="456"/>
      <c r="AW84" s="457"/>
      <c r="AX84" s="457"/>
      <c r="AY84" s="457"/>
      <c r="AZ84" s="458"/>
      <c r="BA84" s="412">
        <f>SUM(BA69:BA83)</f>
        <v>0</v>
      </c>
      <c r="BB84" s="91" t="s">
        <v>371</v>
      </c>
      <c r="BC84" s="334">
        <f>BC66</f>
        <v>45685</v>
      </c>
      <c r="BD84" s="333" t="s">
        <v>291</v>
      </c>
      <c r="BE84" s="456"/>
      <c r="BF84" s="457"/>
      <c r="BG84" s="457"/>
      <c r="BH84" s="457"/>
      <c r="BI84" s="458"/>
      <c r="BJ84" s="412">
        <f>SUM(BJ69:BJ83)</f>
        <v>0</v>
      </c>
      <c r="BK84" s="91" t="s">
        <v>371</v>
      </c>
    </row>
    <row r="85" spans="1:63">
      <c r="A85" s="448" t="s">
        <v>14</v>
      </c>
      <c r="B85" s="449"/>
      <c r="C85" s="450" t="s">
        <v>15</v>
      </c>
      <c r="D85" s="450"/>
      <c r="E85" s="450" t="s">
        <v>16</v>
      </c>
      <c r="F85" s="451"/>
      <c r="G85" s="37"/>
      <c r="H85" s="37"/>
      <c r="I85" s="37"/>
      <c r="J85" s="448" t="s">
        <v>14</v>
      </c>
      <c r="K85" s="449"/>
      <c r="L85" s="450" t="s">
        <v>15</v>
      </c>
      <c r="M85" s="450"/>
      <c r="N85" s="450" t="s">
        <v>16</v>
      </c>
      <c r="O85" s="451"/>
      <c r="P85" s="37"/>
      <c r="Q85" s="37"/>
      <c r="R85" s="37"/>
      <c r="S85" s="448" t="s">
        <v>14</v>
      </c>
      <c r="T85" s="449"/>
      <c r="U85" s="450" t="s">
        <v>15</v>
      </c>
      <c r="V85" s="450"/>
      <c r="W85" s="450" t="s">
        <v>16</v>
      </c>
      <c r="X85" s="451"/>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445">
        <f>IF(DAY(DATE($A$1,$B$1,29))=29,BC66+1,"")</f>
        <v>45686</v>
      </c>
      <c r="B86" s="446"/>
      <c r="C86" s="249"/>
      <c r="D86" s="249"/>
      <c r="E86" s="250" t="str">
        <f>IF(C86="","",D86-C86-H86)</f>
        <v/>
      </c>
      <c r="F86" s="251" t="str">
        <f>IF(AND(E86=""),"",SUM(E89:E103))</f>
        <v/>
      </c>
      <c r="G86" s="103" t="s">
        <v>17</v>
      </c>
      <c r="H86" s="247">
        <v>4.1666666666666699E-2</v>
      </c>
      <c r="I86" s="37"/>
      <c r="J86" s="445">
        <f>IF(DAY(DATE($A$1,$B$1,30))=30,A86+1,"")</f>
        <v>45687</v>
      </c>
      <c r="K86" s="446"/>
      <c r="L86" s="249"/>
      <c r="M86" s="249"/>
      <c r="N86" s="250" t="str">
        <f>IF(L86="","",M86-L86-Q86)</f>
        <v/>
      </c>
      <c r="O86" s="251" t="str">
        <f>IF(AND(N86=""),"",SUM(N89:N103))</f>
        <v/>
      </c>
      <c r="P86" s="103" t="s">
        <v>17</v>
      </c>
      <c r="Q86" s="247">
        <v>4.1666666666666699E-2</v>
      </c>
      <c r="R86" s="37"/>
      <c r="S86" s="445">
        <f>IF(DAY(DATE($A$1,$B$1,31))=31,J86+1,"")</f>
        <v>45688</v>
      </c>
      <c r="T86" s="446"/>
      <c r="U86" s="249"/>
      <c r="V86" s="249"/>
      <c r="W86" s="250" t="str">
        <f>IF(U86="","",V86-U86-Z86)</f>
        <v/>
      </c>
      <c r="X86" s="251" t="str">
        <f>IF(AND(W86=""),"",SUM(W89:W103))</f>
        <v/>
      </c>
      <c r="Y86" s="103" t="s">
        <v>17</v>
      </c>
      <c r="Z86" s="247">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4"/>
      <c r="C87" s="104"/>
      <c r="D87" s="104"/>
      <c r="E87" s="105"/>
      <c r="F87" s="106"/>
      <c r="G87" s="106"/>
      <c r="H87" s="413">
        <f>IF(COUNT(H89:H103)=0,0,COUNT(H89:H103))</f>
        <v>0</v>
      </c>
      <c r="I87" s="411" t="s">
        <v>366</v>
      </c>
      <c r="J87" s="37" t="s">
        <v>36</v>
      </c>
      <c r="K87" s="104"/>
      <c r="L87" s="104"/>
      <c r="M87" s="104"/>
      <c r="N87" s="105"/>
      <c r="O87" s="106"/>
      <c r="P87" s="106"/>
      <c r="Q87" s="413">
        <f>IF(COUNT(Q89:Q103)=0,0,COUNT(Q89:Q103))</f>
        <v>0</v>
      </c>
      <c r="R87" s="411" t="s">
        <v>366</v>
      </c>
      <c r="S87" s="37" t="s">
        <v>36</v>
      </c>
      <c r="T87" s="104"/>
      <c r="U87" s="104"/>
      <c r="V87" s="104"/>
      <c r="W87" s="105"/>
      <c r="X87" s="106"/>
      <c r="Y87" s="106"/>
      <c r="Z87" s="413">
        <f>IF(COUNT(Z89:Z103)=0,0,COUNT(Z89:Z103))</f>
        <v>0</v>
      </c>
      <c r="AA87" s="411" t="s">
        <v>366</v>
      </c>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5" t="s">
        <v>18</v>
      </c>
      <c r="B88" s="447" t="s">
        <v>19</v>
      </c>
      <c r="C88" s="447"/>
      <c r="D88" s="447"/>
      <c r="E88" s="266" t="s">
        <v>20</v>
      </c>
      <c r="F88" s="266" t="s">
        <v>0</v>
      </c>
      <c r="G88" s="266" t="s">
        <v>37</v>
      </c>
      <c r="H88" s="267" t="s">
        <v>21</v>
      </c>
      <c r="I88" s="268" t="s">
        <v>22</v>
      </c>
      <c r="J88" s="265" t="s">
        <v>18</v>
      </c>
      <c r="K88" s="447" t="s">
        <v>19</v>
      </c>
      <c r="L88" s="447"/>
      <c r="M88" s="447"/>
      <c r="N88" s="266" t="s">
        <v>20</v>
      </c>
      <c r="O88" s="266" t="s">
        <v>0</v>
      </c>
      <c r="P88" s="266" t="s">
        <v>37</v>
      </c>
      <c r="Q88" s="267" t="s">
        <v>21</v>
      </c>
      <c r="R88" s="268" t="s">
        <v>22</v>
      </c>
      <c r="S88" s="265" t="s">
        <v>18</v>
      </c>
      <c r="T88" s="447" t="s">
        <v>19</v>
      </c>
      <c r="U88" s="447"/>
      <c r="V88" s="447"/>
      <c r="W88" s="266" t="s">
        <v>20</v>
      </c>
      <c r="X88" s="266" t="s">
        <v>0</v>
      </c>
      <c r="Y88" s="266" t="s">
        <v>37</v>
      </c>
      <c r="Z88" s="267" t="s">
        <v>21</v>
      </c>
      <c r="AA88" s="268"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69"/>
      <c r="B89" s="443" t="str">
        <f>IF(A89="","",VLOOKUP(A89,案件コード!$A$1:$B$31,2,FALSE()))</f>
        <v/>
      </c>
      <c r="C89" s="443"/>
      <c r="D89" s="443"/>
      <c r="E89" s="102" t="str">
        <f t="shared" ref="E89:E103" si="28">IF(AND(F89="",G89=""),"",SUM(F89:G89))</f>
        <v/>
      </c>
      <c r="F89" s="245"/>
      <c r="G89" s="244"/>
      <c r="H89" s="246"/>
      <c r="I89" s="278"/>
      <c r="J89" s="269"/>
      <c r="K89" s="443" t="str">
        <f>IF(J89="","",VLOOKUP(J89,案件コード!$A$1:$B$31,2,FALSE()))</f>
        <v/>
      </c>
      <c r="L89" s="443"/>
      <c r="M89" s="443"/>
      <c r="N89" s="102" t="str">
        <f t="shared" ref="N89:N103" si="29">IF(AND(O89="",P89=""),"",SUM(O89:P89))</f>
        <v/>
      </c>
      <c r="O89" s="245"/>
      <c r="P89" s="244"/>
      <c r="Q89" s="246"/>
      <c r="R89" s="278"/>
      <c r="S89" s="269"/>
      <c r="T89" s="443" t="str">
        <f>IF(S89="","",VLOOKUP(S89,案件コード!$A$1:$B$31,2,FALSE()))</f>
        <v/>
      </c>
      <c r="U89" s="443"/>
      <c r="V89" s="443"/>
      <c r="W89" s="102" t="str">
        <f t="shared" ref="W89:W103" si="30">IF(AND(X89="",Y89=""),"",SUM(X89:Y89))</f>
        <v/>
      </c>
      <c r="X89" s="245"/>
      <c r="Y89" s="244"/>
      <c r="Z89" s="246"/>
      <c r="AA89" s="278"/>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69"/>
      <c r="B90" s="443" t="str">
        <f>IF(A90="","",VLOOKUP(A90,案件コード!$A$1:$B$31,2,FALSE()))</f>
        <v/>
      </c>
      <c r="C90" s="443"/>
      <c r="D90" s="443"/>
      <c r="E90" s="102" t="str">
        <f t="shared" si="28"/>
        <v/>
      </c>
      <c r="F90" s="245"/>
      <c r="G90" s="244"/>
      <c r="H90" s="246"/>
      <c r="I90" s="279"/>
      <c r="J90" s="269"/>
      <c r="K90" s="443" t="str">
        <f>IF(J90="","",VLOOKUP(J90,案件コード!$A$1:$B$31,2,FALSE()))</f>
        <v/>
      </c>
      <c r="L90" s="443"/>
      <c r="M90" s="443"/>
      <c r="N90" s="102" t="str">
        <f t="shared" si="29"/>
        <v/>
      </c>
      <c r="O90" s="245"/>
      <c r="P90" s="244"/>
      <c r="Q90" s="246"/>
      <c r="R90" s="279"/>
      <c r="S90" s="269"/>
      <c r="T90" s="443" t="str">
        <f>IF(S90="","",VLOOKUP(S90,案件コード!$A$1:$B$31,2,FALSE()))</f>
        <v/>
      </c>
      <c r="U90" s="443"/>
      <c r="V90" s="443"/>
      <c r="W90" s="102" t="str">
        <f t="shared" si="30"/>
        <v/>
      </c>
      <c r="X90" s="245"/>
      <c r="Y90" s="244"/>
      <c r="Z90" s="246"/>
      <c r="AA90" s="279"/>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69"/>
      <c r="B91" s="443" t="str">
        <f>IF(A91="","",VLOOKUP(A91,案件コード!$A$1:$B$31,2,FALSE()))</f>
        <v/>
      </c>
      <c r="C91" s="443"/>
      <c r="D91" s="443"/>
      <c r="E91" s="102" t="str">
        <f t="shared" si="28"/>
        <v/>
      </c>
      <c r="F91" s="245"/>
      <c r="G91" s="244"/>
      <c r="H91" s="246"/>
      <c r="I91" s="279"/>
      <c r="J91" s="269"/>
      <c r="K91" s="443" t="str">
        <f>IF(J91="","",VLOOKUP(J91,案件コード!$A$1:$B$31,2,FALSE()))</f>
        <v/>
      </c>
      <c r="L91" s="443"/>
      <c r="M91" s="443"/>
      <c r="N91" s="102" t="str">
        <f t="shared" si="29"/>
        <v/>
      </c>
      <c r="O91" s="245"/>
      <c r="P91" s="244"/>
      <c r="Q91" s="246"/>
      <c r="R91" s="279"/>
      <c r="S91" s="269"/>
      <c r="T91" s="443" t="str">
        <f>IF(S91="","",VLOOKUP(S91,案件コード!$A$1:$B$31,2,FALSE()))</f>
        <v/>
      </c>
      <c r="U91" s="443"/>
      <c r="V91" s="443"/>
      <c r="W91" s="102" t="str">
        <f t="shared" si="30"/>
        <v/>
      </c>
      <c r="X91" s="245"/>
      <c r="Y91" s="244"/>
      <c r="Z91" s="246"/>
      <c r="AA91" s="279"/>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69"/>
      <c r="B92" s="443" t="str">
        <f>IF(A92="","",VLOOKUP(A92,案件コード!$A$1:$B$31,2,FALSE()))</f>
        <v/>
      </c>
      <c r="C92" s="443"/>
      <c r="D92" s="443"/>
      <c r="E92" s="102" t="str">
        <f t="shared" si="28"/>
        <v/>
      </c>
      <c r="F92" s="245"/>
      <c r="G92" s="244"/>
      <c r="H92" s="246"/>
      <c r="I92" s="279"/>
      <c r="J92" s="269"/>
      <c r="K92" s="443" t="str">
        <f>IF(J92="","",VLOOKUP(J92,案件コード!$A$1:$B$31,2,FALSE()))</f>
        <v/>
      </c>
      <c r="L92" s="443"/>
      <c r="M92" s="443"/>
      <c r="N92" s="102" t="str">
        <f t="shared" si="29"/>
        <v/>
      </c>
      <c r="O92" s="245"/>
      <c r="P92" s="244"/>
      <c r="Q92" s="246"/>
      <c r="R92" s="279"/>
      <c r="S92" s="269"/>
      <c r="T92" s="443" t="str">
        <f>IF(S92="","",VLOOKUP(S92,案件コード!$A$1:$B$31,2,FALSE()))</f>
        <v/>
      </c>
      <c r="U92" s="443"/>
      <c r="V92" s="443"/>
      <c r="W92" s="102" t="str">
        <f t="shared" si="30"/>
        <v/>
      </c>
      <c r="X92" s="245"/>
      <c r="Y92" s="244"/>
      <c r="Z92" s="246"/>
      <c r="AA92" s="279"/>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69"/>
      <c r="B93" s="443" t="str">
        <f>IF(A93="","",VLOOKUP(A93,案件コード!$A$1:$B$31,2,FALSE()))</f>
        <v/>
      </c>
      <c r="C93" s="443"/>
      <c r="D93" s="443"/>
      <c r="E93" s="102" t="str">
        <f t="shared" si="28"/>
        <v/>
      </c>
      <c r="F93" s="245"/>
      <c r="G93" s="244"/>
      <c r="H93" s="246"/>
      <c r="I93" s="279"/>
      <c r="J93" s="269"/>
      <c r="K93" s="443" t="str">
        <f>IF(J93="","",VLOOKUP(J93,案件コード!$A$1:$B$31,2,FALSE()))</f>
        <v/>
      </c>
      <c r="L93" s="443"/>
      <c r="M93" s="443"/>
      <c r="N93" s="102" t="str">
        <f t="shared" si="29"/>
        <v/>
      </c>
      <c r="O93" s="245"/>
      <c r="P93" s="244"/>
      <c r="Q93" s="246"/>
      <c r="R93" s="279"/>
      <c r="S93" s="269"/>
      <c r="T93" s="443" t="str">
        <f>IF(S93="","",VLOOKUP(S93,案件コード!$A$1:$B$31,2,FALSE()))</f>
        <v/>
      </c>
      <c r="U93" s="443"/>
      <c r="V93" s="443"/>
      <c r="W93" s="102" t="str">
        <f t="shared" si="30"/>
        <v/>
      </c>
      <c r="X93" s="245"/>
      <c r="Y93" s="244"/>
      <c r="Z93" s="246"/>
      <c r="AA93" s="279"/>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69"/>
      <c r="B94" s="443" t="str">
        <f>IF(A94="","",VLOOKUP(A94,案件コード!$A$1:$B$31,2,FALSE()))</f>
        <v/>
      </c>
      <c r="C94" s="443"/>
      <c r="D94" s="443"/>
      <c r="E94" s="102" t="str">
        <f t="shared" si="28"/>
        <v/>
      </c>
      <c r="F94" s="245"/>
      <c r="G94" s="244"/>
      <c r="H94" s="246"/>
      <c r="I94" s="279"/>
      <c r="J94" s="269"/>
      <c r="K94" s="443" t="str">
        <f>IF(J94="","",VLOOKUP(J94,案件コード!$A$1:$B$31,2,FALSE()))</f>
        <v/>
      </c>
      <c r="L94" s="443"/>
      <c r="M94" s="443"/>
      <c r="N94" s="102" t="str">
        <f t="shared" si="29"/>
        <v/>
      </c>
      <c r="O94" s="245"/>
      <c r="P94" s="244"/>
      <c r="Q94" s="246"/>
      <c r="R94" s="279"/>
      <c r="S94" s="269"/>
      <c r="T94" s="443" t="str">
        <f>IF(S94="","",VLOOKUP(S94,案件コード!$A$1:$B$31,2,FALSE()))</f>
        <v/>
      </c>
      <c r="U94" s="443"/>
      <c r="V94" s="443"/>
      <c r="W94" s="102" t="str">
        <f t="shared" si="30"/>
        <v/>
      </c>
      <c r="X94" s="245"/>
      <c r="Y94" s="244"/>
      <c r="Z94" s="246"/>
      <c r="AA94" s="279"/>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69"/>
      <c r="B95" s="443" t="str">
        <f>IF(A95="","",VLOOKUP(A95,案件コード!$A$1:$B$31,2,FALSE()))</f>
        <v/>
      </c>
      <c r="C95" s="443"/>
      <c r="D95" s="443"/>
      <c r="E95" s="102" t="str">
        <f t="shared" si="28"/>
        <v/>
      </c>
      <c r="F95" s="245"/>
      <c r="G95" s="244"/>
      <c r="H95" s="246"/>
      <c r="I95" s="279"/>
      <c r="J95" s="269"/>
      <c r="K95" s="443" t="str">
        <f>IF(J95="","",VLOOKUP(J95,案件コード!$A$1:$B$31,2,FALSE()))</f>
        <v/>
      </c>
      <c r="L95" s="443"/>
      <c r="M95" s="443"/>
      <c r="N95" s="102" t="str">
        <f t="shared" si="29"/>
        <v/>
      </c>
      <c r="O95" s="245"/>
      <c r="P95" s="244"/>
      <c r="Q95" s="246"/>
      <c r="R95" s="279"/>
      <c r="S95" s="269"/>
      <c r="T95" s="443" t="str">
        <f>IF(S95="","",VLOOKUP(S95,案件コード!$A$1:$B$31,2,FALSE()))</f>
        <v/>
      </c>
      <c r="U95" s="443"/>
      <c r="V95" s="443"/>
      <c r="W95" s="102" t="str">
        <f t="shared" si="30"/>
        <v/>
      </c>
      <c r="X95" s="245"/>
      <c r="Y95" s="244"/>
      <c r="Z95" s="246"/>
      <c r="AA95" s="279"/>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69"/>
      <c r="B96" s="443" t="str">
        <f>IF(A96="","",VLOOKUP(A96,案件コード!$A$1:$B$31,2,FALSE()))</f>
        <v/>
      </c>
      <c r="C96" s="443"/>
      <c r="D96" s="443"/>
      <c r="E96" s="102" t="str">
        <f t="shared" si="28"/>
        <v/>
      </c>
      <c r="F96" s="245"/>
      <c r="G96" s="244"/>
      <c r="H96" s="246"/>
      <c r="I96" s="279"/>
      <c r="J96" s="269"/>
      <c r="K96" s="443" t="str">
        <f>IF(J96="","",VLOOKUP(J96,案件コード!$A$1:$B$31,2,FALSE()))</f>
        <v/>
      </c>
      <c r="L96" s="443"/>
      <c r="M96" s="443"/>
      <c r="N96" s="102" t="str">
        <f t="shared" si="29"/>
        <v/>
      </c>
      <c r="O96" s="245"/>
      <c r="P96" s="244"/>
      <c r="Q96" s="246"/>
      <c r="R96" s="279"/>
      <c r="S96" s="269"/>
      <c r="T96" s="443" t="str">
        <f>IF(S96="","",VLOOKUP(S96,案件コード!$A$1:$B$31,2,FALSE()))</f>
        <v/>
      </c>
      <c r="U96" s="443"/>
      <c r="V96" s="443"/>
      <c r="W96" s="102" t="str">
        <f t="shared" si="30"/>
        <v/>
      </c>
      <c r="X96" s="245"/>
      <c r="Y96" s="244"/>
      <c r="Z96" s="246"/>
      <c r="AA96" s="279"/>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69"/>
      <c r="B97" s="443" t="str">
        <f>IF(A97="","",VLOOKUP(A97,案件コード!$A$1:$B$31,2,FALSE()))</f>
        <v/>
      </c>
      <c r="C97" s="443"/>
      <c r="D97" s="443"/>
      <c r="E97" s="102" t="str">
        <f t="shared" si="28"/>
        <v/>
      </c>
      <c r="F97" s="245"/>
      <c r="G97" s="244"/>
      <c r="H97" s="246"/>
      <c r="I97" s="279"/>
      <c r="J97" s="269"/>
      <c r="K97" s="443" t="str">
        <f>IF(J97="","",VLOOKUP(J97,案件コード!$A$1:$B$31,2,FALSE()))</f>
        <v/>
      </c>
      <c r="L97" s="443"/>
      <c r="M97" s="443"/>
      <c r="N97" s="102" t="str">
        <f t="shared" si="29"/>
        <v/>
      </c>
      <c r="O97" s="245"/>
      <c r="P97" s="244"/>
      <c r="Q97" s="246"/>
      <c r="R97" s="279"/>
      <c r="S97" s="269"/>
      <c r="T97" s="443" t="str">
        <f>IF(S97="","",VLOOKUP(S97,案件コード!$A$1:$B$31,2,FALSE()))</f>
        <v/>
      </c>
      <c r="U97" s="443"/>
      <c r="V97" s="443"/>
      <c r="W97" s="102" t="str">
        <f t="shared" si="30"/>
        <v/>
      </c>
      <c r="X97" s="245"/>
      <c r="Y97" s="244"/>
      <c r="Z97" s="246"/>
      <c r="AA97" s="279"/>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69"/>
      <c r="B98" s="443" t="str">
        <f>IF(A98="","",VLOOKUP(A98,案件コード!$A$1:$B$31,2,FALSE()))</f>
        <v/>
      </c>
      <c r="C98" s="443"/>
      <c r="D98" s="443"/>
      <c r="E98" s="102" t="str">
        <f t="shared" si="28"/>
        <v/>
      </c>
      <c r="F98" s="245"/>
      <c r="G98" s="244"/>
      <c r="H98" s="246"/>
      <c r="I98" s="279"/>
      <c r="J98" s="269"/>
      <c r="K98" s="443" t="str">
        <f>IF(J98="","",VLOOKUP(J98,案件コード!$A$1:$B$31,2,FALSE()))</f>
        <v/>
      </c>
      <c r="L98" s="443"/>
      <c r="M98" s="443"/>
      <c r="N98" s="102" t="str">
        <f t="shared" si="29"/>
        <v/>
      </c>
      <c r="O98" s="245"/>
      <c r="P98" s="244"/>
      <c r="Q98" s="246"/>
      <c r="R98" s="279"/>
      <c r="S98" s="269"/>
      <c r="T98" s="443" t="str">
        <f>IF(S98="","",VLOOKUP(S98,案件コード!$A$1:$B$31,2,FALSE()))</f>
        <v/>
      </c>
      <c r="U98" s="443"/>
      <c r="V98" s="443"/>
      <c r="W98" s="102" t="str">
        <f t="shared" si="30"/>
        <v/>
      </c>
      <c r="X98" s="245"/>
      <c r="Y98" s="244"/>
      <c r="Z98" s="246"/>
      <c r="AA98" s="279"/>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69"/>
      <c r="B99" s="443" t="str">
        <f>IF(A99="","",VLOOKUP(A99,案件コード!$A$1:$B$31,2,FALSE()))</f>
        <v/>
      </c>
      <c r="C99" s="443"/>
      <c r="D99" s="443"/>
      <c r="E99" s="102" t="str">
        <f t="shared" si="28"/>
        <v/>
      </c>
      <c r="F99" s="245"/>
      <c r="G99" s="244"/>
      <c r="H99" s="246"/>
      <c r="I99" s="279"/>
      <c r="J99" s="269"/>
      <c r="K99" s="443" t="str">
        <f>IF(J99="","",VLOOKUP(J99,案件コード!$A$1:$B$31,2,FALSE()))</f>
        <v/>
      </c>
      <c r="L99" s="443"/>
      <c r="M99" s="443"/>
      <c r="N99" s="102" t="str">
        <f t="shared" si="29"/>
        <v/>
      </c>
      <c r="O99" s="245"/>
      <c r="P99" s="244"/>
      <c r="Q99" s="246"/>
      <c r="R99" s="279"/>
      <c r="S99" s="269"/>
      <c r="T99" s="443" t="str">
        <f>IF(S99="","",VLOOKUP(S99,案件コード!$A$1:$B$31,2,FALSE()))</f>
        <v/>
      </c>
      <c r="U99" s="443"/>
      <c r="V99" s="443"/>
      <c r="W99" s="102" t="str">
        <f t="shared" si="30"/>
        <v/>
      </c>
      <c r="X99" s="245"/>
      <c r="Y99" s="244"/>
      <c r="Z99" s="246"/>
      <c r="AA99" s="279"/>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69"/>
      <c r="B100" s="443" t="str">
        <f>IF(A100="","",VLOOKUP(A100,案件コード!$A$1:$B$31,2,FALSE()))</f>
        <v/>
      </c>
      <c r="C100" s="443"/>
      <c r="D100" s="443"/>
      <c r="E100" s="102" t="str">
        <f t="shared" si="28"/>
        <v/>
      </c>
      <c r="F100" s="245"/>
      <c r="G100" s="244"/>
      <c r="H100" s="246"/>
      <c r="I100" s="279"/>
      <c r="J100" s="269"/>
      <c r="K100" s="443" t="str">
        <f>IF(J100="","",VLOOKUP(J100,案件コード!$A$1:$B$31,2,FALSE()))</f>
        <v/>
      </c>
      <c r="L100" s="443"/>
      <c r="M100" s="443"/>
      <c r="N100" s="102" t="str">
        <f t="shared" si="29"/>
        <v/>
      </c>
      <c r="O100" s="245"/>
      <c r="P100" s="244"/>
      <c r="Q100" s="246"/>
      <c r="R100" s="279"/>
      <c r="S100" s="269"/>
      <c r="T100" s="443" t="str">
        <f>IF(S100="","",VLOOKUP(S100,案件コード!$A$1:$B$31,2,FALSE()))</f>
        <v/>
      </c>
      <c r="U100" s="443"/>
      <c r="V100" s="443"/>
      <c r="W100" s="102" t="str">
        <f t="shared" si="30"/>
        <v/>
      </c>
      <c r="X100" s="245"/>
      <c r="Y100" s="244"/>
      <c r="Z100" s="246"/>
      <c r="AA100" s="279"/>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69"/>
      <c r="B101" s="443" t="str">
        <f>IF(A101="","",VLOOKUP(A101,案件コード!$A$1:$B$31,2,FALSE()))</f>
        <v/>
      </c>
      <c r="C101" s="443"/>
      <c r="D101" s="443"/>
      <c r="E101" s="102" t="str">
        <f t="shared" si="28"/>
        <v/>
      </c>
      <c r="F101" s="245"/>
      <c r="G101" s="244"/>
      <c r="H101" s="246"/>
      <c r="I101" s="279"/>
      <c r="J101" s="269"/>
      <c r="K101" s="443" t="str">
        <f>IF(J101="","",VLOOKUP(J101,案件コード!$A$1:$B$31,2,FALSE()))</f>
        <v/>
      </c>
      <c r="L101" s="443"/>
      <c r="M101" s="443"/>
      <c r="N101" s="102" t="str">
        <f t="shared" si="29"/>
        <v/>
      </c>
      <c r="O101" s="245"/>
      <c r="P101" s="244"/>
      <c r="Q101" s="246"/>
      <c r="R101" s="279"/>
      <c r="S101" s="269"/>
      <c r="T101" s="443" t="str">
        <f>IF(S101="","",VLOOKUP(S101,案件コード!$A$1:$B$31,2,FALSE()))</f>
        <v/>
      </c>
      <c r="U101" s="443"/>
      <c r="V101" s="443"/>
      <c r="W101" s="102" t="str">
        <f t="shared" si="30"/>
        <v/>
      </c>
      <c r="X101" s="245"/>
      <c r="Y101" s="244"/>
      <c r="Z101" s="246"/>
      <c r="AA101" s="279"/>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69"/>
      <c r="B102" s="443" t="str">
        <f>IF(A102="","",VLOOKUP(A102,案件コード!$A$1:$B$31,2,FALSE()))</f>
        <v/>
      </c>
      <c r="C102" s="443"/>
      <c r="D102" s="443"/>
      <c r="E102" s="102" t="str">
        <f t="shared" si="28"/>
        <v/>
      </c>
      <c r="F102" s="245"/>
      <c r="G102" s="244"/>
      <c r="H102" s="246"/>
      <c r="I102" s="279"/>
      <c r="J102" s="269"/>
      <c r="K102" s="443" t="str">
        <f>IF(J102="","",VLOOKUP(J102,案件コード!$A$1:$B$31,2,FALSE()))</f>
        <v/>
      </c>
      <c r="L102" s="443"/>
      <c r="M102" s="443"/>
      <c r="N102" s="102" t="str">
        <f t="shared" si="29"/>
        <v/>
      </c>
      <c r="O102" s="245"/>
      <c r="P102" s="244"/>
      <c r="Q102" s="246"/>
      <c r="R102" s="279"/>
      <c r="S102" s="269"/>
      <c r="T102" s="443" t="str">
        <f>IF(S102="","",VLOOKUP(S102,案件コード!$A$1:$B$31,2,FALSE()))</f>
        <v/>
      </c>
      <c r="U102" s="443"/>
      <c r="V102" s="443"/>
      <c r="W102" s="102" t="str">
        <f t="shared" si="30"/>
        <v/>
      </c>
      <c r="X102" s="245"/>
      <c r="Y102" s="244"/>
      <c r="Z102" s="246"/>
      <c r="AA102" s="279"/>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2"/>
      <c r="B103" s="444" t="str">
        <f>IF(A103="","",VLOOKUP(A103,案件コード!$A$1:$B$31,2,FALSE()))</f>
        <v/>
      </c>
      <c r="C103" s="444"/>
      <c r="D103" s="444"/>
      <c r="E103" s="273" t="str">
        <f t="shared" si="28"/>
        <v/>
      </c>
      <c r="F103" s="274"/>
      <c r="G103" s="275"/>
      <c r="H103" s="276"/>
      <c r="I103" s="280"/>
      <c r="J103" s="272"/>
      <c r="K103" s="444" t="str">
        <f>IF(J103="","",VLOOKUP(J103,案件コード!$A$1:$B$31,2,FALSE()))</f>
        <v/>
      </c>
      <c r="L103" s="444"/>
      <c r="M103" s="444"/>
      <c r="N103" s="273" t="str">
        <f t="shared" si="29"/>
        <v/>
      </c>
      <c r="O103" s="274"/>
      <c r="P103" s="275"/>
      <c r="Q103" s="276"/>
      <c r="R103" s="280"/>
      <c r="S103" s="272"/>
      <c r="T103" s="444" t="str">
        <f>IF(S103="","",VLOOKUP(S103,案件コード!$A$1:$B$31,2,FALSE()))</f>
        <v/>
      </c>
      <c r="U103" s="444"/>
      <c r="V103" s="444"/>
      <c r="W103" s="273" t="str">
        <f t="shared" si="30"/>
        <v/>
      </c>
      <c r="X103" s="274"/>
      <c r="Y103" s="275"/>
      <c r="Z103" s="276"/>
      <c r="AA103" s="280"/>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4">
        <f>A86</f>
        <v>45686</v>
      </c>
      <c r="B104" s="333" t="s">
        <v>291</v>
      </c>
      <c r="C104" s="456"/>
      <c r="D104" s="457"/>
      <c r="E104" s="457"/>
      <c r="F104" s="457"/>
      <c r="G104" s="458"/>
      <c r="H104" s="412">
        <f>SUM(H89:H103)</f>
        <v>0</v>
      </c>
      <c r="I104" s="91" t="s">
        <v>371</v>
      </c>
      <c r="J104" s="334">
        <f>J86</f>
        <v>45687</v>
      </c>
      <c r="K104" s="333" t="s">
        <v>291</v>
      </c>
      <c r="L104" s="456"/>
      <c r="M104" s="457"/>
      <c r="N104" s="457"/>
      <c r="O104" s="457"/>
      <c r="P104" s="458"/>
      <c r="Q104" s="412">
        <f>SUM(Q89:Q103)</f>
        <v>0</v>
      </c>
      <c r="R104" s="91" t="s">
        <v>371</v>
      </c>
      <c r="S104" s="334">
        <f>S86</f>
        <v>45688</v>
      </c>
      <c r="T104" s="333" t="s">
        <v>291</v>
      </c>
      <c r="U104" s="456"/>
      <c r="V104" s="457"/>
      <c r="W104" s="457"/>
      <c r="X104" s="457"/>
      <c r="Y104" s="458"/>
      <c r="Z104" s="412">
        <f>SUM(Z89:Z103)</f>
        <v>0</v>
      </c>
      <c r="AA104" s="91" t="s">
        <v>371</v>
      </c>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7" t="s">
        <v>163</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87</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102</v>
      </c>
      <c r="B106" s="100">
        <v>0</v>
      </c>
      <c r="C106" s="100">
        <v>1</v>
      </c>
      <c r="D106" s="100">
        <v>2</v>
      </c>
      <c r="E106" s="100">
        <v>3</v>
      </c>
      <c r="F106" s="100">
        <v>4</v>
      </c>
      <c r="G106" s="100">
        <v>5</v>
      </c>
      <c r="H106" s="100">
        <v>6</v>
      </c>
      <c r="I106" s="100">
        <v>7</v>
      </c>
      <c r="J106" s="100">
        <v>8</v>
      </c>
      <c r="K106" s="318">
        <v>9</v>
      </c>
      <c r="L106" s="336">
        <v>10</v>
      </c>
      <c r="M106" s="100">
        <v>11</v>
      </c>
      <c r="N106" s="100">
        <v>12</v>
      </c>
      <c r="O106" s="100">
        <v>13</v>
      </c>
      <c r="P106" s="100">
        <v>14</v>
      </c>
      <c r="Q106" s="100">
        <v>15</v>
      </c>
      <c r="R106" s="100">
        <v>16</v>
      </c>
      <c r="S106" s="100">
        <v>17</v>
      </c>
      <c r="T106" s="100">
        <v>18</v>
      </c>
      <c r="U106" s="100">
        <v>19</v>
      </c>
      <c r="V106" s="100">
        <v>20</v>
      </c>
      <c r="W106" s="100">
        <v>21</v>
      </c>
      <c r="X106" s="100">
        <v>22</v>
      </c>
      <c r="Y106" s="100">
        <v>23</v>
      </c>
      <c r="Z106" s="100">
        <v>24</v>
      </c>
      <c r="AA106" s="100">
        <v>25</v>
      </c>
      <c r="AB106" s="100">
        <v>26</v>
      </c>
      <c r="AC106" s="100">
        <v>27</v>
      </c>
      <c r="AD106" s="100">
        <v>28</v>
      </c>
      <c r="AE106" s="336">
        <v>29</v>
      </c>
      <c r="AF106" s="100">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101</v>
      </c>
      <c r="B107" s="112" t="str">
        <f>IF(B106="","",VLOOKUP(B106,案件コード!$A$1:$B$31,2,FALSE()))</f>
        <v>管理/会議/自習など雑務</v>
      </c>
      <c r="C107" s="112" t="str">
        <f>IF(C106="","",VLOOKUP(C106,案件コード!$A$1:$B$31,2,FALSE()))</f>
        <v>Webデザイン</v>
      </c>
      <c r="D107" s="112" t="str">
        <f>IF(D106="","",VLOOKUP(D106,案件コード!$A$1:$B$31,2,FALSE()))</f>
        <v>Webサイト構築</v>
      </c>
      <c r="E107" s="112" t="str">
        <f>IF(E106="","",VLOOKUP(E106,案件コード!$A$1:$B$31,2,FALSE()))</f>
        <v>プログラミング</v>
      </c>
      <c r="F107" s="112" t="str">
        <f>IF(F106="","",VLOOKUP(F106,案件コード!$A$1:$B$31,2,FALSE()))</f>
        <v>Webマーケティング</v>
      </c>
      <c r="G107" s="112">
        <f>IF(G106="","",VLOOKUP(G106,案件コード!$A$1:$B$31,2,FALSE()))</f>
        <v>0</v>
      </c>
      <c r="H107" s="112">
        <f>IF(H106="","",VLOOKUP(H106,案件コード!$A$1:$B$31,2,FALSE()))</f>
        <v>0</v>
      </c>
      <c r="I107" s="112">
        <f>IF(I106="","",VLOOKUP(I106,案件コード!$A$1:$B$31,2,FALSE()))</f>
        <v>0</v>
      </c>
      <c r="J107" s="112">
        <f>IF(J106="","",VLOOKUP(J106,案件コード!$A$1:$B$31,2,FALSE()))</f>
        <v>0</v>
      </c>
      <c r="K107" s="108">
        <f>IF(K106="","",VLOOKUP(K106,案件コード!$A$1:$B$31,2,FALSE()))</f>
        <v>0</v>
      </c>
      <c r="L107" s="336">
        <f>IF(L106="","",VLOOKUP(L106,案件コード!$A$1:$B$31,2,FALSE()))</f>
        <v>0</v>
      </c>
      <c r="M107" s="336">
        <f>IF(M106="","",VLOOKUP(M106,案件コード!$A$1:$B$31,2,FALSE()))</f>
        <v>0</v>
      </c>
      <c r="N107" s="336">
        <f>IF(N106="","",VLOOKUP(N106,案件コード!$A$1:$B$31,2,FALSE()))</f>
        <v>0</v>
      </c>
      <c r="O107" s="336">
        <f>IF(O106="","",VLOOKUP(O106,案件コード!$A$1:$B$31,2,FALSE()))</f>
        <v>0</v>
      </c>
      <c r="P107" s="336">
        <f>IF(P106="","",VLOOKUP(P106,案件コード!$A$1:$B$31,2,FALSE()))</f>
        <v>0</v>
      </c>
      <c r="Q107" s="336">
        <f>IF(Q106="","",VLOOKUP(Q106,案件コード!$A$1:$B$31,2,FALSE()))</f>
        <v>0</v>
      </c>
      <c r="R107" s="336">
        <f>IF(R106="","",VLOOKUP(R106,案件コード!$A$1:$B$31,2,FALSE()))</f>
        <v>0</v>
      </c>
      <c r="S107" s="336">
        <f>IF(S106="","",VLOOKUP(S106,案件コード!$A$1:$B$31,2,FALSE()))</f>
        <v>0</v>
      </c>
      <c r="T107" s="336">
        <f>IF(T106="","",VLOOKUP(T106,案件コード!$A$1:$B$31,2,FALSE()))</f>
        <v>0</v>
      </c>
      <c r="U107" s="336">
        <f>IF(U106="","",VLOOKUP(U106,案件コード!$A$1:$B$31,2,FALSE()))</f>
        <v>0</v>
      </c>
      <c r="V107" s="336">
        <f>IF(V106="","",VLOOKUP(V106,案件コード!$A$1:$B$31,2,FALSE()))</f>
        <v>0</v>
      </c>
      <c r="W107" s="336">
        <f>IF(W106="","",VLOOKUP(W106,案件コード!$A$1:$B$31,2,FALSE()))</f>
        <v>0</v>
      </c>
      <c r="X107" s="336">
        <f>IF(X106="","",VLOOKUP(X106,案件コード!$A$1:$B$31,2,FALSE()))</f>
        <v>0</v>
      </c>
      <c r="Y107" s="336">
        <f>IF(Y106="","",VLOOKUP(Y106,案件コード!$A$1:$B$31,2,FALSE()))</f>
        <v>0</v>
      </c>
      <c r="Z107" s="336">
        <f>IF(Z106="","",VLOOKUP(Z106,案件コード!$A$1:$B$31,2,FALSE()))</f>
        <v>0</v>
      </c>
      <c r="AA107" s="336">
        <f>IF(AA106="","",VLOOKUP(AA106,案件コード!$A$1:$B$31,2,FALSE()))</f>
        <v>0</v>
      </c>
      <c r="AB107" s="336">
        <f>IF(AB106="","",VLOOKUP(AB106,案件コード!$A$1:$B$31,2,FALSE()))</f>
        <v>0</v>
      </c>
      <c r="AC107" s="336">
        <f>IF(AC106="","",VLOOKUP(AC106,案件コード!$A$1:$B$31,2,FALSE()))</f>
        <v>0</v>
      </c>
      <c r="AD107" s="336">
        <f>IF(AD106="","",VLOOKUP(AD106,案件コード!$A$1:$B$31,2,FALSE()))</f>
        <v>0</v>
      </c>
      <c r="AE107" s="336">
        <f>IF(AE106="","",VLOOKUP(AE106,案件コード!$A$1:$B$31,2,FALSE()))</f>
        <v>0</v>
      </c>
      <c r="AF107" s="100">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09"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C108" s="110"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D108" s="110"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0"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F108" s="110"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G108" s="110"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0"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0"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1"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2"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2"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2"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2"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2"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2"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2"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2"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2"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2"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2"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2"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2"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2"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2"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2"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2"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2"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2"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2"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2"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0"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3"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4"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4"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4"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F109" s="114"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4"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4"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4"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4"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5"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5"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5"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5"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5"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5"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5"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5"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5"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5"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5"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5"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5"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5"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5"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5"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5"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5"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5"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5"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5"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0"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302</v>
      </c>
      <c r="B110" s="2"/>
      <c r="C110" s="2"/>
      <c r="D110" s="2"/>
      <c r="E110" s="2"/>
      <c r="F110" s="2"/>
      <c r="G110" s="2"/>
      <c r="H110" s="2"/>
      <c r="I110" s="2"/>
      <c r="J110" s="2"/>
      <c r="K110" s="2"/>
      <c r="W110" s="3" t="s">
        <v>373</v>
      </c>
    </row>
    <row r="111" spans="1:63" ht="18.600000000000001" thickBot="1">
      <c r="A111" s="4" t="s">
        <v>162</v>
      </c>
      <c r="H111" s="5" t="s">
        <v>100</v>
      </c>
      <c r="I111" s="161" t="s">
        <v>93</v>
      </c>
      <c r="J111" s="159" t="s">
        <v>92</v>
      </c>
      <c r="K111" s="160" t="s">
        <v>91</v>
      </c>
      <c r="M111" s="5" t="s">
        <v>84</v>
      </c>
      <c r="N111" s="161" t="s">
        <v>96</v>
      </c>
      <c r="O111" s="159" t="s">
        <v>94</v>
      </c>
      <c r="P111" s="160" t="s">
        <v>95</v>
      </c>
      <c r="R111" s="406" t="s">
        <v>369</v>
      </c>
      <c r="S111" s="409">
        <f>IF(SUM(H7,Q7,Z7,AI7,AR7,BA7,BJ7,H27,Q27,Z27,AI27,AR27,BA27,BJ27,H47,Q47,Z47,AI47,AR47,BA47,BJ47,H67,Q67,Z67,AI67,AR67,BA67,BJ67,H87,Q87,Z87)=0,0,SUM(H7,Q7,Z7,AI7,AR7,BA7,BJ7,H27,Q27,Z27,AI27,AR27,BA27,BJ27,H47,Q47,Z47,AI47,AR47,BA47,BJ47,H67,Q67,Z67,AI67,AR67,BA67,BJ67,H87,Q87,Z87))</f>
        <v>0</v>
      </c>
      <c r="T111" s="2" t="s">
        <v>366</v>
      </c>
      <c r="V111" s="406" t="s">
        <v>370</v>
      </c>
      <c r="W111" s="407"/>
      <c r="X111" s="2" t="s">
        <v>366</v>
      </c>
    </row>
    <row r="112" spans="1:63">
      <c r="A112" s="7"/>
      <c r="B112" t="s">
        <v>86</v>
      </c>
      <c r="G112" t="s">
        <v>235</v>
      </c>
      <c r="H112" t="s">
        <v>236</v>
      </c>
      <c r="I112" s="162"/>
      <c r="J112" t="s">
        <v>257</v>
      </c>
      <c r="K112" s="162"/>
      <c r="M112" s="2"/>
      <c r="N112" s="162"/>
      <c r="O112" s="162"/>
      <c r="P112" s="162"/>
    </row>
    <row r="113" spans="1:10" ht="18.600000000000001" thickBot="1">
      <c r="B113" s="3" t="s">
        <v>161</v>
      </c>
      <c r="G113" t="s">
        <v>99</v>
      </c>
      <c r="H113" t="s">
        <v>256</v>
      </c>
      <c r="I113" t="s">
        <v>97</v>
      </c>
      <c r="J113" t="s">
        <v>98</v>
      </c>
    </row>
    <row r="114" spans="1:10" ht="18.600000000000001" thickBot="1">
      <c r="A114" s="11" t="s">
        <v>85</v>
      </c>
      <c r="B114" s="442" t="s">
        <v>80</v>
      </c>
      <c r="C114" s="442"/>
      <c r="D114" s="442"/>
      <c r="E114" s="442"/>
      <c r="F114" s="442"/>
      <c r="G114" s="12" t="s">
        <v>81</v>
      </c>
      <c r="H114" s="12" t="s">
        <v>82</v>
      </c>
      <c r="I114" s="12" t="s">
        <v>83</v>
      </c>
      <c r="J114" s="13" t="s">
        <v>84</v>
      </c>
    </row>
    <row r="115" spans="1:10">
      <c r="A115" s="14">
        <v>1</v>
      </c>
      <c r="B115" s="424"/>
      <c r="C115" s="424"/>
      <c r="D115" s="424"/>
      <c r="E115" s="424"/>
      <c r="F115" s="424"/>
      <c r="G115" s="23"/>
      <c r="H115" s="23"/>
      <c r="I115" s="26"/>
      <c r="J115" s="27"/>
    </row>
    <row r="116" spans="1:10">
      <c r="A116" s="15">
        <v>2</v>
      </c>
      <c r="B116" s="438"/>
      <c r="C116" s="438"/>
      <c r="D116" s="438"/>
      <c r="E116" s="438"/>
      <c r="F116" s="438"/>
      <c r="G116" s="24"/>
      <c r="H116" s="23"/>
      <c r="I116" s="28"/>
      <c r="J116" s="29"/>
    </row>
    <row r="117" spans="1:10">
      <c r="A117" s="15">
        <v>3</v>
      </c>
      <c r="B117" s="438"/>
      <c r="C117" s="438"/>
      <c r="D117" s="438"/>
      <c r="E117" s="438"/>
      <c r="F117" s="438"/>
      <c r="G117" s="24"/>
      <c r="H117" s="23"/>
      <c r="I117" s="28"/>
      <c r="J117" s="29"/>
    </row>
    <row r="118" spans="1:10">
      <c r="A118" s="15">
        <v>4</v>
      </c>
      <c r="B118" s="438"/>
      <c r="C118" s="438"/>
      <c r="D118" s="438"/>
      <c r="E118" s="438"/>
      <c r="F118" s="438"/>
      <c r="G118" s="24"/>
      <c r="H118" s="24"/>
      <c r="I118" s="28"/>
      <c r="J118" s="29"/>
    </row>
    <row r="119" spans="1:10">
      <c r="A119" s="15">
        <v>5</v>
      </c>
      <c r="B119" s="438"/>
      <c r="C119" s="438"/>
      <c r="D119" s="438"/>
      <c r="E119" s="438"/>
      <c r="F119" s="438"/>
      <c r="G119" s="24"/>
      <c r="H119" s="24"/>
      <c r="I119" s="28"/>
      <c r="J119" s="29"/>
    </row>
    <row r="120" spans="1:10">
      <c r="A120" s="15">
        <v>6</v>
      </c>
      <c r="B120" s="438"/>
      <c r="C120" s="438"/>
      <c r="D120" s="438"/>
      <c r="E120" s="438"/>
      <c r="F120" s="438"/>
      <c r="G120" s="24"/>
      <c r="H120" s="24"/>
      <c r="I120" s="28"/>
      <c r="J120" s="29"/>
    </row>
    <row r="121" spans="1:10">
      <c r="A121" s="15">
        <v>7</v>
      </c>
      <c r="B121" s="438"/>
      <c r="C121" s="438"/>
      <c r="D121" s="438"/>
      <c r="E121" s="438"/>
      <c r="F121" s="438"/>
      <c r="G121" s="24"/>
      <c r="H121" s="24"/>
      <c r="I121" s="28"/>
      <c r="J121" s="29"/>
    </row>
    <row r="122" spans="1:10">
      <c r="A122" s="15">
        <v>8</v>
      </c>
      <c r="B122" s="438"/>
      <c r="C122" s="438"/>
      <c r="D122" s="438"/>
      <c r="E122" s="438"/>
      <c r="F122" s="438"/>
      <c r="G122" s="24"/>
      <c r="H122" s="24"/>
      <c r="I122" s="28"/>
      <c r="J122" s="29"/>
    </row>
    <row r="123" spans="1:10">
      <c r="A123" s="15">
        <v>9</v>
      </c>
      <c r="B123" s="438"/>
      <c r="C123" s="438"/>
      <c r="D123" s="438"/>
      <c r="E123" s="438"/>
      <c r="F123" s="438"/>
      <c r="G123" s="24"/>
      <c r="H123" s="24"/>
      <c r="I123" s="28"/>
      <c r="J123" s="29"/>
    </row>
    <row r="124" spans="1:10">
      <c r="A124" s="15">
        <v>10</v>
      </c>
      <c r="B124" s="438"/>
      <c r="C124" s="438"/>
      <c r="D124" s="438"/>
      <c r="E124" s="438"/>
      <c r="F124" s="438"/>
      <c r="G124" s="24"/>
      <c r="H124" s="24"/>
      <c r="I124" s="28"/>
      <c r="J124" s="29"/>
    </row>
    <row r="125" spans="1:10">
      <c r="A125" s="15">
        <v>11</v>
      </c>
      <c r="B125" s="438"/>
      <c r="C125" s="438"/>
      <c r="D125" s="438"/>
      <c r="E125" s="438"/>
      <c r="F125" s="438"/>
      <c r="G125" s="24"/>
      <c r="H125" s="24"/>
      <c r="I125" s="28"/>
      <c r="J125" s="29"/>
    </row>
    <row r="126" spans="1:10">
      <c r="A126" s="15">
        <v>12</v>
      </c>
      <c r="B126" s="438"/>
      <c r="C126" s="438"/>
      <c r="D126" s="438"/>
      <c r="E126" s="438"/>
      <c r="F126" s="438"/>
      <c r="G126" s="24"/>
      <c r="H126" s="24"/>
      <c r="I126" s="28"/>
      <c r="J126" s="29"/>
    </row>
    <row r="127" spans="1:10">
      <c r="A127" s="15">
        <v>13</v>
      </c>
      <c r="B127" s="438"/>
      <c r="C127" s="438"/>
      <c r="D127" s="438"/>
      <c r="E127" s="438"/>
      <c r="F127" s="438"/>
      <c r="G127" s="24"/>
      <c r="H127" s="24"/>
      <c r="I127" s="28"/>
      <c r="J127" s="29"/>
    </row>
    <row r="128" spans="1:10">
      <c r="A128" s="15">
        <v>14</v>
      </c>
      <c r="B128" s="438"/>
      <c r="C128" s="438"/>
      <c r="D128" s="438"/>
      <c r="E128" s="438"/>
      <c r="F128" s="438"/>
      <c r="G128" s="24"/>
      <c r="H128" s="24"/>
      <c r="I128" s="28"/>
      <c r="J128" s="29"/>
    </row>
    <row r="129" spans="1:10">
      <c r="A129" s="15">
        <v>15</v>
      </c>
      <c r="B129" s="438"/>
      <c r="C129" s="438"/>
      <c r="D129" s="438"/>
      <c r="E129" s="438"/>
      <c r="F129" s="438"/>
      <c r="G129" s="24"/>
      <c r="H129" s="24"/>
      <c r="I129" s="28"/>
      <c r="J129" s="29"/>
    </row>
    <row r="130" spans="1:10">
      <c r="A130" s="15">
        <v>16</v>
      </c>
      <c r="B130" s="438"/>
      <c r="C130" s="438"/>
      <c r="D130" s="438"/>
      <c r="E130" s="438"/>
      <c r="F130" s="438"/>
      <c r="G130" s="24"/>
      <c r="H130" s="24"/>
      <c r="I130" s="28"/>
      <c r="J130" s="29"/>
    </row>
    <row r="131" spans="1:10">
      <c r="A131" s="15">
        <v>17</v>
      </c>
      <c r="B131" s="438"/>
      <c r="C131" s="438"/>
      <c r="D131" s="438"/>
      <c r="E131" s="438"/>
      <c r="F131" s="438"/>
      <c r="G131" s="24"/>
      <c r="H131" s="24"/>
      <c r="I131" s="28"/>
      <c r="J131" s="29"/>
    </row>
    <row r="132" spans="1:10">
      <c r="A132" s="15">
        <v>18</v>
      </c>
      <c r="B132" s="438"/>
      <c r="C132" s="438"/>
      <c r="D132" s="438"/>
      <c r="E132" s="438"/>
      <c r="F132" s="438"/>
      <c r="G132" s="24"/>
      <c r="H132" s="24"/>
      <c r="I132" s="28"/>
      <c r="J132" s="29"/>
    </row>
    <row r="133" spans="1:10">
      <c r="A133" s="15">
        <v>19</v>
      </c>
      <c r="B133" s="438"/>
      <c r="C133" s="438"/>
      <c r="D133" s="438"/>
      <c r="E133" s="438"/>
      <c r="F133" s="438"/>
      <c r="G133" s="24"/>
      <c r="H133" s="24"/>
      <c r="I133" s="28"/>
      <c r="J133" s="29"/>
    </row>
    <row r="134" spans="1:10">
      <c r="A134" s="15">
        <v>20</v>
      </c>
      <c r="B134" s="438"/>
      <c r="C134" s="438"/>
      <c r="D134" s="438"/>
      <c r="E134" s="438"/>
      <c r="F134" s="438"/>
      <c r="G134" s="24"/>
      <c r="H134" s="24"/>
      <c r="I134" s="28"/>
      <c r="J134" s="29"/>
    </row>
    <row r="135" spans="1:10">
      <c r="A135" s="15">
        <v>21</v>
      </c>
      <c r="B135" s="438"/>
      <c r="C135" s="438"/>
      <c r="D135" s="438"/>
      <c r="E135" s="438"/>
      <c r="F135" s="438"/>
      <c r="G135" s="24"/>
      <c r="H135" s="24"/>
      <c r="I135" s="28"/>
      <c r="J135" s="29"/>
    </row>
    <row r="136" spans="1:10">
      <c r="A136" s="15">
        <v>22</v>
      </c>
      <c r="B136" s="438"/>
      <c r="C136" s="438"/>
      <c r="D136" s="438"/>
      <c r="E136" s="438"/>
      <c r="F136" s="438"/>
      <c r="G136" s="24"/>
      <c r="H136" s="24"/>
      <c r="I136" s="28"/>
      <c r="J136" s="29"/>
    </row>
    <row r="137" spans="1:10">
      <c r="A137" s="15">
        <v>23</v>
      </c>
      <c r="B137" s="438"/>
      <c r="C137" s="438"/>
      <c r="D137" s="438"/>
      <c r="E137" s="438"/>
      <c r="F137" s="438"/>
      <c r="G137" s="24"/>
      <c r="H137" s="24"/>
      <c r="I137" s="28"/>
      <c r="J137" s="29"/>
    </row>
    <row r="138" spans="1:10">
      <c r="A138" s="15">
        <v>24</v>
      </c>
      <c r="B138" s="438"/>
      <c r="C138" s="438"/>
      <c r="D138" s="438"/>
      <c r="E138" s="438"/>
      <c r="F138" s="438"/>
      <c r="G138" s="24"/>
      <c r="H138" s="24"/>
      <c r="I138" s="28"/>
      <c r="J138" s="29"/>
    </row>
    <row r="139" spans="1:10">
      <c r="A139" s="15">
        <v>25</v>
      </c>
      <c r="B139" s="438"/>
      <c r="C139" s="438"/>
      <c r="D139" s="438"/>
      <c r="E139" s="438"/>
      <c r="F139" s="438"/>
      <c r="G139" s="24"/>
      <c r="H139" s="24"/>
      <c r="I139" s="28"/>
      <c r="J139" s="29"/>
    </row>
    <row r="140" spans="1:10">
      <c r="A140" s="15">
        <v>26</v>
      </c>
      <c r="B140" s="438"/>
      <c r="C140" s="438"/>
      <c r="D140" s="438"/>
      <c r="E140" s="438"/>
      <c r="F140" s="438"/>
      <c r="G140" s="24"/>
      <c r="H140" s="24"/>
      <c r="I140" s="28"/>
      <c r="J140" s="29"/>
    </row>
    <row r="141" spans="1:10">
      <c r="A141" s="15">
        <v>27</v>
      </c>
      <c r="B141" s="438"/>
      <c r="C141" s="438"/>
      <c r="D141" s="438"/>
      <c r="E141" s="438"/>
      <c r="F141" s="438"/>
      <c r="G141" s="24"/>
      <c r="H141" s="24"/>
      <c r="I141" s="28"/>
      <c r="J141" s="29"/>
    </row>
    <row r="142" spans="1:10">
      <c r="A142" s="15">
        <v>28</v>
      </c>
      <c r="B142" s="438"/>
      <c r="C142" s="438"/>
      <c r="D142" s="438"/>
      <c r="E142" s="438"/>
      <c r="F142" s="438"/>
      <c r="G142" s="24"/>
      <c r="H142" s="24"/>
      <c r="I142" s="28"/>
      <c r="J142" s="29"/>
    </row>
    <row r="143" spans="1:10">
      <c r="A143" s="15">
        <v>29</v>
      </c>
      <c r="B143" s="438"/>
      <c r="C143" s="438"/>
      <c r="D143" s="438"/>
      <c r="E143" s="438"/>
      <c r="F143" s="438"/>
      <c r="G143" s="24"/>
      <c r="H143" s="24"/>
      <c r="I143" s="28"/>
      <c r="J143" s="29"/>
    </row>
    <row r="144" spans="1:10">
      <c r="A144" s="15">
        <v>30</v>
      </c>
      <c r="B144" s="438"/>
      <c r="C144" s="438"/>
      <c r="D144" s="438"/>
      <c r="E144" s="438"/>
      <c r="F144" s="438"/>
      <c r="G144" s="24"/>
      <c r="H144" s="24"/>
      <c r="I144" s="28"/>
      <c r="J144" s="29"/>
    </row>
    <row r="145" spans="1:10">
      <c r="A145" s="15">
        <v>31</v>
      </c>
      <c r="B145" s="438"/>
      <c r="C145" s="438"/>
      <c r="D145" s="438"/>
      <c r="E145" s="438"/>
      <c r="F145" s="438"/>
      <c r="G145" s="24"/>
      <c r="H145" s="24"/>
      <c r="I145" s="28"/>
      <c r="J145" s="29"/>
    </row>
    <row r="146" spans="1:10">
      <c r="A146" s="15">
        <v>32</v>
      </c>
      <c r="B146" s="438"/>
      <c r="C146" s="438"/>
      <c r="D146" s="438"/>
      <c r="E146" s="438"/>
      <c r="F146" s="438"/>
      <c r="G146" s="24"/>
      <c r="H146" s="24"/>
      <c r="I146" s="28"/>
      <c r="J146" s="29"/>
    </row>
    <row r="147" spans="1:10">
      <c r="A147" s="15">
        <v>33</v>
      </c>
      <c r="B147" s="438"/>
      <c r="C147" s="438"/>
      <c r="D147" s="438"/>
      <c r="E147" s="438"/>
      <c r="F147" s="438"/>
      <c r="G147" s="24"/>
      <c r="H147" s="24"/>
      <c r="I147" s="28"/>
      <c r="J147" s="29"/>
    </row>
    <row r="148" spans="1:10">
      <c r="A148" s="15">
        <v>34</v>
      </c>
      <c r="B148" s="438"/>
      <c r="C148" s="438"/>
      <c r="D148" s="438"/>
      <c r="E148" s="438"/>
      <c r="F148" s="438"/>
      <c r="G148" s="24"/>
      <c r="H148" s="24"/>
      <c r="I148" s="28"/>
      <c r="J148" s="29"/>
    </row>
    <row r="149" spans="1:10">
      <c r="A149" s="15">
        <v>35</v>
      </c>
      <c r="B149" s="438"/>
      <c r="C149" s="438"/>
      <c r="D149" s="438"/>
      <c r="E149" s="438"/>
      <c r="F149" s="438"/>
      <c r="G149" s="24"/>
      <c r="H149" s="24"/>
      <c r="I149" s="28"/>
      <c r="J149" s="29"/>
    </row>
    <row r="150" spans="1:10">
      <c r="A150" s="15">
        <v>36</v>
      </c>
      <c r="B150" s="438"/>
      <c r="C150" s="438"/>
      <c r="D150" s="438"/>
      <c r="E150" s="438"/>
      <c r="F150" s="438"/>
      <c r="G150" s="24"/>
      <c r="H150" s="24"/>
      <c r="I150" s="28"/>
      <c r="J150" s="29"/>
    </row>
    <row r="151" spans="1:10">
      <c r="A151" s="15">
        <v>37</v>
      </c>
      <c r="B151" s="438"/>
      <c r="C151" s="438"/>
      <c r="D151" s="438"/>
      <c r="E151" s="438"/>
      <c r="F151" s="438"/>
      <c r="G151" s="24"/>
      <c r="H151" s="24"/>
      <c r="I151" s="28"/>
      <c r="J151" s="29"/>
    </row>
    <row r="152" spans="1:10">
      <c r="A152" s="15">
        <v>38</v>
      </c>
      <c r="B152" s="438"/>
      <c r="C152" s="438"/>
      <c r="D152" s="438"/>
      <c r="E152" s="438"/>
      <c r="F152" s="438"/>
      <c r="G152" s="24"/>
      <c r="H152" s="24"/>
      <c r="I152" s="28"/>
      <c r="J152" s="29"/>
    </row>
    <row r="153" spans="1:10">
      <c r="A153" s="15">
        <v>39</v>
      </c>
      <c r="B153" s="438"/>
      <c r="C153" s="438"/>
      <c r="D153" s="438"/>
      <c r="E153" s="438"/>
      <c r="F153" s="438"/>
      <c r="G153" s="24"/>
      <c r="H153" s="24"/>
      <c r="I153" s="28"/>
      <c r="J153" s="29"/>
    </row>
    <row r="154" spans="1:10">
      <c r="A154" s="15">
        <v>40</v>
      </c>
      <c r="B154" s="438"/>
      <c r="C154" s="438"/>
      <c r="D154" s="438"/>
      <c r="E154" s="438"/>
      <c r="F154" s="438"/>
      <c r="G154" s="24"/>
      <c r="H154" s="24"/>
      <c r="I154" s="28"/>
      <c r="J154" s="29"/>
    </row>
    <row r="155" spans="1:10">
      <c r="A155" s="15">
        <v>41</v>
      </c>
      <c r="B155" s="438"/>
      <c r="C155" s="438"/>
      <c r="D155" s="438"/>
      <c r="E155" s="438"/>
      <c r="F155" s="438"/>
      <c r="G155" s="24"/>
      <c r="H155" s="24"/>
      <c r="I155" s="28"/>
      <c r="J155" s="29"/>
    </row>
    <row r="156" spans="1:10">
      <c r="A156" s="15">
        <v>42</v>
      </c>
      <c r="B156" s="438"/>
      <c r="C156" s="438"/>
      <c r="D156" s="438"/>
      <c r="E156" s="438"/>
      <c r="F156" s="438"/>
      <c r="G156" s="24"/>
      <c r="H156" s="24"/>
      <c r="I156" s="28"/>
      <c r="J156" s="29"/>
    </row>
    <row r="157" spans="1:10">
      <c r="A157" s="15">
        <v>43</v>
      </c>
      <c r="B157" s="438"/>
      <c r="C157" s="438"/>
      <c r="D157" s="438"/>
      <c r="E157" s="438"/>
      <c r="F157" s="438"/>
      <c r="G157" s="24"/>
      <c r="H157" s="24"/>
      <c r="I157" s="28"/>
      <c r="J157" s="29"/>
    </row>
    <row r="158" spans="1:10">
      <c r="A158" s="15">
        <v>44</v>
      </c>
      <c r="B158" s="438"/>
      <c r="C158" s="438"/>
      <c r="D158" s="438"/>
      <c r="E158" s="438"/>
      <c r="F158" s="438"/>
      <c r="G158" s="24"/>
      <c r="H158" s="24"/>
      <c r="I158" s="28"/>
      <c r="J158" s="29"/>
    </row>
    <row r="159" spans="1:10">
      <c r="A159" s="15">
        <v>45</v>
      </c>
      <c r="B159" s="438"/>
      <c r="C159" s="438"/>
      <c r="D159" s="438"/>
      <c r="E159" s="438"/>
      <c r="F159" s="438"/>
      <c r="G159" s="24"/>
      <c r="H159" s="24"/>
      <c r="I159" s="28"/>
      <c r="J159" s="29"/>
    </row>
    <row r="160" spans="1:10">
      <c r="A160" s="15">
        <v>46</v>
      </c>
      <c r="B160" s="438"/>
      <c r="C160" s="438"/>
      <c r="D160" s="438"/>
      <c r="E160" s="438"/>
      <c r="F160" s="438"/>
      <c r="G160" s="24"/>
      <c r="H160" s="24"/>
      <c r="I160" s="28"/>
      <c r="J160" s="29"/>
    </row>
    <row r="161" spans="1:10">
      <c r="A161" s="15">
        <v>47</v>
      </c>
      <c r="B161" s="438"/>
      <c r="C161" s="438"/>
      <c r="D161" s="438"/>
      <c r="E161" s="438"/>
      <c r="F161" s="438"/>
      <c r="G161" s="24"/>
      <c r="H161" s="24"/>
      <c r="I161" s="28"/>
      <c r="J161" s="29"/>
    </row>
    <row r="162" spans="1:10">
      <c r="A162" s="15">
        <v>48</v>
      </c>
      <c r="B162" s="438"/>
      <c r="C162" s="438"/>
      <c r="D162" s="438"/>
      <c r="E162" s="438"/>
      <c r="F162" s="438"/>
      <c r="G162" s="24"/>
      <c r="H162" s="24"/>
      <c r="I162" s="28"/>
      <c r="J162" s="29"/>
    </row>
    <row r="163" spans="1:10">
      <c r="A163" s="15">
        <v>49</v>
      </c>
      <c r="B163" s="438"/>
      <c r="C163" s="438"/>
      <c r="D163" s="438"/>
      <c r="E163" s="438"/>
      <c r="F163" s="438"/>
      <c r="G163" s="24"/>
      <c r="H163" s="24"/>
      <c r="I163" s="28"/>
      <c r="J163" s="29"/>
    </row>
    <row r="164" spans="1:10" ht="18.600000000000001" thickBot="1">
      <c r="A164" s="16">
        <v>50</v>
      </c>
      <c r="B164" s="439"/>
      <c r="C164" s="439"/>
      <c r="D164" s="439"/>
      <c r="E164" s="439"/>
      <c r="F164" s="439"/>
      <c r="G164" s="25"/>
      <c r="H164" s="25"/>
      <c r="I164" s="30"/>
      <c r="J164" s="31"/>
    </row>
  </sheetData>
  <autoFilter ref="G114:J114" xr:uid="{00000000-0001-0000-0300-000000000000}"/>
  <mergeCells count="705">
    <mergeCell ref="C104:G104"/>
    <mergeCell ref="L104:P104"/>
    <mergeCell ref="U104:Y104"/>
    <mergeCell ref="AV64:AZ64"/>
    <mergeCell ref="BE64:BI64"/>
    <mergeCell ref="C84:G84"/>
    <mergeCell ref="L84:P84"/>
    <mergeCell ref="U84:Y84"/>
    <mergeCell ref="AD84:AH84"/>
    <mergeCell ref="AM84:AQ84"/>
    <mergeCell ref="AV84:AZ84"/>
    <mergeCell ref="BE84:BI84"/>
    <mergeCell ref="N65:O65"/>
    <mergeCell ref="S65:T65"/>
    <mergeCell ref="U65:V65"/>
    <mergeCell ref="W65:X65"/>
    <mergeCell ref="C64:G64"/>
    <mergeCell ref="L64:P64"/>
    <mergeCell ref="U64:Y64"/>
    <mergeCell ref="AD64:AH64"/>
    <mergeCell ref="AM64:AQ64"/>
    <mergeCell ref="BC65:BD65"/>
    <mergeCell ref="BE65:BF65"/>
    <mergeCell ref="BG65:BH65"/>
    <mergeCell ref="AV24:AZ24"/>
    <mergeCell ref="BE24:BI24"/>
    <mergeCell ref="C44:G44"/>
    <mergeCell ref="L44:P44"/>
    <mergeCell ref="U44:Y44"/>
    <mergeCell ref="AD44:AH44"/>
    <mergeCell ref="AM44:AQ44"/>
    <mergeCell ref="AV44:AZ44"/>
    <mergeCell ref="BE44:BI44"/>
    <mergeCell ref="N25:O25"/>
    <mergeCell ref="S25:T25"/>
    <mergeCell ref="U25:V25"/>
    <mergeCell ref="W25:X25"/>
    <mergeCell ref="C24:G24"/>
    <mergeCell ref="L24:P24"/>
    <mergeCell ref="AD24:AH24"/>
    <mergeCell ref="U24:Y24"/>
    <mergeCell ref="AM24:AQ24"/>
    <mergeCell ref="BC25:BD25"/>
    <mergeCell ref="BE25:BF25"/>
    <mergeCell ref="BG25:BH25"/>
    <mergeCell ref="B28:D28"/>
    <mergeCell ref="K28:M28"/>
    <mergeCell ref="T28:V28"/>
    <mergeCell ref="BI2:BJ2"/>
    <mergeCell ref="C1:D1"/>
    <mergeCell ref="A5:B5"/>
    <mergeCell ref="C5:D5"/>
    <mergeCell ref="E5:F5"/>
    <mergeCell ref="J5:K5"/>
    <mergeCell ref="L5:M5"/>
    <mergeCell ref="N5:O5"/>
    <mergeCell ref="S5:T5"/>
    <mergeCell ref="U5:V5"/>
    <mergeCell ref="AX5:AY5"/>
    <mergeCell ref="BC5:BD5"/>
    <mergeCell ref="BE5:BF5"/>
    <mergeCell ref="BG5:BH5"/>
    <mergeCell ref="A6:B6"/>
    <mergeCell ref="J6:K6"/>
    <mergeCell ref="S6:T6"/>
    <mergeCell ref="AB6:AC6"/>
    <mergeCell ref="AK6:AL6"/>
    <mergeCell ref="AT6:AU6"/>
    <mergeCell ref="BC6:BD6"/>
    <mergeCell ref="W5:X5"/>
    <mergeCell ref="AB5:AC5"/>
    <mergeCell ref="AD5:AE5"/>
    <mergeCell ref="AF5:AG5"/>
    <mergeCell ref="AK5:AL5"/>
    <mergeCell ref="AM5:AN5"/>
    <mergeCell ref="AO5:AP5"/>
    <mergeCell ref="AT5:AU5"/>
    <mergeCell ref="AV5:AW5"/>
    <mergeCell ref="B8:D8"/>
    <mergeCell ref="K8:M8"/>
    <mergeCell ref="T8:V8"/>
    <mergeCell ref="AC8:AE8"/>
    <mergeCell ref="AL8:AN8"/>
    <mergeCell ref="AU8:AW8"/>
    <mergeCell ref="BD8:BF8"/>
    <mergeCell ref="B9:D9"/>
    <mergeCell ref="K9:M9"/>
    <mergeCell ref="T9:V9"/>
    <mergeCell ref="AC9:AE9"/>
    <mergeCell ref="AL9:AN9"/>
    <mergeCell ref="AU9:AW9"/>
    <mergeCell ref="BD9:BF9"/>
    <mergeCell ref="B10:D10"/>
    <mergeCell ref="K10:M10"/>
    <mergeCell ref="T10:V10"/>
    <mergeCell ref="AC10:AE10"/>
    <mergeCell ref="AL10:AN10"/>
    <mergeCell ref="AU10:AW10"/>
    <mergeCell ref="BD10:BF10"/>
    <mergeCell ref="B11:D11"/>
    <mergeCell ref="K11:M11"/>
    <mergeCell ref="T11:V11"/>
    <mergeCell ref="AC11:AE11"/>
    <mergeCell ref="AL11:AN11"/>
    <mergeCell ref="AU11:AW11"/>
    <mergeCell ref="BD11:BF11"/>
    <mergeCell ref="B12:D12"/>
    <mergeCell ref="K12:M12"/>
    <mergeCell ref="T12:V12"/>
    <mergeCell ref="AC12:AE12"/>
    <mergeCell ref="AL12:AN12"/>
    <mergeCell ref="AU12:AW12"/>
    <mergeCell ref="BD12:BF12"/>
    <mergeCell ref="B13:D13"/>
    <mergeCell ref="K13:M13"/>
    <mergeCell ref="T13:V13"/>
    <mergeCell ref="AC13:AE13"/>
    <mergeCell ref="AL13:AN13"/>
    <mergeCell ref="AU13:AW13"/>
    <mergeCell ref="BD13:BF13"/>
    <mergeCell ref="B14:D14"/>
    <mergeCell ref="K14:M14"/>
    <mergeCell ref="T14:V14"/>
    <mergeCell ref="AC14:AE14"/>
    <mergeCell ref="AL14:AN14"/>
    <mergeCell ref="AU14:AW14"/>
    <mergeCell ref="BD14:BF14"/>
    <mergeCell ref="B15:D15"/>
    <mergeCell ref="K15:M15"/>
    <mergeCell ref="T15:V15"/>
    <mergeCell ref="AC15:AE15"/>
    <mergeCell ref="AL15:AN15"/>
    <mergeCell ref="AU15:AW15"/>
    <mergeCell ref="BD15:BF15"/>
    <mergeCell ref="B16:D16"/>
    <mergeCell ref="K16:M16"/>
    <mergeCell ref="T16:V16"/>
    <mergeCell ref="AC16:AE16"/>
    <mergeCell ref="AL16:AN16"/>
    <mergeCell ref="AU16:AW16"/>
    <mergeCell ref="BD16:BF16"/>
    <mergeCell ref="B17:D17"/>
    <mergeCell ref="K17:M17"/>
    <mergeCell ref="T17:V17"/>
    <mergeCell ref="AC17:AE17"/>
    <mergeCell ref="AL17:AN17"/>
    <mergeCell ref="AU17:AW17"/>
    <mergeCell ref="BD17:BF17"/>
    <mergeCell ref="B18:D18"/>
    <mergeCell ref="K18:M18"/>
    <mergeCell ref="T18:V18"/>
    <mergeCell ref="AC18:AE18"/>
    <mergeCell ref="AL18:AN18"/>
    <mergeCell ref="AU18:AW18"/>
    <mergeCell ref="BD18:BF18"/>
    <mergeCell ref="B19:D19"/>
    <mergeCell ref="K19:M19"/>
    <mergeCell ref="T19:V19"/>
    <mergeCell ref="AC19:AE19"/>
    <mergeCell ref="AL19:AN19"/>
    <mergeCell ref="AU19:AW19"/>
    <mergeCell ref="BD19:BF19"/>
    <mergeCell ref="B20:D20"/>
    <mergeCell ref="K20:M20"/>
    <mergeCell ref="T20:V20"/>
    <mergeCell ref="AC20:AE20"/>
    <mergeCell ref="AL20:AN20"/>
    <mergeCell ref="AU20:AW20"/>
    <mergeCell ref="BD20:BF20"/>
    <mergeCell ref="B21:D21"/>
    <mergeCell ref="K21:M21"/>
    <mergeCell ref="T21:V21"/>
    <mergeCell ref="AC21:AE21"/>
    <mergeCell ref="AL21:AN21"/>
    <mergeCell ref="AU21:AW21"/>
    <mergeCell ref="BD21:BF21"/>
    <mergeCell ref="AU22:AW22"/>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26:B26"/>
    <mergeCell ref="J26:K26"/>
    <mergeCell ref="S26:T26"/>
    <mergeCell ref="AB26:AC26"/>
    <mergeCell ref="AK26:AL26"/>
    <mergeCell ref="AT26:AU26"/>
    <mergeCell ref="BC26:BD26"/>
    <mergeCell ref="AB25:AC25"/>
    <mergeCell ref="AD25:AE25"/>
    <mergeCell ref="AF25:AG25"/>
    <mergeCell ref="AK25:AL25"/>
    <mergeCell ref="AM25:AN25"/>
    <mergeCell ref="AO25:AP25"/>
    <mergeCell ref="AT25:AU25"/>
    <mergeCell ref="AV25:AW25"/>
    <mergeCell ref="AX25:AY25"/>
    <mergeCell ref="A25:B25"/>
    <mergeCell ref="C25:D25"/>
    <mergeCell ref="E25:F25"/>
    <mergeCell ref="J25:K25"/>
    <mergeCell ref="L25:M25"/>
    <mergeCell ref="AC28:AE28"/>
    <mergeCell ref="AL28:AN28"/>
    <mergeCell ref="AU28:AW28"/>
    <mergeCell ref="BD28:BF28"/>
    <mergeCell ref="B29:D29"/>
    <mergeCell ref="K29:M29"/>
    <mergeCell ref="T29:V29"/>
    <mergeCell ref="AC29:AE29"/>
    <mergeCell ref="AL29:AN29"/>
    <mergeCell ref="AU29:AW29"/>
    <mergeCell ref="BD29:BF29"/>
    <mergeCell ref="B30:D30"/>
    <mergeCell ref="K30:M30"/>
    <mergeCell ref="T30:V30"/>
    <mergeCell ref="AC30:AE30"/>
    <mergeCell ref="AL30:AN30"/>
    <mergeCell ref="AU30:AW30"/>
    <mergeCell ref="BD30:BF30"/>
    <mergeCell ref="B31:D31"/>
    <mergeCell ref="K31:M31"/>
    <mergeCell ref="T31:V31"/>
    <mergeCell ref="AC31:AE31"/>
    <mergeCell ref="AL31:AN31"/>
    <mergeCell ref="AU31:AW31"/>
    <mergeCell ref="BD31:BF31"/>
    <mergeCell ref="B32:D32"/>
    <mergeCell ref="K32:M32"/>
    <mergeCell ref="T32:V32"/>
    <mergeCell ref="AC32:AE32"/>
    <mergeCell ref="AL32:AN32"/>
    <mergeCell ref="AU32:AW32"/>
    <mergeCell ref="BD32:BF32"/>
    <mergeCell ref="B33:D33"/>
    <mergeCell ref="K33:M33"/>
    <mergeCell ref="T33:V33"/>
    <mergeCell ref="AC33:AE33"/>
    <mergeCell ref="AL33:AN33"/>
    <mergeCell ref="AU33:AW33"/>
    <mergeCell ref="BD33:BF33"/>
    <mergeCell ref="B34:D34"/>
    <mergeCell ref="K34:M34"/>
    <mergeCell ref="T34:V34"/>
    <mergeCell ref="AC34:AE34"/>
    <mergeCell ref="AL34:AN34"/>
    <mergeCell ref="AU34:AW34"/>
    <mergeCell ref="BD34:BF34"/>
    <mergeCell ref="B35:D35"/>
    <mergeCell ref="K35:M35"/>
    <mergeCell ref="T35:V35"/>
    <mergeCell ref="AC35:AE35"/>
    <mergeCell ref="AL35:AN35"/>
    <mergeCell ref="AU35:AW35"/>
    <mergeCell ref="BD35:BF35"/>
    <mergeCell ref="B36:D36"/>
    <mergeCell ref="K36:M36"/>
    <mergeCell ref="T36:V36"/>
    <mergeCell ref="AC36:AE36"/>
    <mergeCell ref="AL36:AN36"/>
    <mergeCell ref="AU36:AW36"/>
    <mergeCell ref="BD36:BF36"/>
    <mergeCell ref="B37:D37"/>
    <mergeCell ref="K37:M37"/>
    <mergeCell ref="T37:V37"/>
    <mergeCell ref="AC37:AE37"/>
    <mergeCell ref="AL37:AN37"/>
    <mergeCell ref="AU37:AW37"/>
    <mergeCell ref="BD37:BF37"/>
    <mergeCell ref="B38:D38"/>
    <mergeCell ref="K38:M38"/>
    <mergeCell ref="T38:V38"/>
    <mergeCell ref="AC38:AE38"/>
    <mergeCell ref="AL38:AN38"/>
    <mergeCell ref="AU38:AW38"/>
    <mergeCell ref="BD38:BF38"/>
    <mergeCell ref="B39:D39"/>
    <mergeCell ref="K39:M39"/>
    <mergeCell ref="T39:V39"/>
    <mergeCell ref="AC39:AE39"/>
    <mergeCell ref="AL39:AN39"/>
    <mergeCell ref="AU39:AW39"/>
    <mergeCell ref="BD39:BF39"/>
    <mergeCell ref="B40:D40"/>
    <mergeCell ref="K40:M40"/>
    <mergeCell ref="T40:V40"/>
    <mergeCell ref="AC40:AE40"/>
    <mergeCell ref="AL40:AN40"/>
    <mergeCell ref="AU40:AW40"/>
    <mergeCell ref="BD40:BF40"/>
    <mergeCell ref="B41:D41"/>
    <mergeCell ref="K41:M41"/>
    <mergeCell ref="T41:V41"/>
    <mergeCell ref="AC41:AE41"/>
    <mergeCell ref="AL41:AN41"/>
    <mergeCell ref="AU41:AW41"/>
    <mergeCell ref="BD41:BF41"/>
    <mergeCell ref="AU42:AW42"/>
    <mergeCell ref="BD42:BF42"/>
    <mergeCell ref="B43:D43"/>
    <mergeCell ref="K43:M43"/>
    <mergeCell ref="T43:V43"/>
    <mergeCell ref="AC43:AE43"/>
    <mergeCell ref="AL43:AN43"/>
    <mergeCell ref="AU43:AW43"/>
    <mergeCell ref="BD43:BF43"/>
    <mergeCell ref="N45:O45"/>
    <mergeCell ref="S45:T45"/>
    <mergeCell ref="U45:V45"/>
    <mergeCell ref="W45:X45"/>
    <mergeCell ref="B42:D42"/>
    <mergeCell ref="K42:M42"/>
    <mergeCell ref="T42:V42"/>
    <mergeCell ref="AC42:AE42"/>
    <mergeCell ref="AL42:AN42"/>
    <mergeCell ref="BC45:BD45"/>
    <mergeCell ref="BE45:BF45"/>
    <mergeCell ref="BG45:BH45"/>
    <mergeCell ref="A46:B46"/>
    <mergeCell ref="J46:K46"/>
    <mergeCell ref="S46:T46"/>
    <mergeCell ref="AB46:AC46"/>
    <mergeCell ref="AK46:AL46"/>
    <mergeCell ref="AT46:AU46"/>
    <mergeCell ref="BC46:BD46"/>
    <mergeCell ref="AB45:AC45"/>
    <mergeCell ref="AD45:AE45"/>
    <mergeCell ref="AF45:AG45"/>
    <mergeCell ref="AK45:AL45"/>
    <mergeCell ref="AM45:AN45"/>
    <mergeCell ref="AO45:AP45"/>
    <mergeCell ref="AT45:AU45"/>
    <mergeCell ref="AV45:AW45"/>
    <mergeCell ref="AX45:AY45"/>
    <mergeCell ref="A45:B45"/>
    <mergeCell ref="C45:D45"/>
    <mergeCell ref="E45:F45"/>
    <mergeCell ref="J45:K45"/>
    <mergeCell ref="L45:M45"/>
    <mergeCell ref="B48:D48"/>
    <mergeCell ref="K48:M48"/>
    <mergeCell ref="T48:V48"/>
    <mergeCell ref="AC48:AE48"/>
    <mergeCell ref="AL48:AN48"/>
    <mergeCell ref="AU48:AW48"/>
    <mergeCell ref="BD48:BF48"/>
    <mergeCell ref="B49:D49"/>
    <mergeCell ref="K49:M49"/>
    <mergeCell ref="T49:V49"/>
    <mergeCell ref="AC49:AE49"/>
    <mergeCell ref="AL49:AN49"/>
    <mergeCell ref="AU49:AW49"/>
    <mergeCell ref="BD49:BF49"/>
    <mergeCell ref="B50:D50"/>
    <mergeCell ref="K50:M50"/>
    <mergeCell ref="T50:V50"/>
    <mergeCell ref="AC50:AE50"/>
    <mergeCell ref="AL50:AN50"/>
    <mergeCell ref="AU50:AW50"/>
    <mergeCell ref="BD50:BF50"/>
    <mergeCell ref="B51:D51"/>
    <mergeCell ref="K51:M51"/>
    <mergeCell ref="T51:V51"/>
    <mergeCell ref="AC51:AE51"/>
    <mergeCell ref="AL51:AN51"/>
    <mergeCell ref="AU51:AW51"/>
    <mergeCell ref="BD51:BF51"/>
    <mergeCell ref="B52:D52"/>
    <mergeCell ref="K52:M52"/>
    <mergeCell ref="T52:V52"/>
    <mergeCell ref="AC52:AE52"/>
    <mergeCell ref="AL52:AN52"/>
    <mergeCell ref="AU52:AW52"/>
    <mergeCell ref="BD52:BF52"/>
    <mergeCell ref="B53:D53"/>
    <mergeCell ref="K53:M53"/>
    <mergeCell ref="T53:V53"/>
    <mergeCell ref="AC53:AE53"/>
    <mergeCell ref="AL53:AN53"/>
    <mergeCell ref="AU53:AW53"/>
    <mergeCell ref="BD53:BF53"/>
    <mergeCell ref="B54:D54"/>
    <mergeCell ref="K54:M54"/>
    <mergeCell ref="T54:V54"/>
    <mergeCell ref="AC54:AE54"/>
    <mergeCell ref="AL54:AN54"/>
    <mergeCell ref="AU54:AW54"/>
    <mergeCell ref="BD54:BF54"/>
    <mergeCell ref="B55:D55"/>
    <mergeCell ref="K55:M55"/>
    <mergeCell ref="T55:V55"/>
    <mergeCell ref="AC55:AE55"/>
    <mergeCell ref="AL55:AN55"/>
    <mergeCell ref="AU55:AW55"/>
    <mergeCell ref="BD55:BF55"/>
    <mergeCell ref="B56:D56"/>
    <mergeCell ref="K56:M56"/>
    <mergeCell ref="T56:V56"/>
    <mergeCell ref="AC56:AE56"/>
    <mergeCell ref="AL56:AN56"/>
    <mergeCell ref="AU56:AW56"/>
    <mergeCell ref="BD56:BF56"/>
    <mergeCell ref="B57:D57"/>
    <mergeCell ref="K57:M57"/>
    <mergeCell ref="T57:V57"/>
    <mergeCell ref="AC57:AE57"/>
    <mergeCell ref="AL57:AN57"/>
    <mergeCell ref="AU57:AW57"/>
    <mergeCell ref="BD57:BF57"/>
    <mergeCell ref="B58:D58"/>
    <mergeCell ref="K58:M58"/>
    <mergeCell ref="T58:V58"/>
    <mergeCell ref="AC58:AE58"/>
    <mergeCell ref="AL58:AN58"/>
    <mergeCell ref="AU58:AW58"/>
    <mergeCell ref="BD58:BF58"/>
    <mergeCell ref="B59:D59"/>
    <mergeCell ref="K59:M59"/>
    <mergeCell ref="T59:V59"/>
    <mergeCell ref="AC59:AE59"/>
    <mergeCell ref="AL59:AN59"/>
    <mergeCell ref="AU59:AW59"/>
    <mergeCell ref="BD59:BF59"/>
    <mergeCell ref="B60:D60"/>
    <mergeCell ref="K60:M60"/>
    <mergeCell ref="T60:V60"/>
    <mergeCell ref="AC60:AE60"/>
    <mergeCell ref="AL60:AN60"/>
    <mergeCell ref="AU60:AW60"/>
    <mergeCell ref="BD60:BF60"/>
    <mergeCell ref="B61:D61"/>
    <mergeCell ref="K61:M61"/>
    <mergeCell ref="T61:V61"/>
    <mergeCell ref="AC61:AE61"/>
    <mergeCell ref="AL61:AN61"/>
    <mergeCell ref="AU61:AW61"/>
    <mergeCell ref="BD61:BF61"/>
    <mergeCell ref="AU62:AW62"/>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66:B66"/>
    <mergeCell ref="J66:K66"/>
    <mergeCell ref="S66:T66"/>
    <mergeCell ref="AB66:AC66"/>
    <mergeCell ref="AK66:AL66"/>
    <mergeCell ref="AT66:AU66"/>
    <mergeCell ref="BC66:BD66"/>
    <mergeCell ref="AB65:AC65"/>
    <mergeCell ref="AD65:AE65"/>
    <mergeCell ref="AF65:AG65"/>
    <mergeCell ref="AK65:AL65"/>
    <mergeCell ref="AM65:AN65"/>
    <mergeCell ref="AO65:AP65"/>
    <mergeCell ref="AT65:AU65"/>
    <mergeCell ref="AV65:AW65"/>
    <mergeCell ref="AX65:AY65"/>
    <mergeCell ref="A65:B65"/>
    <mergeCell ref="C65:D65"/>
    <mergeCell ref="E65:F65"/>
    <mergeCell ref="J65:K65"/>
    <mergeCell ref="L65:M65"/>
    <mergeCell ref="B68:D68"/>
    <mergeCell ref="K68:M68"/>
    <mergeCell ref="T68:V68"/>
    <mergeCell ref="AC68:AE68"/>
    <mergeCell ref="AL68:AN68"/>
    <mergeCell ref="AU68:AW68"/>
    <mergeCell ref="BD68:BF68"/>
    <mergeCell ref="B69:D69"/>
    <mergeCell ref="K69:M69"/>
    <mergeCell ref="T69:V69"/>
    <mergeCell ref="AC69:AE69"/>
    <mergeCell ref="AL69:AN69"/>
    <mergeCell ref="AU69:AW69"/>
    <mergeCell ref="BD69:BF69"/>
    <mergeCell ref="B70:D70"/>
    <mergeCell ref="K70:M70"/>
    <mergeCell ref="T70:V70"/>
    <mergeCell ref="AC70:AE70"/>
    <mergeCell ref="AL70:AN70"/>
    <mergeCell ref="AU70:AW70"/>
    <mergeCell ref="BD70:BF70"/>
    <mergeCell ref="B71:D71"/>
    <mergeCell ref="K71:M71"/>
    <mergeCell ref="T71:V71"/>
    <mergeCell ref="AC71:AE71"/>
    <mergeCell ref="AL71:AN71"/>
    <mergeCell ref="AU71:AW71"/>
    <mergeCell ref="BD71:BF71"/>
    <mergeCell ref="B72:D72"/>
    <mergeCell ref="K72:M72"/>
    <mergeCell ref="T72:V72"/>
    <mergeCell ref="AC72:AE72"/>
    <mergeCell ref="AL72:AN72"/>
    <mergeCell ref="AU72:AW72"/>
    <mergeCell ref="BD72:BF72"/>
    <mergeCell ref="B73:D73"/>
    <mergeCell ref="K73:M73"/>
    <mergeCell ref="T73:V73"/>
    <mergeCell ref="AC73:AE73"/>
    <mergeCell ref="AL73:AN73"/>
    <mergeCell ref="AU73:AW73"/>
    <mergeCell ref="BD73:BF73"/>
    <mergeCell ref="B74:D74"/>
    <mergeCell ref="K74:M74"/>
    <mergeCell ref="T74:V74"/>
    <mergeCell ref="AC74:AE74"/>
    <mergeCell ref="AL74:AN74"/>
    <mergeCell ref="AU74:AW74"/>
    <mergeCell ref="BD74:BF74"/>
    <mergeCell ref="B75:D75"/>
    <mergeCell ref="K75:M75"/>
    <mergeCell ref="T75:V75"/>
    <mergeCell ref="AC75:AE75"/>
    <mergeCell ref="AL75:AN75"/>
    <mergeCell ref="AU75:AW75"/>
    <mergeCell ref="BD75:BF75"/>
    <mergeCell ref="B76:D76"/>
    <mergeCell ref="K76:M76"/>
    <mergeCell ref="T76:V76"/>
    <mergeCell ref="AC76:AE76"/>
    <mergeCell ref="AL76:AN76"/>
    <mergeCell ref="AU76:AW76"/>
    <mergeCell ref="BD76:BF76"/>
    <mergeCell ref="B77:D77"/>
    <mergeCell ref="K77:M77"/>
    <mergeCell ref="T77:V77"/>
    <mergeCell ref="AC77:AE77"/>
    <mergeCell ref="AL77:AN77"/>
    <mergeCell ref="AU77:AW77"/>
    <mergeCell ref="BD77:BF77"/>
    <mergeCell ref="B78:D78"/>
    <mergeCell ref="K78:M78"/>
    <mergeCell ref="T78:V78"/>
    <mergeCell ref="AC78:AE78"/>
    <mergeCell ref="AL78:AN78"/>
    <mergeCell ref="AU78:AW78"/>
    <mergeCell ref="BD78:BF78"/>
    <mergeCell ref="B79:D79"/>
    <mergeCell ref="K79:M79"/>
    <mergeCell ref="T79:V79"/>
    <mergeCell ref="AC79:AE79"/>
    <mergeCell ref="AL79:AN79"/>
    <mergeCell ref="AU79:AW79"/>
    <mergeCell ref="BD79:BF79"/>
    <mergeCell ref="B80:D80"/>
    <mergeCell ref="K80:M80"/>
    <mergeCell ref="T80:V80"/>
    <mergeCell ref="AC80:AE80"/>
    <mergeCell ref="AL80:AN80"/>
    <mergeCell ref="AU80:AW80"/>
    <mergeCell ref="BD80:BF80"/>
    <mergeCell ref="B81:D81"/>
    <mergeCell ref="K81:M81"/>
    <mergeCell ref="T81:V81"/>
    <mergeCell ref="AC81:AE81"/>
    <mergeCell ref="AL81:AN81"/>
    <mergeCell ref="AU81:AW81"/>
    <mergeCell ref="BD81:BF81"/>
    <mergeCell ref="B82:D82"/>
    <mergeCell ref="K82:M82"/>
    <mergeCell ref="T82:V82"/>
    <mergeCell ref="AC82:AE82"/>
    <mergeCell ref="AL82:AN82"/>
    <mergeCell ref="AU82:AW82"/>
    <mergeCell ref="BD82:BF82"/>
    <mergeCell ref="B83:D83"/>
    <mergeCell ref="K83:M83"/>
    <mergeCell ref="T83:V83"/>
    <mergeCell ref="AC83:AE83"/>
    <mergeCell ref="AL83:AN83"/>
    <mergeCell ref="AU83:AW83"/>
    <mergeCell ref="BD83:BF83"/>
    <mergeCell ref="A85:B85"/>
    <mergeCell ref="C85:D85"/>
    <mergeCell ref="E85:F85"/>
    <mergeCell ref="J85:K85"/>
    <mergeCell ref="L85:M85"/>
    <mergeCell ref="N85:O85"/>
    <mergeCell ref="S85:T85"/>
    <mergeCell ref="U85:V85"/>
    <mergeCell ref="W85:X85"/>
    <mergeCell ref="A86:B86"/>
    <mergeCell ref="J86:K86"/>
    <mergeCell ref="S86:T86"/>
    <mergeCell ref="B88:D88"/>
    <mergeCell ref="K88:M88"/>
    <mergeCell ref="T88:V88"/>
    <mergeCell ref="B89:D89"/>
    <mergeCell ref="K89:M89"/>
    <mergeCell ref="T89:V89"/>
    <mergeCell ref="B90:D90"/>
    <mergeCell ref="K90:M90"/>
    <mergeCell ref="T90:V90"/>
    <mergeCell ref="B91:D91"/>
    <mergeCell ref="K91:M91"/>
    <mergeCell ref="T91:V91"/>
    <mergeCell ref="B92:D92"/>
    <mergeCell ref="K92:M92"/>
    <mergeCell ref="T92:V92"/>
    <mergeCell ref="B93:D93"/>
    <mergeCell ref="K93:M93"/>
    <mergeCell ref="T93:V93"/>
    <mergeCell ref="B94:D94"/>
    <mergeCell ref="K94:M94"/>
    <mergeCell ref="T94:V94"/>
    <mergeCell ref="B95:D95"/>
    <mergeCell ref="K95:M95"/>
    <mergeCell ref="T95:V95"/>
    <mergeCell ref="B96:D96"/>
    <mergeCell ref="K96:M96"/>
    <mergeCell ref="T96:V96"/>
    <mergeCell ref="B97:D97"/>
    <mergeCell ref="K97:M97"/>
    <mergeCell ref="T97:V97"/>
    <mergeCell ref="B98:D98"/>
    <mergeCell ref="K98:M98"/>
    <mergeCell ref="T98:V98"/>
    <mergeCell ref="B102:D102"/>
    <mergeCell ref="K102:M102"/>
    <mergeCell ref="T102:V102"/>
    <mergeCell ref="B103:D103"/>
    <mergeCell ref="K103:M103"/>
    <mergeCell ref="T103:V103"/>
    <mergeCell ref="B99:D99"/>
    <mergeCell ref="K99:M99"/>
    <mergeCell ref="T99:V99"/>
    <mergeCell ref="B100:D100"/>
    <mergeCell ref="K100:M100"/>
    <mergeCell ref="T100:V100"/>
    <mergeCell ref="B101:D101"/>
    <mergeCell ref="K101:M101"/>
    <mergeCell ref="T101:V101"/>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49:F149"/>
    <mergeCell ref="B132:F132"/>
    <mergeCell ref="B133:F133"/>
    <mergeCell ref="B134:F134"/>
    <mergeCell ref="B135:F135"/>
    <mergeCell ref="B136:F136"/>
    <mergeCell ref="B137:F137"/>
    <mergeCell ref="B138:F138"/>
    <mergeCell ref="B139:F139"/>
    <mergeCell ref="B140:F140"/>
    <mergeCell ref="B159:F159"/>
    <mergeCell ref="B160:F160"/>
    <mergeCell ref="B161:F161"/>
    <mergeCell ref="B162:F162"/>
    <mergeCell ref="B163:F163"/>
    <mergeCell ref="B164:F164"/>
    <mergeCell ref="F1:G1"/>
    <mergeCell ref="B150:F150"/>
    <mergeCell ref="B151:F151"/>
    <mergeCell ref="B152:F152"/>
    <mergeCell ref="B153:F153"/>
    <mergeCell ref="B154:F154"/>
    <mergeCell ref="B155:F155"/>
    <mergeCell ref="B156:F156"/>
    <mergeCell ref="B157:F157"/>
    <mergeCell ref="B158:F158"/>
    <mergeCell ref="B141:F141"/>
    <mergeCell ref="B142:F142"/>
    <mergeCell ref="B143:F143"/>
    <mergeCell ref="B144:F144"/>
    <mergeCell ref="B145:F145"/>
    <mergeCell ref="B146:F146"/>
    <mergeCell ref="B147:F147"/>
    <mergeCell ref="B148:F148"/>
  </mergeCells>
  <phoneticPr fontId="5"/>
  <conditionalFormatting sqref="E9:E23">
    <cfRule type="cellIs" dxfId="135" priority="8" operator="equal">
      <formula>0</formula>
    </cfRule>
    <cfRule type="cellIs" dxfId="134" priority="9" operator="equal">
      <formula>0</formula>
    </cfRule>
  </conditionalFormatting>
  <conditionalFormatting sqref="E29:E43">
    <cfRule type="cellIs" dxfId="133" priority="10" operator="equal">
      <formula>0</formula>
    </cfRule>
    <cfRule type="cellIs" dxfId="132" priority="11" operator="equal">
      <formula>0</formula>
    </cfRule>
  </conditionalFormatting>
  <conditionalFormatting sqref="E49:E63">
    <cfRule type="cellIs" dxfId="131" priority="12" operator="equal">
      <formula>0</formula>
    </cfRule>
    <cfRule type="cellIs" dxfId="130" priority="13" operator="equal">
      <formula>0</formula>
    </cfRule>
  </conditionalFormatting>
  <conditionalFormatting sqref="E69:E83">
    <cfRule type="cellIs" dxfId="129" priority="14" operator="equal">
      <formula>0</formula>
    </cfRule>
    <cfRule type="cellIs" dxfId="128" priority="15" operator="equal">
      <formula>0</formula>
    </cfRule>
  </conditionalFormatting>
  <conditionalFormatting sqref="E89:E103">
    <cfRule type="cellIs" dxfId="127" priority="16" operator="equal">
      <formula>0</formula>
    </cfRule>
    <cfRule type="cellIs" dxfId="126" priority="17" operator="equal">
      <formula>0</formula>
    </cfRule>
  </conditionalFormatting>
  <conditionalFormatting sqref="N9:N23">
    <cfRule type="cellIs" dxfId="125" priority="18" operator="equal">
      <formula>0</formula>
    </cfRule>
    <cfRule type="cellIs" dxfId="124" priority="19" operator="equal">
      <formula>0</formula>
    </cfRule>
  </conditionalFormatting>
  <conditionalFormatting sqref="N29:N43">
    <cfRule type="cellIs" dxfId="123" priority="20" operator="equal">
      <formula>0</formula>
    </cfRule>
    <cfRule type="cellIs" dxfId="122" priority="21" operator="equal">
      <formula>0</formula>
    </cfRule>
  </conditionalFormatting>
  <conditionalFormatting sqref="N49:N63">
    <cfRule type="cellIs" dxfId="121" priority="22" operator="equal">
      <formula>0</formula>
    </cfRule>
    <cfRule type="cellIs" dxfId="120" priority="23" operator="equal">
      <formula>0</formula>
    </cfRule>
  </conditionalFormatting>
  <conditionalFormatting sqref="N69:N83">
    <cfRule type="cellIs" dxfId="119" priority="24" operator="equal">
      <formula>0</formula>
    </cfRule>
    <cfRule type="cellIs" dxfId="118" priority="25" operator="equal">
      <formula>0</formula>
    </cfRule>
  </conditionalFormatting>
  <conditionalFormatting sqref="N89:N103">
    <cfRule type="cellIs" dxfId="117" priority="26" operator="equal">
      <formula>0</formula>
    </cfRule>
    <cfRule type="cellIs" dxfId="116" priority="27" operator="equal">
      <formula>0</formula>
    </cfRule>
  </conditionalFormatting>
  <conditionalFormatting sqref="W9:W23">
    <cfRule type="cellIs" dxfId="115" priority="28" operator="equal">
      <formula>0</formula>
    </cfRule>
    <cfRule type="cellIs" dxfId="114" priority="29" operator="equal">
      <formula>0</formula>
    </cfRule>
  </conditionalFormatting>
  <conditionalFormatting sqref="W29:W43">
    <cfRule type="cellIs" dxfId="113" priority="30" operator="equal">
      <formula>0</formula>
    </cfRule>
    <cfRule type="cellIs" dxfId="112" priority="31" operator="equal">
      <formula>0</formula>
    </cfRule>
  </conditionalFormatting>
  <conditionalFormatting sqref="W49:W63">
    <cfRule type="cellIs" dxfId="111" priority="32" operator="equal">
      <formula>0</formula>
    </cfRule>
    <cfRule type="cellIs" dxfId="110" priority="33" operator="equal">
      <formula>0</formula>
    </cfRule>
  </conditionalFormatting>
  <conditionalFormatting sqref="W69:W83">
    <cfRule type="cellIs" dxfId="109" priority="34" operator="equal">
      <formula>0</formula>
    </cfRule>
    <cfRule type="cellIs" dxfId="108" priority="35" operator="equal">
      <formula>0</formula>
    </cfRule>
  </conditionalFormatting>
  <conditionalFormatting sqref="W89:W103">
    <cfRule type="cellIs" dxfId="107" priority="36" operator="equal">
      <formula>0</formula>
    </cfRule>
    <cfRule type="cellIs" dxfId="106" priority="37" operator="equal">
      <formula>0</formula>
    </cfRule>
  </conditionalFormatting>
  <conditionalFormatting sqref="AF9:AF23">
    <cfRule type="cellIs" dxfId="105" priority="38" operator="equal">
      <formula>0</formula>
    </cfRule>
    <cfRule type="cellIs" dxfId="104" priority="39" operator="equal">
      <formula>0</formula>
    </cfRule>
  </conditionalFormatting>
  <conditionalFormatting sqref="AF29:AF43">
    <cfRule type="cellIs" dxfId="103" priority="40" operator="equal">
      <formula>0</formula>
    </cfRule>
    <cfRule type="cellIs" dxfId="102" priority="41" operator="equal">
      <formula>0</formula>
    </cfRule>
  </conditionalFormatting>
  <conditionalFormatting sqref="AF49:AF63">
    <cfRule type="cellIs" dxfId="101" priority="42" operator="equal">
      <formula>0</formula>
    </cfRule>
    <cfRule type="cellIs" dxfId="100" priority="43" operator="equal">
      <formula>0</formula>
    </cfRule>
  </conditionalFormatting>
  <conditionalFormatting sqref="AF69:AF83">
    <cfRule type="cellIs" dxfId="99" priority="44" operator="equal">
      <formula>0</formula>
    </cfRule>
    <cfRule type="cellIs" dxfId="98" priority="45" operator="equal">
      <formula>0</formula>
    </cfRule>
  </conditionalFormatting>
  <conditionalFormatting sqref="AO9:AO23">
    <cfRule type="cellIs" dxfId="97" priority="46" operator="equal">
      <formula>0</formula>
    </cfRule>
    <cfRule type="cellIs" dxfId="96" priority="47" operator="equal">
      <formula>0</formula>
    </cfRule>
  </conditionalFormatting>
  <conditionalFormatting sqref="AO29:AO43">
    <cfRule type="cellIs" dxfId="95" priority="48" operator="equal">
      <formula>0</formula>
    </cfRule>
    <cfRule type="cellIs" dxfId="94" priority="49" operator="equal">
      <formula>0</formula>
    </cfRule>
  </conditionalFormatting>
  <conditionalFormatting sqref="AO49:AO63">
    <cfRule type="cellIs" dxfId="93" priority="50" operator="equal">
      <formula>0</formula>
    </cfRule>
    <cfRule type="cellIs" dxfId="92" priority="51" operator="equal">
      <formula>0</formula>
    </cfRule>
  </conditionalFormatting>
  <conditionalFormatting sqref="AO69:AO83">
    <cfRule type="cellIs" dxfId="91" priority="52" operator="equal">
      <formula>0</formula>
    </cfRule>
    <cfRule type="cellIs" dxfId="90" priority="53" operator="equal">
      <formula>0</formula>
    </cfRule>
  </conditionalFormatting>
  <conditionalFormatting sqref="AX9:AX23">
    <cfRule type="cellIs" dxfId="89" priority="54" operator="equal">
      <formula>0</formula>
    </cfRule>
    <cfRule type="cellIs" dxfId="88" priority="55" operator="equal">
      <formula>0</formula>
    </cfRule>
  </conditionalFormatting>
  <conditionalFormatting sqref="AX29:AX43">
    <cfRule type="cellIs" dxfId="87" priority="56" operator="equal">
      <formula>0</formula>
    </cfRule>
    <cfRule type="cellIs" dxfId="86" priority="57" operator="equal">
      <formula>0</formula>
    </cfRule>
  </conditionalFormatting>
  <conditionalFormatting sqref="AX49:AX63">
    <cfRule type="cellIs" dxfId="85" priority="58" operator="equal">
      <formula>0</formula>
    </cfRule>
    <cfRule type="cellIs" dxfId="84" priority="59" operator="equal">
      <formula>0</formula>
    </cfRule>
  </conditionalFormatting>
  <conditionalFormatting sqref="AX69:AX83">
    <cfRule type="cellIs" dxfId="83" priority="60" operator="equal">
      <formula>0</formula>
    </cfRule>
    <cfRule type="cellIs" dxfId="82" priority="61" operator="equal">
      <formula>0</formula>
    </cfRule>
  </conditionalFormatting>
  <conditionalFormatting sqref="BG9:BG23">
    <cfRule type="cellIs" dxfId="81" priority="62" operator="equal">
      <formula>0</formula>
    </cfRule>
    <cfRule type="cellIs" dxfId="80" priority="63" operator="equal">
      <formula>0</formula>
    </cfRule>
  </conditionalFormatting>
  <conditionalFormatting sqref="BG29:BG43">
    <cfRule type="cellIs" dxfId="79" priority="64" operator="equal">
      <formula>0</formula>
    </cfRule>
    <cfRule type="cellIs" dxfId="78" priority="65" operator="equal">
      <formula>0</formula>
    </cfRule>
  </conditionalFormatting>
  <conditionalFormatting sqref="BG49:BG63">
    <cfRule type="cellIs" dxfId="77" priority="66" operator="equal">
      <formula>0</formula>
    </cfRule>
    <cfRule type="cellIs" dxfId="76" priority="67" operator="equal">
      <formula>0</formula>
    </cfRule>
  </conditionalFormatting>
  <conditionalFormatting sqref="BG69:BG83">
    <cfRule type="cellIs" dxfId="75" priority="68" operator="equal">
      <formula>0</formula>
    </cfRule>
    <cfRule type="cellIs" dxfId="74" priority="69" operator="equal">
      <formula>0</formula>
    </cfRule>
  </conditionalFormatting>
  <conditionalFormatting sqref="I115:I164">
    <cfRule type="cellIs" dxfId="73" priority="76" operator="equal">
      <formula>$K$111</formula>
    </cfRule>
    <cfRule type="cellIs" dxfId="72" priority="77" operator="equal">
      <formula>$J$111</formula>
    </cfRule>
    <cfRule type="cellIs" dxfId="71" priority="78" operator="equal">
      <formula>$I$111</formula>
    </cfRule>
  </conditionalFormatting>
  <conditionalFormatting sqref="J115:J164">
    <cfRule type="cellIs" dxfId="70" priority="85" operator="equal">
      <formula>$P$111</formula>
    </cfRule>
    <cfRule type="cellIs" dxfId="69" priority="86" operator="equal">
      <formula>$O$111</formula>
    </cfRule>
    <cfRule type="cellIs" dxfId="68" priority="87" operator="equal">
      <formula>$N$111</formula>
    </cfRule>
  </conditionalFormatting>
  <dataValidations count="2">
    <dataValidation type="list" allowBlank="1" showInputMessage="1" showErrorMessage="1" sqref="I115:I164" xr:uid="{93DC35EA-AA6E-4109-B716-E9A63058D95B}">
      <formula1>$I$111:$K$111</formula1>
    </dataValidation>
    <dataValidation type="list" allowBlank="1" showInputMessage="1" showErrorMessage="1" sqref="J115:J164" xr:uid="{B37A6906-C48A-47CE-932B-71F39C148077}">
      <formula1>$N$111:$P$111</formula1>
    </dataValidation>
  </dataValidations>
  <hyperlinks>
    <hyperlink ref="L1" location="ダッシュボード!A2" display="▶ダッシュボードへ" xr:uid="{83B8CEC0-DCE4-412E-91D1-A4C10EDC17C8}"/>
  </hyperlinks>
  <pageMargins left="0.7" right="0.7" top="0.75" bottom="0.75"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281D4-E15F-4E75-8742-D64E37C05C9C}">
  <sheetPr codeName="Sheet8">
    <tabColor theme="1" tint="0.14999847407452621"/>
  </sheetPr>
  <dimension ref="A1:V123"/>
  <sheetViews>
    <sheetView zoomScaleNormal="100" workbookViewId="0">
      <selection activeCell="A2" sqref="A2"/>
    </sheetView>
  </sheetViews>
  <sheetFormatPr defaultRowHeight="18"/>
  <cols>
    <col min="1" max="1" width="14.09765625" style="37" bestFit="1" customWidth="1"/>
    <col min="2" max="2" width="11.3984375" style="37" customWidth="1"/>
    <col min="3" max="3" width="8.19921875" style="37" customWidth="1"/>
    <col min="4" max="6" width="8.796875" style="37"/>
    <col min="7" max="7" width="11.796875" style="37" bestFit="1" customWidth="1"/>
    <col min="8" max="18" width="8.796875" style="37"/>
    <col min="19" max="19" width="9.19921875" style="37" bestFit="1" customWidth="1"/>
    <col min="20" max="20" width="14.09765625" style="37" bestFit="1" customWidth="1"/>
    <col min="21" max="21" width="13.19921875" style="37" customWidth="1"/>
    <col min="22" max="16384" width="8.796875" style="37"/>
  </cols>
  <sheetData>
    <row r="1" spans="1:22" ht="40.950000000000003" customHeight="1" thickBot="1">
      <c r="A1" s="154" t="s">
        <v>138</v>
      </c>
      <c r="B1" s="33"/>
      <c r="C1" s="34"/>
      <c r="D1" s="89" t="s">
        <v>144</v>
      </c>
      <c r="E1" s="34"/>
      <c r="F1" s="35"/>
      <c r="G1" s="34"/>
      <c r="H1" s="35" t="s">
        <v>267</v>
      </c>
      <c r="I1" s="34"/>
      <c r="J1" s="34"/>
      <c r="K1" s="34"/>
      <c r="L1" s="34"/>
      <c r="M1" s="34"/>
      <c r="N1" s="34"/>
      <c r="O1" s="34"/>
      <c r="P1" s="34"/>
      <c r="Q1" s="34"/>
      <c r="R1" s="34"/>
      <c r="S1" s="34"/>
      <c r="T1" s="34"/>
      <c r="U1" s="34"/>
      <c r="V1" s="46"/>
    </row>
    <row r="2" spans="1:22" ht="18" customHeight="1" thickBot="1">
      <c r="A2" s="81" t="s">
        <v>183</v>
      </c>
      <c r="B2" s="66"/>
      <c r="C2" s="315"/>
      <c r="D2" s="314"/>
      <c r="E2" s="316"/>
      <c r="F2" s="313"/>
      <c r="G2" s="313"/>
      <c r="H2" s="313"/>
      <c r="I2" s="313"/>
      <c r="J2" s="313"/>
      <c r="K2" s="313"/>
      <c r="L2" s="313"/>
      <c r="M2" s="317" t="s">
        <v>271</v>
      </c>
      <c r="N2" s="36"/>
      <c r="O2" s="36"/>
      <c r="P2" s="36"/>
      <c r="Q2" s="36"/>
      <c r="R2" s="36"/>
      <c r="S2" s="36"/>
      <c r="T2" s="36"/>
      <c r="U2" s="36"/>
      <c r="V2" s="36"/>
    </row>
    <row r="3" spans="1:22" ht="18" customHeight="1">
      <c r="A3" s="281" t="s">
        <v>184</v>
      </c>
      <c r="B3" s="281"/>
      <c r="C3" s="282"/>
      <c r="D3" s="38"/>
      <c r="E3" s="35"/>
      <c r="F3" s="35"/>
      <c r="G3" s="35"/>
      <c r="H3" s="35"/>
      <c r="I3" s="39"/>
      <c r="J3" s="34"/>
      <c r="K3" s="34"/>
      <c r="L3" s="34"/>
      <c r="M3" s="34"/>
      <c r="N3" s="34"/>
      <c r="O3" s="34"/>
      <c r="P3" s="40"/>
      <c r="Q3" s="34"/>
      <c r="R3" s="34"/>
      <c r="S3" s="34"/>
      <c r="T3" s="34"/>
      <c r="U3" s="34"/>
      <c r="V3" s="46"/>
    </row>
    <row r="4" spans="1:22" ht="18" customHeight="1" thickBot="1">
      <c r="A4" s="281" t="s">
        <v>178</v>
      </c>
      <c r="B4" s="281"/>
      <c r="C4" s="281"/>
      <c r="D4" s="152" t="s">
        <v>63</v>
      </c>
      <c r="E4" s="35"/>
      <c r="F4" s="35"/>
      <c r="G4" s="35"/>
      <c r="H4" s="42"/>
      <c r="I4" s="153" t="s">
        <v>64</v>
      </c>
      <c r="J4" s="32"/>
      <c r="K4" s="34"/>
      <c r="L4" s="34"/>
      <c r="M4" s="34"/>
      <c r="N4" s="34"/>
      <c r="O4" s="34"/>
      <c r="P4" s="40"/>
      <c r="Q4" s="153" t="s">
        <v>65</v>
      </c>
      <c r="R4" s="34"/>
      <c r="S4" s="34"/>
      <c r="T4" s="170" t="str">
        <f>HYPERLINK("#'売上工数管理'!A2","全てを見る")</f>
        <v>全てを見る</v>
      </c>
      <c r="U4" s="43"/>
      <c r="V4" s="198"/>
    </row>
    <row r="5" spans="1:22" ht="18.600000000000001" thickTop="1">
      <c r="A5" s="60"/>
      <c r="B5" s="60"/>
      <c r="C5" s="54"/>
      <c r="D5" s="38"/>
      <c r="E5" s="35" t="s">
        <v>71</v>
      </c>
      <c r="F5" s="44" t="str" cm="1">
        <f t="array" aca="1" ref="F5" ca="1">_xlfn.LET(
  _xlpm.keys, 売上工数管理!#REF!,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2025年10月1日～2025年10月31日</v>
      </c>
      <c r="G5" s="35"/>
      <c r="H5" s="45"/>
      <c r="I5" s="46"/>
      <c r="J5" s="34"/>
      <c r="K5" s="34"/>
      <c r="L5" s="35" t="s">
        <v>71</v>
      </c>
      <c r="M5" s="35" t="str" cm="1">
        <f t="array" aca="1" ref="M5" ca="1">_xlfn.LET(
  _xlpm.keys, 売上工数管理!C39:C50,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2025年10月1日～2025年10月31日</v>
      </c>
      <c r="N5" s="34"/>
      <c r="O5" s="34"/>
      <c r="P5" s="40"/>
      <c r="Q5" s="34"/>
      <c r="R5" s="34"/>
      <c r="S5" s="34"/>
      <c r="T5" s="34"/>
      <c r="U5" s="34"/>
      <c r="V5" s="46"/>
    </row>
    <row r="6" spans="1:22">
      <c r="A6" s="34"/>
      <c r="B6" s="34"/>
      <c r="C6" s="34"/>
      <c r="D6" s="47"/>
      <c r="E6" s="35"/>
      <c r="F6" s="35"/>
      <c r="G6" s="35"/>
      <c r="H6" s="35"/>
      <c r="I6" s="48"/>
      <c r="J6" s="34"/>
      <c r="K6" s="34"/>
      <c r="L6" s="34"/>
      <c r="M6" s="34"/>
      <c r="N6" s="34"/>
      <c r="O6" s="34"/>
      <c r="P6" s="46"/>
      <c r="Q6" s="47"/>
      <c r="R6" s="35" t="s">
        <v>78</v>
      </c>
      <c r="S6" s="35"/>
      <c r="T6" s="49" t="s">
        <v>111</v>
      </c>
      <c r="U6" s="34"/>
      <c r="V6" s="46"/>
    </row>
    <row r="7" spans="1:22" ht="22.8" thickBot="1">
      <c r="A7" s="34"/>
      <c r="B7" s="34"/>
      <c r="C7" s="34"/>
      <c r="D7" s="50" t="s">
        <v>250</v>
      </c>
      <c r="E7" s="51"/>
      <c r="F7" s="51"/>
      <c r="G7" s="243">
        <f ca="1">SUMIF(売上工数管理!$C$5:$C$16, $B$11, 売上工数管理!$D$5:$D$16)</f>
        <v>88000</v>
      </c>
      <c r="H7" s="53" t="s">
        <v>67</v>
      </c>
      <c r="I7" s="46"/>
      <c r="J7" s="34"/>
      <c r="K7" s="34"/>
      <c r="L7" s="34"/>
      <c r="M7" s="51" t="s">
        <v>73</v>
      </c>
      <c r="N7" s="51"/>
      <c r="O7" s="52">
        <f ca="1">SUMIF(売上工数管理!$C$39:$C$50, $B$11, 売上工数管理!$D$39:$D$50)</f>
        <v>8</v>
      </c>
      <c r="P7" s="53" t="s">
        <v>50</v>
      </c>
      <c r="Q7" s="47"/>
      <c r="R7" s="34"/>
      <c r="S7" s="34"/>
      <c r="T7" s="34"/>
      <c r="U7" s="34"/>
      <c r="V7" s="46"/>
    </row>
    <row r="8" spans="1:22" ht="33.6" thickTop="1" thickBot="1">
      <c r="A8" s="155" t="s">
        <v>136</v>
      </c>
      <c r="B8" s="156" t="s">
        <v>137</v>
      </c>
      <c r="C8" s="54"/>
      <c r="D8" s="55"/>
      <c r="E8" s="35"/>
      <c r="F8" s="35"/>
      <c r="G8" s="35"/>
      <c r="H8" s="35"/>
      <c r="I8" s="48"/>
      <c r="J8" s="34"/>
      <c r="K8" s="34"/>
      <c r="L8" s="34"/>
      <c r="M8" s="46"/>
      <c r="N8" s="46"/>
      <c r="O8" s="46"/>
      <c r="P8" s="46"/>
      <c r="Q8" s="50"/>
      <c r="R8" s="51" t="str">
        <f ca="1">_xlfn.LET(
  _xlpm.d, IFERROR(1*$S$14,15),
  _xlpm.base, DATE(YEAR(TODAY()), MONTH(TODAY()), MIN(_xlpm.d, DAY(EOMONTH(TODAY(),0)))),
  TEXT(_xlpm.base, "m月d日")
)</f>
        <v>10月5日</v>
      </c>
      <c r="S8" s="51"/>
      <c r="T8" s="52" cm="1">
        <f t="array" aca="1" ref="T8" ca="1">_xlfn.LET(
  _xlpm.recent, TEXT(EDATE(DATE(YEAR(TODAY()),MONTH(TODAY()),1),0), "yyyy_mm"),
  _xlpm.keys, 売上工数管理!C5:C16,
  _xlpm.vals, 売上工数管理!F5:F16,
  _xlpm.norm, IFERROR(TEXT(DATEVALUE(SUBSTITUTE(TRIM(_xlpm.keys),"_","/")&amp;"/01"), "yyyy_mm"), ""),
  _xlfn.XLOOKUP(_xlpm.recent, _xlpm.norm, _xlpm.vals, 0)
)</f>
        <v>88000</v>
      </c>
      <c r="U8" s="51" t="s">
        <v>67</v>
      </c>
      <c r="V8" s="56"/>
    </row>
    <row r="9" spans="1:22" ht="23.4" thickTop="1" thickBot="1">
      <c r="A9" s="177">
        <f ca="1">TODAY()</f>
        <v>45934</v>
      </c>
      <c r="B9" s="204">
        <f ca="1">TODAY()</f>
        <v>45934</v>
      </c>
      <c r="C9" s="199"/>
      <c r="D9" s="51" t="s">
        <v>285</v>
      </c>
      <c r="E9" s="51"/>
      <c r="F9" s="51"/>
      <c r="G9" s="243">
        <f ca="1">SUMIF(売上工数管理!$C$5:$C$16, $B$11, 売上工数管理!$F$5:$F$16)</f>
        <v>88000</v>
      </c>
      <c r="H9" s="53" t="s">
        <v>67</v>
      </c>
      <c r="I9" s="46"/>
      <c r="J9" s="34"/>
      <c r="K9" s="34"/>
      <c r="L9" s="34"/>
      <c r="M9" s="233" t="s">
        <v>68</v>
      </c>
      <c r="N9" s="52" t="str" cm="1">
        <f t="array" aca="1" ref="N9" ca="1">_xlfn.LET(
 _xlpm.m,$B$11,
 _xlpm.sE,SUMPRODUCT((売上工数管理!$C$39:$C$50=_xlpm.m)*売上工数管理!$E$39:$E$50),
 _xlpm.sF,SUMPRODUCT((売上工数管理!$C$39:$C$50=_xlpm.m)*売上工数管理!$F$39:$F$50),
 _xlpm.sG,SUMPRODUCT((売上工数管理!$C$39:$C$50=_xlpm.m)*売上工数管理!$G$39:$G$50),
 _xlpm.sH,SUMPRODUCT((売上工数管理!$C$39:$C$50=_xlpm.m)*売上工数管理!$H$39:$H$50),
 _xlpm.sI,SUMPRODUCT((売上工数管理!$C$39:$C$50=_xlpm.m)*売上工数管理!$I$39:$I$50),
 _xlpm.sJ,SUMPRODUCT((売上工数管理!$C$39:$C$50=_xlpm.m)*売上工数管理!$J$39:$J$50),
 _xlpm.sK,SUMPRODUCT((売上工数管理!$C$39:$C$50=_xlpm.m)*売上工数管理!$K$39:$K$50),
 _xlpm.sL,SUMPRODUCT((売上工数管理!$C$39:$C$50=_xlpm.m)*売上工数管理!$L$39:$L$50),
 _xlpm.sM,SUMPRODUCT((売上工数管理!$C$39:$C$50=_xlpm.m)*売上工数管理!$M$39:$M$50),
 _xlpm.sN,SUMPRODUCT((売上工数管理!$C$39:$C$50=_xlpm.m)*売上工数管理!$N$39:$N$50),
 _xlpm.sO,SUMPRODUCT((売上工数管理!$C$39:$C$50=_xlpm.m)*売上工数管理!$O$39:$O$50),
 _xlpm.mx,MAX(_xlpm.sE,_xlpm.sF,_xlpm.sG,_xlpm.sH,_xlpm.sI,_xlpm.sJ,_xlpm.sK,_xlpm.sL,_xlpm.sM,_xlpm.sN,_xlpm.sO),
 IF(_xlpm.mx&lt;=0,"",
   IF(_xlpm.mx=_xlpm.sE,売上工数管理!$E$38,
   IF(_xlpm.mx=_xlpm.sF,売上工数管理!$F$38,
   IF(_xlpm.mx=_xlpm.sG,売上工数管理!$G$38,
   IF(_xlpm.mx=_xlpm.sH,売上工数管理!$H$38,
   IF(_xlpm.mx=_xlpm.sI,売上工数管理!$I$38,
   IF(_xlpm.mx=_xlpm.sJ,売上工数管理!$J$38,
   IF(_xlpm.mx=_xlpm.sK,売上工数管理!$K$38,
   IF(_xlpm.mx=_xlpm.sL,売上工数管理!$L$38,
   IF(_xlpm.mx=_xlpm.sM,売上工数管理!$M$38,
   IF(_xlpm.mx=_xlpm.sN,売上工数管理!$N$38,売上工数管理!$O$38)))))))))))
)</f>
        <v>プログラミング</v>
      </c>
      <c r="O9" s="43"/>
      <c r="P9" s="56"/>
      <c r="Q9" s="57"/>
      <c r="R9" s="58" t="str">
        <f ca="1">_xlfn.LET(
  _xlpm.d, IFERROR(1*$S$14,15),
  _xlpm.base, DATE(YEAR(TODAY()), MONTH(TODAY()), MIN(_xlpm.d, DAY(EOMONTH(TODAY(),0)))),
  TEXT(EDATE(_xlpm.base,-1), "m月d日")
)</f>
        <v>9月5日</v>
      </c>
      <c r="S9" s="51"/>
      <c r="T9" s="59" t="str" cm="1">
        <f t="array" aca="1" ref="T9" ca="1">_xlfn.LET(
  _xlpm.recent, TEXT(EDATE(DATE(YEAR(TODAY()),MONTH(TODAY()),1),-1), "yyyy_mm"),
  _xlpm.keys, 売上工数管理!C5:C16,
  _xlpm.vals, 売上工数管理!F5:F16,
  _xlpm.norm, IFERROR(TEXT(DATEVALUE(SUBSTITUTE(TRIM(_xlpm.keys),"_","/")&amp;"/01"), "yyyy_mm"), ""),
  _xlfn.XLOOKUP(_xlpm.recent, _xlpm.norm, _xlpm.vals, 0)
)</f>
        <v/>
      </c>
      <c r="U9" s="58" t="s">
        <v>67</v>
      </c>
      <c r="V9" s="197"/>
    </row>
    <row r="10" spans="1:22" ht="23.4" thickTop="1" thickBot="1">
      <c r="A10" s="205">
        <f ca="1">TODAY()</f>
        <v>45934</v>
      </c>
      <c r="B10" s="202">
        <f ca="1">NOW()</f>
        <v>45934.721481365741</v>
      </c>
      <c r="C10" s="199"/>
      <c r="D10" s="55"/>
      <c r="E10" s="35"/>
      <c r="F10" s="35"/>
      <c r="G10" s="35"/>
      <c r="H10" s="35"/>
      <c r="I10" s="48"/>
      <c r="J10" s="34"/>
      <c r="K10" s="34"/>
      <c r="L10" s="34"/>
      <c r="M10" s="234"/>
      <c r="N10" s="34"/>
      <c r="O10" s="34"/>
      <c r="P10" s="46"/>
      <c r="Q10" s="57"/>
      <c r="R10" s="58" t="str">
        <f ca="1">_xlfn.LET(
  _xlpm.d, IFERROR(1*$S$14,15),
  _xlpm.base, DATE(YEAR(TODAY()), MONTH(TODAY()), MIN(_xlpm.d, DAY(EOMONTH(TODAY(),0)))),
  TEXT(EDATE(_xlpm.base,-2), "m月d日")
)</f>
        <v>8月5日</v>
      </c>
      <c r="S10" s="51"/>
      <c r="T10" s="59" t="str" cm="1">
        <f t="array" aca="1" ref="T10" ca="1">_xlfn.LET(
  _xlpm.recent, TEXT(EDATE(DATE(YEAR(TODAY()),MONTH(TODAY()),1),-2), "yyyy_mm"),
  _xlpm.keys, 売上工数管理!C5:C16,
  _xlpm.vals, 売上工数管理!F5:F16,
  _xlpm.norm, IFERROR(TEXT(DATEVALUE(SUBSTITUTE(TRIM(_xlpm.keys),"_","/")&amp;"/01"), "yyyy_mm"), ""),
  _xlfn.XLOOKUP(_xlpm.recent, _xlpm.norm, _xlpm.vals, 0)
)</f>
        <v/>
      </c>
      <c r="U10" s="58" t="s">
        <v>67</v>
      </c>
      <c r="V10" s="197"/>
    </row>
    <row r="11" spans="1:22" ht="23.4" thickTop="1" thickBot="1">
      <c r="A11" s="203" t="s">
        <v>171</v>
      </c>
      <c r="B11" s="200" t="str" cm="1">
        <f t="array" aca="1" ref="B11" ca="1">INDEX(売上工数管理!$C$5:$C$16, MONTH(TODAY()))</f>
        <v>2025_10</v>
      </c>
      <c r="C11" s="199"/>
      <c r="D11" s="50" t="s">
        <v>77</v>
      </c>
      <c r="E11" s="51"/>
      <c r="F11" s="51"/>
      <c r="G11" s="243">
        <f ca="1">IFERROR(AVERAGEIF(売上工数管理!$C$71:$C$82, $B$11, 売上工数管理!$D$71:$D$82), 0)</f>
        <v>11000</v>
      </c>
      <c r="H11" s="53" t="s">
        <v>67</v>
      </c>
      <c r="I11" s="46"/>
      <c r="J11" s="34"/>
      <c r="K11" s="34"/>
      <c r="L11" s="34"/>
      <c r="M11" s="233" t="s">
        <v>69</v>
      </c>
      <c r="N11" s="52" t="str" cm="1">
        <f t="array" aca="1" ref="N11" ca="1">_xlfn.LET(
  _xlpm.m,$B$11,
  _xlpm.sums, MMULT(TRANSPOSE(売上工数管理!$E$39:$O$50), --(売上工数管理!$C$39:$C$50=_xlpm.m)),
  _xlpm.k, 2,
  _xlpm.v, LARGE(_xlpm.sums, _xlpm.k),
  _xlpm.cnt, SUM(--(_xlpm.sums&gt;0)),
  IF(_xlpm.cnt&lt;_xlpm.k, "", IFERROR(INDEX(売上工数管理!$E$38:$O$38, _xlfn.XMATCH(_xlpm.v, _xlpm.sums, 0, 1)), ""))
)</f>
        <v>Webマーケティング</v>
      </c>
      <c r="O11" s="43"/>
      <c r="P11" s="61"/>
      <c r="Q11" s="62"/>
      <c r="R11" s="58" t="str">
        <f ca="1">_xlfn.LET(
  _xlpm.d, IFERROR(1*$S$14,15),
  _xlpm.base, DATE(YEAR(TODAY()), MONTH(TODAY()), MIN(_xlpm.d, DAY(EOMONTH(TODAY(),0)))),
  TEXT(EDATE(_xlpm.base,-3), "m月d日")
)</f>
        <v>7月5日</v>
      </c>
      <c r="S11" s="51"/>
      <c r="T11" s="59" t="str" cm="1">
        <f t="array" aca="1" ref="T11" ca="1">_xlfn.LET(
  _xlpm.recent, TEXT(EDATE(DATE(YEAR(TODAY()),MONTH(TODAY()),1),-3), "yyyy_mm"),
  _xlpm.keys, 売上工数管理!C5:C16,
  _xlpm.vals, 売上工数管理!F5:F16,
  _xlpm.norm, IFERROR(TEXT(DATEVALUE(SUBSTITUTE(TRIM(_xlpm.keys),"_","/")&amp;"/01"), "yyyy_mm"), ""),
  _xlfn.XLOOKUP(_xlpm.recent, _xlpm.norm, _xlpm.vals, 0)
)</f>
        <v/>
      </c>
      <c r="U11" s="58" t="s">
        <v>67</v>
      </c>
      <c r="V11" s="197"/>
    </row>
    <row r="12" spans="1:22" ht="23.4" thickTop="1" thickBot="1">
      <c r="A12" s="201"/>
      <c r="B12" s="60"/>
      <c r="C12" s="54"/>
      <c r="D12" s="67"/>
      <c r="E12" s="35"/>
      <c r="F12" s="35"/>
      <c r="G12" s="35"/>
      <c r="H12" s="63"/>
      <c r="I12" s="46"/>
      <c r="J12" s="34"/>
      <c r="K12" s="34"/>
      <c r="L12" s="34"/>
      <c r="M12" s="234"/>
      <c r="N12" s="34"/>
      <c r="O12" s="34"/>
      <c r="P12" s="64"/>
      <c r="Q12" s="62"/>
      <c r="R12" s="58" t="str">
        <f ca="1">_xlfn.LET(
  _xlpm.d, IFERROR(1*$S$14,15),
  _xlpm.base, DATE(YEAR(TODAY()), MONTH(TODAY()), MIN(_xlpm.d, DAY(EOMONTH(TODAY(),0)))),
  TEXT(EDATE(_xlpm.base,-4), "m月d日")
)</f>
        <v>6月5日</v>
      </c>
      <c r="S12" s="51"/>
      <c r="T12" s="59" t="str" cm="1">
        <f t="array" aca="1" ref="T12" ca="1">_xlfn.LET(
  _xlpm.recent, TEXT(EDATE(DATE(YEAR(TODAY()),MONTH(TODAY()),1),-4), "yyyy_mm"),
  _xlpm.keys, 売上工数管理!C5:C16,
  _xlpm.vals, 売上工数管理!F5:F16,
  _xlpm.norm, IFERROR(TEXT(DATEVALUE(SUBSTITUTE(TRIM(_xlpm.keys),"_","/")&amp;"/01"), "yyyy_mm"), ""),
  _xlfn.XLOOKUP(_xlpm.recent, _xlpm.norm, _xlpm.vals, 0)
)</f>
        <v/>
      </c>
      <c r="U12" s="58" t="s">
        <v>67</v>
      </c>
      <c r="V12" s="197"/>
    </row>
    <row r="13" spans="1:22" ht="23.4" thickTop="1" thickBot="1">
      <c r="A13" s="310" t="s">
        <v>260</v>
      </c>
      <c r="B13" s="303"/>
      <c r="C13" s="303"/>
      <c r="D13" s="50" t="s">
        <v>367</v>
      </c>
      <c r="E13" s="51"/>
      <c r="F13" s="51"/>
      <c r="G13" s="243" cm="1">
        <f t="array" aca="1" ref="G13" ca="1">IFERROR(INDIRECT("'" &amp; B11 &amp; "'!BE3"),0)</f>
        <v>2</v>
      </c>
      <c r="H13" s="53" t="s">
        <v>368</v>
      </c>
      <c r="I13" s="46"/>
      <c r="J13" s="34"/>
      <c r="K13" s="34"/>
      <c r="L13" s="34"/>
      <c r="M13" s="233" t="s">
        <v>70</v>
      </c>
      <c r="N13" s="52" t="str" cm="1">
        <f t="array" aca="1" ref="N13" ca="1">_xlfn.LET(
  _xlpm.m,$B$11,
  _xlpm.sums, MMULT(TRANSPOSE(売上工数管理!$E$39:$O$50), --(売上工数管理!$C$39:$C$50=_xlpm.m)),
  _xlpm.k, 3,
  _xlpm.v, LARGE(_xlpm.sums, _xlpm.k),
  _xlpm.cnt, SUM(--(_xlpm.sums&gt;0)),
  IF(_xlpm.cnt&lt;_xlpm.k, "", IFERROR(INDEX(売上工数管理!$E$38:$O$38, _xlfn.XMATCH(_xlpm.v, _xlpm.sums, 0, 1)), ""))
)</f>
        <v>管理/会議/自習など雑務</v>
      </c>
      <c r="O13" s="43"/>
      <c r="P13" s="61"/>
      <c r="Q13" s="34"/>
      <c r="R13" s="34"/>
      <c r="S13" s="34"/>
      <c r="T13" s="34"/>
      <c r="U13" s="35"/>
      <c r="V13" s="197"/>
    </row>
    <row r="14" spans="1:22" ht="23.4" thickTop="1" thickBot="1">
      <c r="A14" s="304" t="s">
        <v>76</v>
      </c>
      <c r="B14" s="303"/>
      <c r="C14" s="305"/>
      <c r="D14" s="67"/>
      <c r="E14" s="35"/>
      <c r="F14" s="35"/>
      <c r="G14" s="35"/>
      <c r="H14" s="35"/>
      <c r="I14" s="48"/>
      <c r="J14" s="35" t="s">
        <v>276</v>
      </c>
      <c r="K14" s="34"/>
      <c r="L14" s="34"/>
      <c r="M14" s="35"/>
      <c r="N14" s="34"/>
      <c r="O14" s="34"/>
      <c r="P14" s="64"/>
      <c r="Q14" s="58"/>
      <c r="R14" s="68" t="s">
        <v>264</v>
      </c>
      <c r="S14" s="283">
        <v>5</v>
      </c>
      <c r="T14" s="58" t="s">
        <v>112</v>
      </c>
      <c r="U14" s="58" t="s">
        <v>263</v>
      </c>
      <c r="V14" s="197"/>
    </row>
    <row r="15" spans="1:22" ht="23.4" thickTop="1" thickBot="1">
      <c r="A15" s="306" t="s">
        <v>169</v>
      </c>
      <c r="B15" s="307"/>
      <c r="C15" s="303"/>
      <c r="D15" s="50" t="s">
        <v>303</v>
      </c>
      <c r="E15" s="35"/>
      <c r="F15" s="35"/>
      <c r="G15" s="324">
        <v>450000</v>
      </c>
      <c r="H15" s="53" t="s">
        <v>67</v>
      </c>
      <c r="I15" s="476" t="s">
        <v>284</v>
      </c>
      <c r="J15" s="477"/>
      <c r="K15" s="477"/>
      <c r="L15" s="477"/>
      <c r="M15" s="325" t="s">
        <v>310</v>
      </c>
      <c r="N15" s="326"/>
      <c r="O15" s="327"/>
      <c r="P15" s="328"/>
      <c r="Q15" s="465" t="s">
        <v>265</v>
      </c>
      <c r="R15" s="466"/>
      <c r="S15" s="323" t="s">
        <v>311</v>
      </c>
      <c r="T15" s="284"/>
      <c r="U15" s="284"/>
      <c r="V15" s="284"/>
    </row>
    <row r="16" spans="1:22" ht="21" thickTop="1" thickBot="1">
      <c r="A16" s="306" t="s">
        <v>126</v>
      </c>
      <c r="B16" s="307"/>
      <c r="C16" s="308"/>
      <c r="D16" s="69"/>
      <c r="E16" s="70"/>
      <c r="F16" s="70"/>
      <c r="G16" s="70"/>
      <c r="H16" s="46"/>
      <c r="I16" s="70"/>
      <c r="J16" s="71"/>
      <c r="K16" s="69"/>
      <c r="L16" s="46"/>
      <c r="M16" s="46"/>
      <c r="N16" s="70"/>
      <c r="O16" s="46"/>
      <c r="P16" s="64"/>
      <c r="Q16" s="70"/>
      <c r="R16" s="46"/>
      <c r="S16" s="46"/>
      <c r="T16" s="46"/>
      <c r="U16" s="46"/>
      <c r="V16" s="46"/>
    </row>
    <row r="17" spans="1:22" ht="21" thickTop="1" thickBot="1">
      <c r="A17" s="306" t="s">
        <v>170</v>
      </c>
      <c r="B17" s="307"/>
      <c r="C17" s="308"/>
      <c r="D17" s="47"/>
      <c r="E17" s="34"/>
      <c r="F17" s="34"/>
      <c r="G17" s="34"/>
      <c r="H17" s="34"/>
      <c r="I17" s="34"/>
      <c r="J17" s="46"/>
      <c r="K17" s="47"/>
      <c r="L17" s="34"/>
      <c r="M17" s="34"/>
      <c r="N17" s="34"/>
      <c r="O17" s="34"/>
      <c r="P17" s="72"/>
      <c r="Q17" s="35" t="s">
        <v>286</v>
      </c>
      <c r="R17" s="34"/>
      <c r="S17" s="34"/>
      <c r="T17" s="170" t="str">
        <f>HYPERLINK("#'ダッシュボード'!A75","全てを見る")</f>
        <v>全てを見る</v>
      </c>
      <c r="U17" s="43"/>
      <c r="V17" s="56"/>
    </row>
    <row r="18" spans="1:22" ht="27.6" thickTop="1" thickBot="1">
      <c r="A18" s="306" t="s">
        <v>123</v>
      </c>
      <c r="B18" s="307"/>
      <c r="C18" s="308"/>
      <c r="D18" s="41" t="s">
        <v>66</v>
      </c>
      <c r="E18" s="34"/>
      <c r="F18" s="49"/>
      <c r="G18" s="44"/>
      <c r="H18" s="35"/>
      <c r="I18" s="35" t="s">
        <v>179</v>
      </c>
      <c r="J18" s="46"/>
      <c r="K18" s="41" t="s">
        <v>72</v>
      </c>
      <c r="L18" s="34"/>
      <c r="M18" s="34"/>
      <c r="N18" s="49" t="str" cm="1">
        <f t="array" aca="1" ref="N18" ca="1">INDEX(売上工数管理!$C$5:$C$16, MONTH(TODAY()))</f>
        <v>2025_10</v>
      </c>
      <c r="O18" s="73" cm="1">
        <f t="array" aca="1" ref="O18" ca="1">SUMPRODUCT(
  --(売上工数管理!$B$104:$B$153&lt;&gt;""),
  --(売上工数管理!$B$104:$B$153&lt;&gt;"0"),
  --(売上工数管理!$B$104:$B$153&lt;&gt;0),
  --( (売上工数管理!$J$104:$J$153="未着手") + (売上工数管理!$J$104:$J$153="進行中") )
)</f>
        <v>2</v>
      </c>
      <c r="P18" s="74" t="s">
        <v>139</v>
      </c>
      <c r="Q18" s="35" t="s">
        <v>287</v>
      </c>
      <c r="R18" s="34"/>
      <c r="S18" s="34"/>
      <c r="T18" s="35"/>
      <c r="U18" s="90"/>
      <c r="V18" s="46"/>
    </row>
    <row r="19" spans="1:22" ht="27.6" thickTop="1" thickBot="1">
      <c r="A19" s="309" t="s">
        <v>155</v>
      </c>
      <c r="B19" s="307"/>
      <c r="C19" s="308"/>
      <c r="D19" s="47"/>
      <c r="E19" s="34"/>
      <c r="F19" s="34"/>
      <c r="G19" s="34"/>
      <c r="H19" s="34"/>
      <c r="I19" s="34"/>
      <c r="J19" s="40"/>
      <c r="K19" s="34"/>
      <c r="L19" s="34"/>
      <c r="M19" s="34"/>
      <c r="N19" s="75"/>
      <c r="O19" s="34"/>
      <c r="P19" s="46"/>
      <c r="Q19" s="41" t="s">
        <v>154</v>
      </c>
      <c r="R19" s="34"/>
      <c r="S19" s="34"/>
      <c r="T19" s="34"/>
      <c r="U19" s="34"/>
      <c r="V19" s="46"/>
    </row>
    <row r="20" spans="1:22" ht="21" thickTop="1" thickBot="1">
      <c r="A20" s="309" t="s">
        <v>75</v>
      </c>
      <c r="B20" s="307"/>
      <c r="C20" s="308"/>
      <c r="D20" s="47"/>
      <c r="E20" s="34"/>
      <c r="F20" s="34"/>
      <c r="G20" s="34"/>
      <c r="H20" s="34"/>
      <c r="I20" s="34"/>
      <c r="J20" s="46"/>
      <c r="K20" s="235">
        <v>1</v>
      </c>
      <c r="L20" s="51" t="str" cm="1">
        <f t="array" aca="1" ref="L2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ROWS($L$20:L20)
    )
  ),
"")</f>
        <v>サンプルタスク：1</v>
      </c>
      <c r="M20" s="51"/>
      <c r="N20" s="51"/>
      <c r="O20" s="51"/>
      <c r="P20" s="61"/>
      <c r="Q20" s="186"/>
      <c r="R20" s="35"/>
      <c r="S20" s="34"/>
      <c r="T20" s="34"/>
      <c r="U20" s="34"/>
      <c r="V20" s="46"/>
    </row>
    <row r="21" spans="1:22" ht="21" thickTop="1" thickBot="1">
      <c r="A21" s="382" t="s">
        <v>312</v>
      </c>
      <c r="B21" s="326"/>
      <c r="C21" s="326"/>
      <c r="D21" s="47"/>
      <c r="E21" s="34"/>
      <c r="F21" s="34"/>
      <c r="G21" s="34"/>
      <c r="H21" s="34"/>
      <c r="I21" s="34"/>
      <c r="J21" s="46"/>
      <c r="K21" s="236">
        <v>2</v>
      </c>
      <c r="L21" s="51" t="str" cm="1">
        <f t="array" aca="1" ref="L2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ROWS($L$20:L21)
    )
  ),
"")</f>
        <v>サンプルタスク：3</v>
      </c>
      <c r="M21" s="51"/>
      <c r="N21" s="51"/>
      <c r="O21" s="51"/>
      <c r="P21" s="40"/>
      <c r="Q21" s="47"/>
      <c r="R21" s="35"/>
      <c r="S21" s="34"/>
      <c r="T21" s="34"/>
      <c r="U21" s="34"/>
      <c r="V21" s="46"/>
    </row>
    <row r="22" spans="1:22" ht="21" thickTop="1" thickBot="1">
      <c r="A22" s="381" t="s">
        <v>290</v>
      </c>
      <c r="B22" s="373"/>
      <c r="C22" s="373"/>
      <c r="D22" s="47"/>
      <c r="E22" s="34"/>
      <c r="F22" s="34"/>
      <c r="G22" s="34"/>
      <c r="H22" s="34"/>
      <c r="I22" s="34"/>
      <c r="J22" s="46"/>
      <c r="K22" s="236">
        <v>3</v>
      </c>
      <c r="L22" s="51" t="str" cm="1">
        <f t="array" aca="1" ref="L22"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ROWS($L$20:L22)
    )
  ),
"")</f>
        <v/>
      </c>
      <c r="M22" s="51"/>
      <c r="N22" s="51"/>
      <c r="O22" s="51"/>
      <c r="P22" s="76"/>
      <c r="Q22" s="47"/>
      <c r="R22" s="35"/>
      <c r="S22" s="34"/>
      <c r="T22" s="34"/>
      <c r="U22" s="34"/>
      <c r="V22" s="46"/>
    </row>
    <row r="23" spans="1:22" ht="19.2" thickTop="1" thickBot="1">
      <c r="A23" s="380"/>
      <c r="B23" s="379"/>
      <c r="C23" s="378"/>
      <c r="D23" s="47"/>
      <c r="E23" s="34"/>
      <c r="F23" s="34"/>
      <c r="G23" s="34"/>
      <c r="H23" s="34"/>
      <c r="I23" s="34"/>
      <c r="J23" s="46"/>
      <c r="K23" s="236">
        <v>4</v>
      </c>
      <c r="L23" s="51" t="str" cm="1">
        <f t="array" aca="1" ref="L23"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ROWS($L$20:L23)
    )
  ),
"")</f>
        <v/>
      </c>
      <c r="M23" s="51"/>
      <c r="N23" s="51"/>
      <c r="O23" s="51"/>
      <c r="P23" s="76"/>
      <c r="Q23" s="47"/>
      <c r="R23" s="35"/>
      <c r="S23" s="34"/>
      <c r="T23" s="34"/>
      <c r="U23" s="34"/>
      <c r="V23" s="46"/>
    </row>
    <row r="24" spans="1:22" ht="19.2" thickTop="1" thickBot="1">
      <c r="A24" s="374" t="s">
        <v>364</v>
      </c>
      <c r="B24" s="375" t="s">
        <v>319</v>
      </c>
      <c r="C24" s="375"/>
      <c r="D24" s="47"/>
      <c r="E24" s="34"/>
      <c r="F24" s="34"/>
      <c r="G24" s="34"/>
      <c r="H24" s="34"/>
      <c r="I24" s="34"/>
      <c r="J24" s="46"/>
      <c r="K24" s="236">
        <v>5</v>
      </c>
      <c r="L24" s="51" t="str" cm="1">
        <f t="array" aca="1" ref="L24"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ROWS($L$20:L24)
    )
  ),
"")</f>
        <v/>
      </c>
      <c r="M24" s="51"/>
      <c r="N24" s="51"/>
      <c r="O24" s="51"/>
      <c r="P24" s="76"/>
      <c r="Q24" s="47"/>
      <c r="R24" s="34"/>
      <c r="S24" s="34"/>
      <c r="T24" s="34"/>
      <c r="U24" s="34"/>
      <c r="V24" s="46"/>
    </row>
    <row r="25" spans="1:22" ht="19.2" thickTop="1" thickBot="1">
      <c r="A25" s="374" t="s">
        <v>289</v>
      </c>
      <c r="B25" s="375" t="s">
        <v>314</v>
      </c>
      <c r="C25" s="375"/>
      <c r="D25" s="47"/>
      <c r="E25" s="34"/>
      <c r="F25" s="34"/>
      <c r="G25" s="34"/>
      <c r="H25" s="34"/>
      <c r="I25" s="34"/>
      <c r="J25" s="46"/>
      <c r="K25" s="236">
        <v>6</v>
      </c>
      <c r="L25" s="51" t="str" cm="1">
        <f t="array" aca="1" ref="L25"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ROWS($L$20:L25)
    )
  ),
"")</f>
        <v/>
      </c>
      <c r="M25" s="51"/>
      <c r="N25" s="51"/>
      <c r="O25" s="51"/>
      <c r="P25" s="76"/>
      <c r="Q25" s="47"/>
      <c r="R25" s="34"/>
      <c r="S25" s="34"/>
      <c r="T25" s="34"/>
      <c r="U25" s="34"/>
      <c r="V25" s="46"/>
    </row>
    <row r="26" spans="1:22" ht="19.2" thickTop="1" thickBot="1">
      <c r="A26" s="374" t="s">
        <v>313</v>
      </c>
      <c r="B26" s="375" t="s">
        <v>314</v>
      </c>
      <c r="C26" s="375"/>
      <c r="D26" s="47"/>
      <c r="E26" s="34"/>
      <c r="F26" s="34"/>
      <c r="G26" s="34"/>
      <c r="H26" s="34"/>
      <c r="I26" s="34"/>
      <c r="J26" s="46"/>
      <c r="K26" s="236">
        <v>7</v>
      </c>
      <c r="L26" s="51" t="str" cm="1">
        <f t="array" aca="1" ref="L26"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ROWS($L$20:L26)
    )
  ),
"")</f>
        <v/>
      </c>
      <c r="M26" s="51"/>
      <c r="N26" s="51"/>
      <c r="O26" s="51"/>
      <c r="P26" s="46"/>
      <c r="Q26" s="47"/>
      <c r="R26" s="34"/>
      <c r="S26" s="34"/>
      <c r="T26" s="34"/>
      <c r="U26" s="34"/>
      <c r="V26" s="46"/>
    </row>
    <row r="27" spans="1:22" ht="19.2" thickTop="1" thickBot="1">
      <c r="A27" s="374" t="s">
        <v>288</v>
      </c>
      <c r="B27" s="375" t="s">
        <v>324</v>
      </c>
      <c r="C27" s="375"/>
      <c r="D27" s="47"/>
      <c r="E27" s="34"/>
      <c r="F27" s="34"/>
      <c r="G27" s="34"/>
      <c r="H27" s="34"/>
      <c r="I27" s="34"/>
      <c r="J27" s="40"/>
      <c r="K27" s="237">
        <v>8</v>
      </c>
      <c r="L27" s="51" t="str" cm="1">
        <f t="array" aca="1" ref="L27"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ROWS($L$20:L27)
    )
  ),
"")</f>
        <v/>
      </c>
      <c r="M27" s="51"/>
      <c r="N27" s="51"/>
      <c r="O27" s="51"/>
      <c r="P27" s="76"/>
      <c r="Q27" s="47"/>
      <c r="R27" s="34"/>
      <c r="S27" s="34"/>
      <c r="T27" s="34"/>
      <c r="U27" s="34"/>
      <c r="V27" s="46"/>
    </row>
    <row r="28" spans="1:22" ht="19.2" thickTop="1" thickBot="1">
      <c r="A28" s="376"/>
      <c r="B28" s="375"/>
      <c r="C28" s="375"/>
      <c r="D28" s="47"/>
      <c r="E28" s="34"/>
      <c r="F28" s="34"/>
      <c r="G28" s="34"/>
      <c r="H28" s="34"/>
      <c r="I28" s="34"/>
      <c r="J28" s="46"/>
      <c r="K28" s="236">
        <v>9</v>
      </c>
      <c r="L28" s="51" t="str" cm="1">
        <f t="array" aca="1" ref="L28"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ROWS($L$20:L28)
    )
  ),
"")</f>
        <v/>
      </c>
      <c r="M28" s="51"/>
      <c r="N28" s="51"/>
      <c r="O28" s="51"/>
      <c r="P28" s="76"/>
      <c r="Q28" s="47"/>
      <c r="R28" s="34"/>
      <c r="S28" s="34"/>
      <c r="T28" s="34"/>
      <c r="U28" s="34"/>
      <c r="V28" s="46"/>
    </row>
    <row r="29" spans="1:22" ht="19.2" thickTop="1" thickBot="1">
      <c r="A29" s="376"/>
      <c r="B29" s="375"/>
      <c r="C29" s="375"/>
      <c r="D29" s="47"/>
      <c r="E29" s="34"/>
      <c r="F29" s="34"/>
      <c r="G29" s="34"/>
      <c r="H29" s="34"/>
      <c r="I29" s="34"/>
      <c r="J29" s="40"/>
      <c r="K29" s="237">
        <v>10</v>
      </c>
      <c r="L29" s="51" t="str" cm="1">
        <f t="array" aca="1" ref="L29"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ROWS($L$20:L29)
    )
  ),
"")</f>
        <v/>
      </c>
      <c r="M29" s="51"/>
      <c r="N29" s="51"/>
      <c r="O29" s="51"/>
      <c r="P29" s="76"/>
      <c r="Q29" s="47"/>
      <c r="R29" s="34"/>
      <c r="S29" s="34"/>
      <c r="T29" s="34"/>
      <c r="U29" s="34"/>
      <c r="V29" s="46"/>
    </row>
    <row r="30" spans="1:22" ht="19.2" thickTop="1" thickBot="1">
      <c r="A30" s="376"/>
      <c r="B30" s="375"/>
      <c r="C30" s="375"/>
      <c r="D30" s="47"/>
      <c r="E30" s="34"/>
      <c r="F30" s="34"/>
      <c r="G30" s="34"/>
      <c r="H30" s="34"/>
      <c r="I30" s="34"/>
      <c r="J30" s="46"/>
      <c r="K30" s="236">
        <v>11</v>
      </c>
      <c r="L30" s="51" t="str" cm="1">
        <f t="array" aca="1" ref="L3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ROWS($L$20:L30)
    )
  ),
"")</f>
        <v/>
      </c>
      <c r="M30" s="51"/>
      <c r="N30" s="51"/>
      <c r="O30" s="51"/>
      <c r="P30" s="76"/>
      <c r="Q30" s="47"/>
      <c r="R30" s="34"/>
      <c r="S30" s="34"/>
      <c r="T30" s="34"/>
      <c r="U30" s="34"/>
      <c r="V30" s="46"/>
    </row>
    <row r="31" spans="1:22" ht="19.2" thickTop="1" thickBot="1">
      <c r="A31" s="377"/>
      <c r="B31" s="326"/>
      <c r="C31" s="375"/>
      <c r="D31" s="47"/>
      <c r="E31" s="34"/>
      <c r="F31" s="34"/>
      <c r="G31" s="34"/>
      <c r="H31" s="34"/>
      <c r="I31" s="34"/>
      <c r="J31" s="46"/>
      <c r="K31" s="236">
        <v>12</v>
      </c>
      <c r="L31" s="51" t="str" cm="1">
        <f t="array" aca="1" ref="L3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ROWS($L$20:L31)
    )
  ),
"")</f>
        <v/>
      </c>
      <c r="M31" s="51"/>
      <c r="N31" s="51"/>
      <c r="O31" s="51"/>
      <c r="P31" s="40"/>
      <c r="Q31" s="47"/>
      <c r="R31" s="34"/>
      <c r="S31" s="34"/>
      <c r="T31" s="34"/>
      <c r="U31" s="34"/>
      <c r="V31" s="46"/>
    </row>
    <row r="32" spans="1:22" ht="19.2" thickTop="1" thickBot="1">
      <c r="A32" s="377"/>
      <c r="B32" s="326"/>
      <c r="C32" s="408"/>
      <c r="D32" s="47"/>
      <c r="E32" s="34"/>
      <c r="F32" s="34"/>
      <c r="G32" s="34"/>
      <c r="H32" s="34"/>
      <c r="I32" s="34"/>
      <c r="J32" s="46"/>
      <c r="K32" s="55"/>
      <c r="L32" s="34"/>
      <c r="M32" s="34"/>
      <c r="N32" s="34"/>
      <c r="O32" s="34"/>
      <c r="P32" s="64"/>
      <c r="Q32" s="47"/>
      <c r="R32" s="34"/>
      <c r="S32" s="34"/>
      <c r="T32" s="34"/>
      <c r="U32" s="34"/>
      <c r="V32" s="46"/>
    </row>
    <row r="33" spans="1:22" ht="19.2" thickTop="1" thickBot="1">
      <c r="A33" s="483" t="s">
        <v>316</v>
      </c>
      <c r="B33" s="483"/>
      <c r="C33" s="483"/>
      <c r="D33" s="483"/>
      <c r="E33" s="483"/>
      <c r="F33" s="483"/>
      <c r="G33" s="483"/>
      <c r="H33" s="483"/>
      <c r="I33" s="483"/>
      <c r="J33" s="484"/>
      <c r="K33" s="332" t="str">
        <f>HYPERLINK("#'売上工数管理'!A102","　　全てを見る")</f>
        <v>　　全てを見る</v>
      </c>
      <c r="L33" s="331"/>
      <c r="M33" s="331"/>
      <c r="N33" s="34"/>
      <c r="O33" s="34"/>
      <c r="P33" s="40"/>
      <c r="Q33" s="47"/>
      <c r="R33" s="34"/>
      <c r="S33" s="34"/>
      <c r="T33" s="34"/>
      <c r="U33" s="34"/>
      <c r="V33" s="46"/>
    </row>
    <row r="34" spans="1:22" ht="18.600000000000001" thickTop="1">
      <c r="A34" s="329"/>
      <c r="B34" s="329"/>
      <c r="C34" s="36"/>
      <c r="D34" s="330"/>
      <c r="E34" s="77"/>
      <c r="F34" s="330"/>
      <c r="G34" s="330"/>
      <c r="H34" s="77"/>
      <c r="I34" s="330"/>
      <c r="J34" s="36"/>
      <c r="K34" s="330"/>
      <c r="L34" s="77"/>
      <c r="M34" s="77"/>
      <c r="N34" s="330"/>
      <c r="O34" s="330"/>
      <c r="P34" s="329"/>
      <c r="Q34" s="330"/>
      <c r="R34" s="330"/>
      <c r="S34" s="330"/>
      <c r="T34" s="330"/>
      <c r="U34" s="330"/>
      <c r="V34" s="329"/>
    </row>
    <row r="35" spans="1:22" ht="18.600000000000001" thickBot="1">
      <c r="A35" s="178" t="s">
        <v>90</v>
      </c>
      <c r="B35" s="36"/>
      <c r="C35" s="36"/>
      <c r="D35" s="77"/>
      <c r="E35" s="77"/>
      <c r="F35" s="77"/>
      <c r="G35" s="77"/>
      <c r="H35" s="77"/>
      <c r="I35" s="77"/>
      <c r="J35" s="36"/>
      <c r="K35" s="77"/>
      <c r="L35" s="77"/>
      <c r="M35" s="77"/>
      <c r="N35" s="77"/>
      <c r="O35" s="77"/>
      <c r="P35" s="36"/>
      <c r="Q35" s="77"/>
      <c r="R35" s="77"/>
      <c r="S35" s="77"/>
      <c r="T35" s="77"/>
      <c r="U35" s="77"/>
      <c r="V35" s="36"/>
    </row>
    <row r="36" spans="1:22" ht="41.4" customHeight="1" thickBot="1">
      <c r="A36" s="179" t="s">
        <v>158</v>
      </c>
      <c r="B36" s="180"/>
      <c r="C36" s="285" t="s">
        <v>157</v>
      </c>
      <c r="D36" s="286"/>
      <c r="E36" s="286"/>
      <c r="F36" s="286"/>
      <c r="G36" s="287" t="s">
        <v>125</v>
      </c>
      <c r="H36" s="288"/>
      <c r="I36" s="196"/>
      <c r="J36" s="181" t="s">
        <v>156</v>
      </c>
      <c r="K36" s="180"/>
      <c r="L36" s="180"/>
      <c r="M36" s="180"/>
      <c r="N36" s="180"/>
      <c r="O36" s="180"/>
      <c r="P36" s="180"/>
      <c r="Q36" s="181" t="s">
        <v>331</v>
      </c>
      <c r="R36" s="180"/>
      <c r="S36" s="180"/>
      <c r="T36" s="371"/>
      <c r="U36" s="372" t="s">
        <v>332</v>
      </c>
      <c r="V36" s="182"/>
    </row>
    <row r="37" spans="1:22" ht="18.600000000000001" thickBot="1">
      <c r="A37" s="78" t="s">
        <v>114</v>
      </c>
      <c r="B37" s="79">
        <f ca="1">A9</f>
        <v>45934</v>
      </c>
      <c r="C37" s="479">
        <f ca="1">B9</f>
        <v>45934</v>
      </c>
      <c r="D37" s="479"/>
      <c r="E37" s="479"/>
      <c r="F37" s="80"/>
      <c r="G37" s="478" t="s">
        <v>124</v>
      </c>
      <c r="H37" s="478"/>
      <c r="I37" s="165" t="str" cm="1">
        <f t="array" aca="1" ref="I37" ca="1">_xlfn.LET(
  _xlpm.raw, $B$37,
  _xlpm.m, IF(AND(ISNUMBER(_xlpm.raw), _xlpm.raw&gt;=1, _xlpm.raw&lt;=12),
        TEXT(_xlpm.raw,"00"),
        IF(ISNUMBER(_xlpm.raw),
           TEXT(_xlpm.raw,"mm"),
           TEXT(DATE(YEAR(TODAY()),VALUE(SUBSTITUTE(_xlpm.raw,"月","")),1),"mm")
        )
     ),
  _xlpm.arr, 売上工数管理!$C$5:$C$16,
  _xlpm.hit, _xlfn.XLOOKUP(_xlpm.m, RIGHT(_xlpm.arr,2), _xlpm.arr, ""),
  IF(_xlpm.hit&lt;&gt;"", _xlpm.hit, LEFT(INDEX(_xlpm.arr,1),4)&amp;"_"&amp;_xlpm.m)
)</f>
        <v>2025_10</v>
      </c>
      <c r="J37" s="80"/>
      <c r="K37" s="80"/>
      <c r="L37" s="80"/>
      <c r="M37" s="36"/>
      <c r="N37" s="238" t="s">
        <v>196</v>
      </c>
      <c r="O37" s="36"/>
      <c r="P37" s="36"/>
      <c r="Q37" s="36"/>
      <c r="R37" s="36"/>
      <c r="S37" s="36"/>
      <c r="T37" s="36"/>
      <c r="U37" s="36"/>
      <c r="V37" s="36"/>
    </row>
    <row r="38" spans="1:22" ht="18.600000000000001" thickBot="1">
      <c r="A38" s="81"/>
      <c r="B38" s="81"/>
      <c r="C38" s="66" t="s">
        <v>174</v>
      </c>
      <c r="D38" s="66"/>
      <c r="E38" s="66" t="s">
        <v>174</v>
      </c>
      <c r="F38" s="66"/>
      <c r="G38" s="166" t="s">
        <v>174</v>
      </c>
      <c r="H38" s="166"/>
      <c r="I38" s="66" t="s">
        <v>266</v>
      </c>
      <c r="J38" s="36"/>
      <c r="K38" s="36"/>
      <c r="L38" s="36"/>
      <c r="M38" s="36"/>
      <c r="N38" s="66" t="s">
        <v>153</v>
      </c>
      <c r="O38" s="36"/>
      <c r="P38" s="36"/>
      <c r="Q38" s="36"/>
      <c r="R38" s="36"/>
      <c r="S38" s="36"/>
      <c r="T38" s="36"/>
      <c r="U38" s="36"/>
      <c r="V38" s="36"/>
    </row>
    <row r="39" spans="1:22" ht="18.600000000000001" thickBot="1">
      <c r="A39" s="183" t="s">
        <v>135</v>
      </c>
      <c r="B39" s="220" t="s">
        <v>113</v>
      </c>
      <c r="C39" s="291" t="s">
        <v>148</v>
      </c>
      <c r="D39" s="209" t="s">
        <v>147</v>
      </c>
      <c r="E39" s="292" t="s">
        <v>149</v>
      </c>
      <c r="F39" s="209" t="s">
        <v>150</v>
      </c>
      <c r="G39" s="292" t="s">
        <v>151</v>
      </c>
      <c r="H39" s="209" t="s">
        <v>152</v>
      </c>
      <c r="I39" s="468" t="s">
        <v>134</v>
      </c>
      <c r="J39" s="468"/>
      <c r="K39" s="468"/>
      <c r="L39" s="469"/>
      <c r="M39" s="36"/>
      <c r="N39" s="293" t="s">
        <v>148</v>
      </c>
      <c r="O39" s="82" t="s">
        <v>147</v>
      </c>
      <c r="P39" s="293" t="s">
        <v>149</v>
      </c>
      <c r="Q39" s="82" t="s">
        <v>150</v>
      </c>
      <c r="R39" s="293" t="s">
        <v>151</v>
      </c>
      <c r="S39" s="82" t="s">
        <v>152</v>
      </c>
      <c r="T39" s="36"/>
      <c r="U39" s="36"/>
      <c r="V39" s="36"/>
    </row>
    <row r="40" spans="1:22" ht="18.600000000000001" thickBot="1">
      <c r="A40" s="167" cm="1">
        <f t="array" aca="1" ref="A40:A70" ca="1">_xlfn.LET(_xlpm.r, INDIRECT("'" &amp; $I$37 &amp; "'!E2:AI2"),
     TRANSPOSE(_xlpm.r))</f>
        <v>45931</v>
      </c>
      <c r="B40" s="221" cm="1">
        <f t="array" aca="1" ref="B40:B70" ca="1">IFERROR(
  _xlfn.LET(
    _xlpm.r, INDIRECT("'" &amp; $I$37 &amp; "'!E3:AI3"),
    _xlpm.v, TRANSPOSE(_xlpm.r),
    _xlfn.TAKE(_xlpm.v, ROWS($B$40:$B$70))
  ),
  ""
)</f>
        <v>8</v>
      </c>
      <c r="C40" s="224">
        <v>1</v>
      </c>
      <c r="D40" s="225" t="str">
        <f>IF(C40="","",VLOOKUP(C40,ダッシュボード!$N$40:$O$44,2,FALSE()))</f>
        <v>晴れ</v>
      </c>
      <c r="E40" s="231">
        <v>1</v>
      </c>
      <c r="F40" s="232" t="str">
        <f>IF(E40="","",VLOOKUP(E40,ダッシュボード!$P$40:$Q$44,2,FALSE()))</f>
        <v>ない</v>
      </c>
      <c r="G40" s="231">
        <v>1</v>
      </c>
      <c r="H40" s="232" t="str">
        <f>IF(G40="","",VLOOKUP(G40,ダッシュボード!$R$40:$S$44,2,FALSE()))</f>
        <v>ハイテンション</v>
      </c>
      <c r="I40" s="480" t="s">
        <v>318</v>
      </c>
      <c r="J40" s="481"/>
      <c r="K40" s="481"/>
      <c r="L40" s="482"/>
      <c r="M40" s="36"/>
      <c r="N40" s="294">
        <v>1</v>
      </c>
      <c r="O40" s="83" t="s">
        <v>115</v>
      </c>
      <c r="P40" s="294">
        <v>1</v>
      </c>
      <c r="Q40" s="84" t="s">
        <v>120</v>
      </c>
      <c r="R40" s="294">
        <v>1</v>
      </c>
      <c r="S40" s="85" t="s">
        <v>130</v>
      </c>
      <c r="T40" s="36"/>
      <c r="U40" s="36"/>
      <c r="V40" s="36"/>
    </row>
    <row r="41" spans="1:22" ht="18.600000000000001" thickBot="1">
      <c r="A41" s="168">
        <f ca="1"/>
        <v>45932</v>
      </c>
      <c r="B41" s="222" t="str">
        <f ca="1"/>
        <v/>
      </c>
      <c r="C41" s="226">
        <v>2</v>
      </c>
      <c r="D41" s="225" t="str">
        <f>IF(C41="","",VLOOKUP(C41,ダッシュボード!$N$40:$O$44,2,FALSE()))</f>
        <v>曇り</v>
      </c>
      <c r="E41" s="229">
        <v>1</v>
      </c>
      <c r="F41" s="184" t="str">
        <f>IF(E41="","",VLOOKUP(E41,ダッシュボード!$P$40:$Q$44,2,FALSE()))</f>
        <v>ない</v>
      </c>
      <c r="G41" s="229">
        <v>2</v>
      </c>
      <c r="H41" s="184" t="str">
        <f>IF(G41="","",VLOOKUP(G41,ダッシュボード!$R$40:$S$44,2,FALSE()))</f>
        <v>良い</v>
      </c>
      <c r="I41" s="470"/>
      <c r="J41" s="471"/>
      <c r="K41" s="471"/>
      <c r="L41" s="472"/>
      <c r="M41" s="36"/>
      <c r="N41" s="295">
        <v>2</v>
      </c>
      <c r="O41" s="85" t="s">
        <v>116</v>
      </c>
      <c r="P41" s="295">
        <v>2</v>
      </c>
      <c r="Q41" s="84" t="s">
        <v>121</v>
      </c>
      <c r="R41" s="295">
        <v>2</v>
      </c>
      <c r="S41" s="85" t="s">
        <v>127</v>
      </c>
      <c r="T41" s="36"/>
      <c r="U41" s="36"/>
      <c r="V41" s="36"/>
    </row>
    <row r="42" spans="1:22" ht="18.600000000000001" thickBot="1">
      <c r="A42" s="168">
        <f ca="1"/>
        <v>45933</v>
      </c>
      <c r="B42" s="222" t="str">
        <f ca="1"/>
        <v/>
      </c>
      <c r="C42" s="226">
        <v>1</v>
      </c>
      <c r="D42" s="225" t="str">
        <f>IF(C42="","",VLOOKUP(C42,ダッシュボード!$N$40:$O$44,2,FALSE()))</f>
        <v>晴れ</v>
      </c>
      <c r="E42" s="229">
        <v>2</v>
      </c>
      <c r="F42" s="184" t="str">
        <f>IF(E42="","",VLOOKUP(E42,ダッシュボード!$P$40:$Q$44,2,FALSE()))</f>
        <v>少しある</v>
      </c>
      <c r="G42" s="229">
        <v>2</v>
      </c>
      <c r="H42" s="184" t="str">
        <f>IF(G42="","",VLOOKUP(G42,ダッシュボード!$R$40:$S$44,2,FALSE()))</f>
        <v>良い</v>
      </c>
      <c r="I42" s="470"/>
      <c r="J42" s="471"/>
      <c r="K42" s="471"/>
      <c r="L42" s="472"/>
      <c r="M42" s="36"/>
      <c r="N42" s="295">
        <v>3</v>
      </c>
      <c r="O42" s="85" t="s">
        <v>117</v>
      </c>
      <c r="P42" s="295">
        <v>3</v>
      </c>
      <c r="Q42" s="84" t="s">
        <v>122</v>
      </c>
      <c r="R42" s="295">
        <v>3</v>
      </c>
      <c r="S42" s="85" t="s">
        <v>128</v>
      </c>
      <c r="T42" s="36"/>
      <c r="U42" s="36"/>
      <c r="V42" s="36"/>
    </row>
    <row r="43" spans="1:22" ht="18.600000000000001" thickBot="1">
      <c r="A43" s="168">
        <f ca="1"/>
        <v>45934</v>
      </c>
      <c r="B43" s="222" t="str">
        <f ca="1"/>
        <v/>
      </c>
      <c r="C43" s="226">
        <v>1</v>
      </c>
      <c r="D43" s="225" t="str">
        <f>IF(C43="","",VLOOKUP(C43,ダッシュボード!$N$40:$O$44,2,FALSE()))</f>
        <v>晴れ</v>
      </c>
      <c r="E43" s="229">
        <v>1</v>
      </c>
      <c r="F43" s="184" t="str">
        <f>IF(E43="","",VLOOKUP(E43,ダッシュボード!$P$40:$Q$44,2,FALSE()))</f>
        <v>ない</v>
      </c>
      <c r="G43" s="229">
        <v>3</v>
      </c>
      <c r="H43" s="184" t="str">
        <f>IF(G43="","",VLOOKUP(G43,ダッシュボード!$R$40:$S$44,2,FALSE()))</f>
        <v>普通</v>
      </c>
      <c r="I43" s="470"/>
      <c r="J43" s="471"/>
      <c r="K43" s="471"/>
      <c r="L43" s="472"/>
      <c r="M43" s="36"/>
      <c r="N43" s="295">
        <v>4</v>
      </c>
      <c r="O43" s="85" t="s">
        <v>118</v>
      </c>
      <c r="P43" s="295">
        <v>4</v>
      </c>
      <c r="Q43" s="84"/>
      <c r="R43" s="295">
        <v>4</v>
      </c>
      <c r="S43" s="85" t="s">
        <v>129</v>
      </c>
      <c r="T43" s="36"/>
      <c r="U43" s="36"/>
      <c r="V43" s="36"/>
    </row>
    <row r="44" spans="1:22" ht="18.600000000000001" thickBot="1">
      <c r="A44" s="168">
        <f ca="1"/>
        <v>45935</v>
      </c>
      <c r="B44" s="222" t="str">
        <f ca="1"/>
        <v/>
      </c>
      <c r="C44" s="226">
        <v>2</v>
      </c>
      <c r="D44" s="225" t="str">
        <f>IF(C44="","",VLOOKUP(C44,ダッシュボード!$N$40:$O$44,2,FALSE()))</f>
        <v>曇り</v>
      </c>
      <c r="E44" s="229">
        <v>3</v>
      </c>
      <c r="F44" s="184" t="str">
        <f>IF(E44="","",VLOOKUP(E44,ダッシュボード!$P$40:$Q$44,2,FALSE()))</f>
        <v>かなりある</v>
      </c>
      <c r="G44" s="229">
        <v>3</v>
      </c>
      <c r="H44" s="184" t="str">
        <f>IF(G44="","",VLOOKUP(G44,ダッシュボード!$R$40:$S$44,2,FALSE()))</f>
        <v>普通</v>
      </c>
      <c r="I44" s="470"/>
      <c r="J44" s="471"/>
      <c r="K44" s="471"/>
      <c r="L44" s="472"/>
      <c r="M44" s="36"/>
      <c r="N44" s="296">
        <v>5</v>
      </c>
      <c r="O44" s="86" t="s">
        <v>119</v>
      </c>
      <c r="P44" s="296">
        <v>5</v>
      </c>
      <c r="Q44" s="87"/>
      <c r="R44" s="296">
        <v>5</v>
      </c>
      <c r="S44" s="86" t="s">
        <v>131</v>
      </c>
      <c r="T44" s="36"/>
      <c r="U44" s="36"/>
      <c r="V44" s="36"/>
    </row>
    <row r="45" spans="1:22" ht="18.600000000000001" thickBot="1">
      <c r="A45" s="168">
        <f ca="1"/>
        <v>45936</v>
      </c>
      <c r="B45" s="222" t="str">
        <f ca="1"/>
        <v/>
      </c>
      <c r="C45" s="226">
        <v>2</v>
      </c>
      <c r="D45" s="225" t="str">
        <f>IF(C45="","",VLOOKUP(C45,ダッシュボード!$N$40:$O$44,2,FALSE()))</f>
        <v>曇り</v>
      </c>
      <c r="E45" s="229">
        <v>3</v>
      </c>
      <c r="F45" s="184" t="str">
        <f>IF(E45="","",VLOOKUP(E45,ダッシュボード!$P$40:$Q$44,2,FALSE()))</f>
        <v>かなりある</v>
      </c>
      <c r="G45" s="229">
        <v>4</v>
      </c>
      <c r="H45" s="184" t="str">
        <f>IF(G45="","",VLOOKUP(G45,ダッシュボード!$R$40:$S$44,2,FALSE()))</f>
        <v>悪い</v>
      </c>
      <c r="I45" s="470"/>
      <c r="J45" s="471"/>
      <c r="K45" s="471"/>
      <c r="L45" s="472"/>
      <c r="M45" s="36"/>
      <c r="N45" s="81"/>
      <c r="O45" s="81"/>
      <c r="P45" s="81"/>
      <c r="Q45" s="81"/>
      <c r="R45" s="81"/>
      <c r="S45" s="81"/>
      <c r="T45" s="36"/>
      <c r="U45" s="36"/>
      <c r="V45" s="36"/>
    </row>
    <row r="46" spans="1:22" ht="18.600000000000001" thickBot="1">
      <c r="A46" s="168">
        <f ca="1"/>
        <v>45937</v>
      </c>
      <c r="B46" s="222" t="str">
        <f ca="1"/>
        <v/>
      </c>
      <c r="C46" s="226">
        <v>2</v>
      </c>
      <c r="D46" s="225" t="str">
        <f>IF(C46="","",VLOOKUP(C46,ダッシュボード!$N$40:$O$44,2,FALSE()))</f>
        <v>曇り</v>
      </c>
      <c r="E46" s="229">
        <v>3</v>
      </c>
      <c r="F46" s="184" t="str">
        <f>IF(E46="","",VLOOKUP(E46,ダッシュボード!$P$40:$Q$44,2,FALSE()))</f>
        <v>かなりある</v>
      </c>
      <c r="G46" s="229">
        <v>5</v>
      </c>
      <c r="H46" s="184" t="str">
        <f>IF(G46="","",VLOOKUP(G46,ダッシュボード!$R$40:$S$44,2,FALSE()))</f>
        <v>最低</v>
      </c>
      <c r="I46" s="470"/>
      <c r="J46" s="471"/>
      <c r="K46" s="471"/>
      <c r="L46" s="472"/>
      <c r="M46" s="36"/>
      <c r="N46" s="66" t="s">
        <v>153</v>
      </c>
      <c r="O46" s="36"/>
      <c r="P46" s="36"/>
      <c r="Q46" s="36"/>
      <c r="R46" s="36"/>
      <c r="S46" s="36"/>
      <c r="T46" s="36"/>
      <c r="U46" s="36"/>
      <c r="V46" s="36"/>
    </row>
    <row r="47" spans="1:22" ht="18.600000000000001" thickBot="1">
      <c r="A47" s="168">
        <f ca="1"/>
        <v>45938</v>
      </c>
      <c r="B47" s="222" t="str">
        <f ca="1"/>
        <v/>
      </c>
      <c r="C47" s="226">
        <v>3</v>
      </c>
      <c r="D47" s="225" t="str">
        <f>IF(C47="","",VLOOKUP(C47,ダッシュボード!$N$40:$O$44,2,FALSE()))</f>
        <v>雨</v>
      </c>
      <c r="E47" s="229">
        <v>3</v>
      </c>
      <c r="F47" s="184" t="str">
        <f>IF(E47="","",VLOOKUP(E47,ダッシュボード!$P$40:$Q$44,2,FALSE()))</f>
        <v>かなりある</v>
      </c>
      <c r="G47" s="229">
        <v>5</v>
      </c>
      <c r="H47" s="184" t="str">
        <f>IF(G47="","",VLOOKUP(G47,ダッシュボード!$R$40:$S$44,2,FALSE()))</f>
        <v>最低</v>
      </c>
      <c r="I47" s="470"/>
      <c r="J47" s="471"/>
      <c r="K47" s="471"/>
      <c r="L47" s="472"/>
      <c r="M47" s="36"/>
      <c r="N47" s="293" t="s">
        <v>148</v>
      </c>
      <c r="O47" s="82" t="s">
        <v>147</v>
      </c>
      <c r="P47" s="293" t="s">
        <v>149</v>
      </c>
      <c r="Q47" s="82" t="s">
        <v>150</v>
      </c>
      <c r="R47" s="293" t="s">
        <v>151</v>
      </c>
      <c r="S47" s="82" t="s">
        <v>152</v>
      </c>
      <c r="T47" s="36"/>
      <c r="U47" s="36"/>
      <c r="V47" s="36"/>
    </row>
    <row r="48" spans="1:22" ht="18.600000000000001" thickBot="1">
      <c r="A48" s="168">
        <f ca="1"/>
        <v>45939</v>
      </c>
      <c r="B48" s="222" t="str">
        <f ca="1"/>
        <v/>
      </c>
      <c r="C48" s="226">
        <v>3</v>
      </c>
      <c r="D48" s="225" t="str">
        <f>IF(C48="","",VLOOKUP(C48,ダッシュボード!$N$40:$O$44,2,FALSE()))</f>
        <v>雨</v>
      </c>
      <c r="E48" s="229">
        <v>2</v>
      </c>
      <c r="F48" s="184" t="str">
        <f>IF(E48="","",VLOOKUP(E48,ダッシュボード!$P$40:$Q$44,2,FALSE()))</f>
        <v>少しある</v>
      </c>
      <c r="G48" s="229">
        <v>4</v>
      </c>
      <c r="H48" s="184" t="str">
        <f>IF(G48="","",VLOOKUP(G48,ダッシュボード!$R$40:$S$44,2,FALSE()))</f>
        <v>悪い</v>
      </c>
      <c r="I48" s="470"/>
      <c r="J48" s="471"/>
      <c r="K48" s="471"/>
      <c r="L48" s="472"/>
      <c r="M48" s="36"/>
      <c r="N48" s="294">
        <v>1</v>
      </c>
      <c r="O48" s="83" t="s">
        <v>115</v>
      </c>
      <c r="P48" s="294">
        <v>1</v>
      </c>
      <c r="Q48" s="84" t="s">
        <v>120</v>
      </c>
      <c r="R48" s="294">
        <v>1</v>
      </c>
      <c r="S48" s="85" t="s">
        <v>130</v>
      </c>
      <c r="T48" s="36"/>
      <c r="U48" s="36"/>
      <c r="V48" s="36"/>
    </row>
    <row r="49" spans="1:22" ht="18.600000000000001" thickBot="1">
      <c r="A49" s="168">
        <f ca="1"/>
        <v>45940</v>
      </c>
      <c r="B49" s="222" t="str">
        <f ca="1"/>
        <v/>
      </c>
      <c r="C49" s="226">
        <v>2</v>
      </c>
      <c r="D49" s="225" t="str">
        <f>IF(C49="","",VLOOKUP(C49,ダッシュボード!$N$40:$O$44,2,FALSE()))</f>
        <v>曇り</v>
      </c>
      <c r="E49" s="229">
        <v>3</v>
      </c>
      <c r="F49" s="184" t="str">
        <f>IF(E49="","",VLOOKUP(E49,ダッシュボード!$P$40:$Q$44,2,FALSE()))</f>
        <v>かなりある</v>
      </c>
      <c r="G49" s="229">
        <v>3</v>
      </c>
      <c r="H49" s="184" t="str">
        <f>IF(G49="","",VLOOKUP(G49,ダッシュボード!$R$40:$S$44,2,FALSE()))</f>
        <v>普通</v>
      </c>
      <c r="I49" s="470"/>
      <c r="J49" s="471"/>
      <c r="K49" s="471"/>
      <c r="L49" s="472"/>
      <c r="M49" s="36"/>
      <c r="N49" s="295">
        <v>2</v>
      </c>
      <c r="O49" s="85" t="s">
        <v>116</v>
      </c>
      <c r="P49" s="295">
        <v>2</v>
      </c>
      <c r="Q49" s="84" t="s">
        <v>121</v>
      </c>
      <c r="R49" s="295">
        <v>2</v>
      </c>
      <c r="S49" s="85" t="s">
        <v>127</v>
      </c>
      <c r="T49" s="36"/>
      <c r="U49" s="36"/>
      <c r="V49" s="36"/>
    </row>
    <row r="50" spans="1:22" ht="18.600000000000001" thickBot="1">
      <c r="A50" s="168">
        <f ca="1"/>
        <v>45941</v>
      </c>
      <c r="B50" s="222" t="str">
        <f ca="1"/>
        <v/>
      </c>
      <c r="C50" s="226">
        <v>1</v>
      </c>
      <c r="D50" s="225" t="str">
        <f>IF(C50="","",VLOOKUP(C50,ダッシュボード!$N$40:$O$44,2,FALSE()))</f>
        <v>晴れ</v>
      </c>
      <c r="E50" s="229">
        <v>1</v>
      </c>
      <c r="F50" s="184" t="str">
        <f>IF(E50="","",VLOOKUP(E50,ダッシュボード!$P$40:$Q$44,2,FALSE()))</f>
        <v>ない</v>
      </c>
      <c r="G50" s="229">
        <v>2</v>
      </c>
      <c r="H50" s="184" t="str">
        <f>IF(G50="","",VLOOKUP(G50,ダッシュボード!$R$40:$S$44,2,FALSE()))</f>
        <v>良い</v>
      </c>
      <c r="I50" s="470"/>
      <c r="J50" s="471"/>
      <c r="K50" s="471"/>
      <c r="L50" s="472"/>
      <c r="M50" s="36"/>
      <c r="N50" s="295">
        <v>3</v>
      </c>
      <c r="O50" s="85" t="s">
        <v>117</v>
      </c>
      <c r="P50" s="295">
        <v>3</v>
      </c>
      <c r="Q50" s="84" t="s">
        <v>122</v>
      </c>
      <c r="R50" s="295">
        <v>3</v>
      </c>
      <c r="S50" s="85" t="s">
        <v>128</v>
      </c>
      <c r="T50" s="36"/>
      <c r="U50" s="36"/>
      <c r="V50" s="36"/>
    </row>
    <row r="51" spans="1:22" ht="18.600000000000001" thickBot="1">
      <c r="A51" s="168">
        <f ca="1"/>
        <v>45942</v>
      </c>
      <c r="B51" s="222" t="str">
        <f ca="1"/>
        <v/>
      </c>
      <c r="C51" s="226">
        <v>1</v>
      </c>
      <c r="D51" s="225" t="str">
        <f>IF(C51="","",VLOOKUP(C51,ダッシュボード!$N$40:$O$44,2,FALSE()))</f>
        <v>晴れ</v>
      </c>
      <c r="E51" s="229">
        <v>1</v>
      </c>
      <c r="F51" s="184" t="str">
        <f>IF(E51="","",VLOOKUP(E51,ダッシュボード!$P$40:$Q$44,2,FALSE()))</f>
        <v>ない</v>
      </c>
      <c r="G51" s="229">
        <v>2</v>
      </c>
      <c r="H51" s="184" t="str">
        <f>IF(G51="","",VLOOKUP(G51,ダッシュボード!$R$40:$S$44,2,FALSE()))</f>
        <v>良い</v>
      </c>
      <c r="I51" s="470"/>
      <c r="J51" s="471"/>
      <c r="K51" s="471"/>
      <c r="L51" s="472"/>
      <c r="M51" s="36"/>
      <c r="N51" s="295">
        <v>4</v>
      </c>
      <c r="O51" s="85" t="s">
        <v>118</v>
      </c>
      <c r="P51" s="295">
        <v>4</v>
      </c>
      <c r="Q51" s="84"/>
      <c r="R51" s="295">
        <v>4</v>
      </c>
      <c r="S51" s="85" t="s">
        <v>129</v>
      </c>
      <c r="T51" s="36"/>
      <c r="U51" s="36"/>
      <c r="V51" s="36"/>
    </row>
    <row r="52" spans="1:22" ht="18.600000000000001" thickBot="1">
      <c r="A52" s="168">
        <f ca="1"/>
        <v>45943</v>
      </c>
      <c r="B52" s="222" t="str">
        <f ca="1"/>
        <v/>
      </c>
      <c r="C52" s="226">
        <v>2</v>
      </c>
      <c r="D52" s="225" t="str">
        <f>IF(C52="","",VLOOKUP(C52,ダッシュボード!$N$40:$O$44,2,FALSE()))</f>
        <v>曇り</v>
      </c>
      <c r="E52" s="229">
        <v>1</v>
      </c>
      <c r="F52" s="184" t="str">
        <f>IF(E52="","",VLOOKUP(E52,ダッシュボード!$P$40:$Q$44,2,FALSE()))</f>
        <v>ない</v>
      </c>
      <c r="G52" s="229">
        <v>2</v>
      </c>
      <c r="H52" s="184" t="str">
        <f>IF(G52="","",VLOOKUP(G52,ダッシュボード!$R$40:$S$44,2,FALSE()))</f>
        <v>良い</v>
      </c>
      <c r="I52" s="470"/>
      <c r="J52" s="471"/>
      <c r="K52" s="471"/>
      <c r="L52" s="472"/>
      <c r="M52" s="36"/>
      <c r="N52" s="296">
        <v>5</v>
      </c>
      <c r="O52" s="86" t="s">
        <v>119</v>
      </c>
      <c r="P52" s="296">
        <v>5</v>
      </c>
      <c r="Q52" s="87"/>
      <c r="R52" s="296">
        <v>5</v>
      </c>
      <c r="S52" s="86" t="s">
        <v>131</v>
      </c>
      <c r="T52" s="36"/>
      <c r="U52" s="36"/>
      <c r="V52" s="36"/>
    </row>
    <row r="53" spans="1:22" ht="18.600000000000001" thickBot="1">
      <c r="A53" s="168">
        <f ca="1"/>
        <v>45944</v>
      </c>
      <c r="B53" s="222" t="str">
        <f ca="1"/>
        <v/>
      </c>
      <c r="C53" s="226">
        <v>1</v>
      </c>
      <c r="D53" s="225" t="str">
        <f>IF(C53="","",VLOOKUP(C53,ダッシュボード!$N$40:$O$44,2,FALSE()))</f>
        <v>晴れ</v>
      </c>
      <c r="E53" s="229">
        <v>1</v>
      </c>
      <c r="F53" s="184" t="str">
        <f>IF(E53="","",VLOOKUP(E53,ダッシュボード!$P$40:$Q$44,2,FALSE()))</f>
        <v>ない</v>
      </c>
      <c r="G53" s="229">
        <v>3</v>
      </c>
      <c r="H53" s="184" t="str">
        <f>IF(G53="","",VLOOKUP(G53,ダッシュボード!$R$40:$S$44,2,FALSE()))</f>
        <v>普通</v>
      </c>
      <c r="I53" s="470"/>
      <c r="J53" s="471"/>
      <c r="K53" s="471"/>
      <c r="L53" s="472"/>
      <c r="M53" s="36"/>
      <c r="N53" s="81"/>
      <c r="O53" s="81"/>
      <c r="P53" s="81"/>
      <c r="Q53" s="81"/>
      <c r="R53" s="81"/>
      <c r="S53" s="81"/>
      <c r="T53" s="36"/>
      <c r="U53" s="36"/>
      <c r="V53" s="36"/>
    </row>
    <row r="54" spans="1:22" ht="18.600000000000001" thickBot="1">
      <c r="A54" s="168">
        <f ca="1"/>
        <v>45945</v>
      </c>
      <c r="B54" s="222" t="str">
        <f ca="1"/>
        <v/>
      </c>
      <c r="C54" s="226">
        <v>5</v>
      </c>
      <c r="D54" s="225" t="str">
        <f>IF(C54="","",VLOOKUP(C54,ダッシュボード!$N$40:$O$44,2,FALSE()))</f>
        <v>台風</v>
      </c>
      <c r="E54" s="229">
        <v>3</v>
      </c>
      <c r="F54" s="184" t="str">
        <f>IF(E54="","",VLOOKUP(E54,ダッシュボード!$P$40:$Q$44,2,FALSE()))</f>
        <v>かなりある</v>
      </c>
      <c r="G54" s="229">
        <v>2</v>
      </c>
      <c r="H54" s="184" t="str">
        <f>IF(G54="","",VLOOKUP(G54,ダッシュボード!$R$40:$S$44,2,FALSE()))</f>
        <v>良い</v>
      </c>
      <c r="I54" s="470"/>
      <c r="J54" s="471"/>
      <c r="K54" s="471"/>
      <c r="L54" s="472"/>
      <c r="M54" s="36"/>
      <c r="N54" s="66" t="s">
        <v>153</v>
      </c>
      <c r="O54" s="36"/>
      <c r="P54" s="36"/>
      <c r="Q54" s="36"/>
      <c r="R54" s="36"/>
      <c r="S54" s="36"/>
      <c r="T54" s="36"/>
      <c r="U54" s="36"/>
      <c r="V54" s="36"/>
    </row>
    <row r="55" spans="1:22" ht="18.600000000000001" thickBot="1">
      <c r="A55" s="168">
        <f ca="1"/>
        <v>45946</v>
      </c>
      <c r="B55" s="222" t="str">
        <f ca="1"/>
        <v/>
      </c>
      <c r="C55" s="226">
        <v>5</v>
      </c>
      <c r="D55" s="225" t="str">
        <f>IF(C55="","",VLOOKUP(C55,ダッシュボード!$N$40:$O$44,2,FALSE()))</f>
        <v>台風</v>
      </c>
      <c r="E55" s="229">
        <v>3</v>
      </c>
      <c r="F55" s="184" t="str">
        <f>IF(E55="","",VLOOKUP(E55,ダッシュボード!$P$40:$Q$44,2,FALSE()))</f>
        <v>かなりある</v>
      </c>
      <c r="G55" s="229">
        <v>5</v>
      </c>
      <c r="H55" s="184" t="str">
        <f>IF(G55="","",VLOOKUP(G55,ダッシュボード!$R$40:$S$44,2,FALSE()))</f>
        <v>最低</v>
      </c>
      <c r="I55" s="470"/>
      <c r="J55" s="471"/>
      <c r="K55" s="471"/>
      <c r="L55" s="472"/>
      <c r="M55" s="36"/>
      <c r="N55" s="297" t="s">
        <v>148</v>
      </c>
      <c r="O55" s="171" t="s">
        <v>147</v>
      </c>
      <c r="P55" s="301" t="s">
        <v>149</v>
      </c>
      <c r="Q55" s="171" t="s">
        <v>150</v>
      </c>
      <c r="R55" s="301" t="s">
        <v>151</v>
      </c>
      <c r="S55" s="172" t="s">
        <v>152</v>
      </c>
      <c r="T55" s="36"/>
      <c r="U55" s="36"/>
      <c r="V55" s="36"/>
    </row>
    <row r="56" spans="1:22" ht="18.600000000000001" thickBot="1">
      <c r="A56" s="168">
        <f ca="1"/>
        <v>45947</v>
      </c>
      <c r="B56" s="222" t="str">
        <f ca="1"/>
        <v/>
      </c>
      <c r="C56" s="226">
        <v>3</v>
      </c>
      <c r="D56" s="225" t="str">
        <f>IF(C56="","",VLOOKUP(C56,ダッシュボード!$N$40:$O$44,2,FALSE()))</f>
        <v>雨</v>
      </c>
      <c r="E56" s="229">
        <v>3</v>
      </c>
      <c r="F56" s="184" t="str">
        <f>IF(E56="","",VLOOKUP(E56,ダッシュボード!$P$40:$Q$44,2,FALSE()))</f>
        <v>かなりある</v>
      </c>
      <c r="G56" s="229">
        <v>4</v>
      </c>
      <c r="H56" s="184" t="str">
        <f>IF(G56="","",VLOOKUP(G56,ダッシュボード!$R$40:$S$44,2,FALSE()))</f>
        <v>悪い</v>
      </c>
      <c r="I56" s="470"/>
      <c r="J56" s="471"/>
      <c r="K56" s="471"/>
      <c r="L56" s="472"/>
      <c r="M56" s="36"/>
      <c r="N56" s="298">
        <v>1</v>
      </c>
      <c r="O56" s="83" t="s">
        <v>115</v>
      </c>
      <c r="P56" s="294">
        <v>1</v>
      </c>
      <c r="Q56" s="84" t="s">
        <v>120</v>
      </c>
      <c r="R56" s="294">
        <v>1</v>
      </c>
      <c r="S56" s="173" t="s">
        <v>130</v>
      </c>
      <c r="T56" s="36"/>
      <c r="U56" s="36"/>
      <c r="V56" s="36"/>
    </row>
    <row r="57" spans="1:22" ht="18.600000000000001" thickBot="1">
      <c r="A57" s="168">
        <f ca="1"/>
        <v>45948</v>
      </c>
      <c r="B57" s="222" t="str">
        <f ca="1"/>
        <v/>
      </c>
      <c r="C57" s="226">
        <v>3</v>
      </c>
      <c r="D57" s="225" t="str">
        <f>IF(C57="","",VLOOKUP(C57,ダッシュボード!$N$40:$O$44,2,FALSE()))</f>
        <v>雨</v>
      </c>
      <c r="E57" s="229">
        <v>2</v>
      </c>
      <c r="F57" s="184" t="str">
        <f>IF(E57="","",VLOOKUP(E57,ダッシュボード!$P$40:$Q$44,2,FALSE()))</f>
        <v>少しある</v>
      </c>
      <c r="G57" s="229">
        <v>3</v>
      </c>
      <c r="H57" s="184" t="str">
        <f>IF(G57="","",VLOOKUP(G57,ダッシュボード!$R$40:$S$44,2,FALSE()))</f>
        <v>普通</v>
      </c>
      <c r="I57" s="470" t="s">
        <v>318</v>
      </c>
      <c r="J57" s="471"/>
      <c r="K57" s="471"/>
      <c r="L57" s="472"/>
      <c r="M57" s="36"/>
      <c r="N57" s="299">
        <v>2</v>
      </c>
      <c r="O57" s="85" t="s">
        <v>116</v>
      </c>
      <c r="P57" s="295">
        <v>2</v>
      </c>
      <c r="Q57" s="84" t="s">
        <v>121</v>
      </c>
      <c r="R57" s="295">
        <v>2</v>
      </c>
      <c r="S57" s="173" t="s">
        <v>127</v>
      </c>
      <c r="T57" s="36"/>
      <c r="U57" s="36"/>
      <c r="V57" s="36"/>
    </row>
    <row r="58" spans="1:22" ht="18.600000000000001" thickBot="1">
      <c r="A58" s="168">
        <f ca="1"/>
        <v>45949</v>
      </c>
      <c r="B58" s="222" t="str">
        <f ca="1"/>
        <v/>
      </c>
      <c r="C58" s="226">
        <v>2</v>
      </c>
      <c r="D58" s="225" t="str">
        <f>IF(C58="","",VLOOKUP(C58,ダッシュボード!$N$40:$O$44,2,FALSE()))</f>
        <v>曇り</v>
      </c>
      <c r="E58" s="229">
        <v>2</v>
      </c>
      <c r="F58" s="184" t="str">
        <f>IF(E58="","",VLOOKUP(E58,ダッシュボード!$P$40:$Q$44,2,FALSE()))</f>
        <v>少しある</v>
      </c>
      <c r="G58" s="229">
        <v>4</v>
      </c>
      <c r="H58" s="184" t="str">
        <f>IF(G58="","",VLOOKUP(G58,ダッシュボード!$R$40:$S$44,2,FALSE()))</f>
        <v>悪い</v>
      </c>
      <c r="I58" s="470"/>
      <c r="J58" s="471"/>
      <c r="K58" s="471"/>
      <c r="L58" s="472"/>
      <c r="M58" s="36"/>
      <c r="N58" s="299">
        <v>3</v>
      </c>
      <c r="O58" s="85" t="s">
        <v>117</v>
      </c>
      <c r="P58" s="295">
        <v>3</v>
      </c>
      <c r="Q58" s="84" t="s">
        <v>122</v>
      </c>
      <c r="R58" s="295">
        <v>3</v>
      </c>
      <c r="S58" s="173" t="s">
        <v>128</v>
      </c>
      <c r="T58" s="36"/>
      <c r="U58" s="36"/>
      <c r="V58" s="36"/>
    </row>
    <row r="59" spans="1:22" ht="18.600000000000001" thickBot="1">
      <c r="A59" s="168">
        <f ca="1"/>
        <v>45950</v>
      </c>
      <c r="B59" s="222" t="str">
        <f ca="1"/>
        <v/>
      </c>
      <c r="C59" s="226">
        <v>3</v>
      </c>
      <c r="D59" s="225" t="str">
        <f>IF(C59="","",VLOOKUP(C59,ダッシュボード!$N$40:$O$44,2,FALSE()))</f>
        <v>雨</v>
      </c>
      <c r="E59" s="229">
        <v>3</v>
      </c>
      <c r="F59" s="184" t="str">
        <f>IF(E59="","",VLOOKUP(E59,ダッシュボード!$P$40:$Q$44,2,FALSE()))</f>
        <v>かなりある</v>
      </c>
      <c r="G59" s="229">
        <v>5</v>
      </c>
      <c r="H59" s="184" t="str">
        <f>IF(G59="","",VLOOKUP(G59,ダッシュボード!$R$40:$S$44,2,FALSE()))</f>
        <v>最低</v>
      </c>
      <c r="I59" s="470"/>
      <c r="J59" s="471"/>
      <c r="K59" s="471"/>
      <c r="L59" s="472"/>
      <c r="M59" s="36"/>
      <c r="N59" s="299">
        <v>4</v>
      </c>
      <c r="O59" s="85" t="s">
        <v>118</v>
      </c>
      <c r="P59" s="295">
        <v>4</v>
      </c>
      <c r="Q59" s="84"/>
      <c r="R59" s="295">
        <v>4</v>
      </c>
      <c r="S59" s="173" t="s">
        <v>129</v>
      </c>
      <c r="T59" s="36"/>
      <c r="U59" s="36"/>
      <c r="V59" s="36"/>
    </row>
    <row r="60" spans="1:22" ht="18.600000000000001" thickBot="1">
      <c r="A60" s="168">
        <f ca="1"/>
        <v>45951</v>
      </c>
      <c r="B60" s="222" t="str">
        <f ca="1"/>
        <v/>
      </c>
      <c r="C60" s="226">
        <v>2</v>
      </c>
      <c r="D60" s="225" t="str">
        <f>IF(C60="","",VLOOKUP(C60,ダッシュボード!$N$40:$O$44,2,FALSE()))</f>
        <v>曇り</v>
      </c>
      <c r="E60" s="229">
        <v>2</v>
      </c>
      <c r="F60" s="184" t="str">
        <f>IF(E60="","",VLOOKUP(E60,ダッシュボード!$P$40:$Q$44,2,FALSE()))</f>
        <v>少しある</v>
      </c>
      <c r="G60" s="229">
        <v>3</v>
      </c>
      <c r="H60" s="184" t="str">
        <f>IF(G60="","",VLOOKUP(G60,ダッシュボード!$R$40:$S$44,2,FALSE()))</f>
        <v>普通</v>
      </c>
      <c r="I60" s="470"/>
      <c r="J60" s="471"/>
      <c r="K60" s="471"/>
      <c r="L60" s="472"/>
      <c r="M60" s="36"/>
      <c r="N60" s="300">
        <v>5</v>
      </c>
      <c r="O60" s="174" t="s">
        <v>119</v>
      </c>
      <c r="P60" s="302">
        <v>5</v>
      </c>
      <c r="Q60" s="175"/>
      <c r="R60" s="302">
        <v>5</v>
      </c>
      <c r="S60" s="176" t="s">
        <v>131</v>
      </c>
      <c r="T60" s="36"/>
      <c r="U60" s="36"/>
      <c r="V60" s="36"/>
    </row>
    <row r="61" spans="1:22" ht="18.600000000000001" thickBot="1">
      <c r="A61" s="168">
        <f ca="1"/>
        <v>45952</v>
      </c>
      <c r="B61" s="222" t="str">
        <f ca="1"/>
        <v/>
      </c>
      <c r="C61" s="226">
        <v>1</v>
      </c>
      <c r="D61" s="225" t="str">
        <f>IF(C61="","",VLOOKUP(C61,ダッシュボード!$N$40:$O$44,2,FALSE()))</f>
        <v>晴れ</v>
      </c>
      <c r="E61" s="229">
        <v>1</v>
      </c>
      <c r="F61" s="184" t="str">
        <f>IF(E61="","",VLOOKUP(E61,ダッシュボード!$P$40:$Q$44,2,FALSE()))</f>
        <v>ない</v>
      </c>
      <c r="G61" s="229">
        <v>2</v>
      </c>
      <c r="H61" s="184" t="str">
        <f>IF(G61="","",VLOOKUP(G61,ダッシュボード!$R$40:$S$44,2,FALSE()))</f>
        <v>良い</v>
      </c>
      <c r="I61" s="470"/>
      <c r="J61" s="471"/>
      <c r="K61" s="471"/>
      <c r="L61" s="472"/>
      <c r="M61" s="36"/>
      <c r="N61" s="81"/>
      <c r="O61" s="81"/>
      <c r="P61" s="81"/>
      <c r="Q61" s="81"/>
      <c r="R61" s="81"/>
      <c r="S61" s="81"/>
      <c r="T61" s="36"/>
      <c r="U61" s="36"/>
      <c r="V61" s="36"/>
    </row>
    <row r="62" spans="1:22" ht="18.600000000000001" thickBot="1">
      <c r="A62" s="168">
        <f ca="1"/>
        <v>45953</v>
      </c>
      <c r="B62" s="222" t="str">
        <f ca="1"/>
        <v/>
      </c>
      <c r="C62" s="226">
        <v>1</v>
      </c>
      <c r="D62" s="225" t="str">
        <f>IF(C62="","",VLOOKUP(C62,ダッシュボード!$N$40:$O$44,2,FALSE()))</f>
        <v>晴れ</v>
      </c>
      <c r="E62" s="229">
        <v>1</v>
      </c>
      <c r="F62" s="184" t="str">
        <f>IF(E62="","",VLOOKUP(E62,ダッシュボード!$P$40:$Q$44,2,FALSE()))</f>
        <v>ない</v>
      </c>
      <c r="G62" s="229">
        <v>2</v>
      </c>
      <c r="H62" s="184" t="str">
        <f>IF(G62="","",VLOOKUP(G62,ダッシュボード!$R$40:$S$44,2,FALSE()))</f>
        <v>良い</v>
      </c>
      <c r="I62" s="470"/>
      <c r="J62" s="471"/>
      <c r="K62" s="471"/>
      <c r="L62" s="472"/>
      <c r="M62" s="36"/>
      <c r="N62" s="66" t="s">
        <v>153</v>
      </c>
      <c r="O62" s="36"/>
      <c r="P62" s="36"/>
      <c r="Q62" s="36"/>
      <c r="R62" s="36"/>
      <c r="S62" s="36"/>
      <c r="T62" s="36"/>
      <c r="U62" s="36"/>
      <c r="V62" s="36"/>
    </row>
    <row r="63" spans="1:22" ht="18.600000000000001" thickBot="1">
      <c r="A63" s="168">
        <f ca="1"/>
        <v>45954</v>
      </c>
      <c r="B63" s="222" t="str">
        <f ca="1"/>
        <v/>
      </c>
      <c r="C63" s="226">
        <v>1</v>
      </c>
      <c r="D63" s="225" t="str">
        <f>IF(C63="","",VLOOKUP(C63,ダッシュボード!$N$40:$O$44,2,FALSE()))</f>
        <v>晴れ</v>
      </c>
      <c r="E63" s="229">
        <v>1</v>
      </c>
      <c r="F63" s="184" t="str">
        <f>IF(E63="","",VLOOKUP(E63,ダッシュボード!$P$40:$Q$44,2,FALSE()))</f>
        <v>ない</v>
      </c>
      <c r="G63" s="229">
        <v>3</v>
      </c>
      <c r="H63" s="184" t="str">
        <f>IF(G63="","",VLOOKUP(G63,ダッシュボード!$R$40:$S$44,2,FALSE()))</f>
        <v>普通</v>
      </c>
      <c r="I63" s="470"/>
      <c r="J63" s="471"/>
      <c r="K63" s="471"/>
      <c r="L63" s="472"/>
      <c r="M63" s="36"/>
      <c r="N63" s="297" t="s">
        <v>148</v>
      </c>
      <c r="O63" s="171" t="s">
        <v>147</v>
      </c>
      <c r="P63" s="301" t="s">
        <v>149</v>
      </c>
      <c r="Q63" s="171" t="s">
        <v>150</v>
      </c>
      <c r="R63" s="301" t="s">
        <v>151</v>
      </c>
      <c r="S63" s="172" t="s">
        <v>152</v>
      </c>
      <c r="T63" s="36"/>
      <c r="U63" s="36"/>
      <c r="V63" s="36"/>
    </row>
    <row r="64" spans="1:22" ht="18.600000000000001" thickBot="1">
      <c r="A64" s="168">
        <f ca="1"/>
        <v>45955</v>
      </c>
      <c r="B64" s="222" t="str">
        <f ca="1"/>
        <v/>
      </c>
      <c r="C64" s="226">
        <v>2</v>
      </c>
      <c r="D64" s="225" t="str">
        <f>IF(C64="","",VLOOKUP(C64,ダッシュボード!$N$40:$O$44,2,FALSE()))</f>
        <v>曇り</v>
      </c>
      <c r="E64" s="229">
        <v>2</v>
      </c>
      <c r="F64" s="184" t="str">
        <f>IF(E64="","",VLOOKUP(E64,ダッシュボード!$P$40:$Q$44,2,FALSE()))</f>
        <v>少しある</v>
      </c>
      <c r="G64" s="229">
        <v>2</v>
      </c>
      <c r="H64" s="184" t="str">
        <f>IF(G64="","",VLOOKUP(G64,ダッシュボード!$R$40:$S$44,2,FALSE()))</f>
        <v>良い</v>
      </c>
      <c r="I64" s="470"/>
      <c r="J64" s="471"/>
      <c r="K64" s="471"/>
      <c r="L64" s="472"/>
      <c r="M64" s="36"/>
      <c r="N64" s="298">
        <v>1</v>
      </c>
      <c r="O64" s="83" t="s">
        <v>115</v>
      </c>
      <c r="P64" s="294">
        <v>1</v>
      </c>
      <c r="Q64" s="84" t="s">
        <v>120</v>
      </c>
      <c r="R64" s="294">
        <v>1</v>
      </c>
      <c r="S64" s="173" t="s">
        <v>130</v>
      </c>
      <c r="T64" s="36"/>
      <c r="U64" s="36"/>
      <c r="V64" s="36"/>
    </row>
    <row r="65" spans="1:22" ht="18.600000000000001" thickBot="1">
      <c r="A65" s="168">
        <f ca="1"/>
        <v>45956</v>
      </c>
      <c r="B65" s="222" t="str">
        <f ca="1"/>
        <v/>
      </c>
      <c r="C65" s="226">
        <v>1</v>
      </c>
      <c r="D65" s="225" t="str">
        <f>IF(C65="","",VLOOKUP(C65,ダッシュボード!$N$40:$O$44,2,FALSE()))</f>
        <v>晴れ</v>
      </c>
      <c r="E65" s="229">
        <v>1</v>
      </c>
      <c r="F65" s="184" t="str">
        <f>IF(E65="","",VLOOKUP(E65,ダッシュボード!$P$40:$Q$44,2,FALSE()))</f>
        <v>ない</v>
      </c>
      <c r="G65" s="229">
        <v>2</v>
      </c>
      <c r="H65" s="184" t="str">
        <f>IF(G65="","",VLOOKUP(G65,ダッシュボード!$R$40:$S$44,2,FALSE()))</f>
        <v>良い</v>
      </c>
      <c r="I65" s="470"/>
      <c r="J65" s="471"/>
      <c r="K65" s="471"/>
      <c r="L65" s="472"/>
      <c r="M65" s="36"/>
      <c r="N65" s="299">
        <v>2</v>
      </c>
      <c r="O65" s="85" t="s">
        <v>116</v>
      </c>
      <c r="P65" s="295">
        <v>2</v>
      </c>
      <c r="Q65" s="84" t="s">
        <v>121</v>
      </c>
      <c r="R65" s="295">
        <v>2</v>
      </c>
      <c r="S65" s="173" t="s">
        <v>127</v>
      </c>
      <c r="T65" s="36"/>
      <c r="U65" s="36"/>
      <c r="V65" s="36"/>
    </row>
    <row r="66" spans="1:22" ht="18.600000000000001" thickBot="1">
      <c r="A66" s="168">
        <f ca="1"/>
        <v>45957</v>
      </c>
      <c r="B66" s="222" t="str">
        <f ca="1"/>
        <v/>
      </c>
      <c r="C66" s="226">
        <v>3</v>
      </c>
      <c r="D66" s="225" t="str">
        <f>IF(C66="","",VLOOKUP(C66,ダッシュボード!$N$40:$O$44,2,FALSE()))</f>
        <v>雨</v>
      </c>
      <c r="E66" s="229">
        <v>2</v>
      </c>
      <c r="F66" s="184" t="str">
        <f>IF(E66="","",VLOOKUP(E66,ダッシュボード!$P$40:$Q$44,2,FALSE()))</f>
        <v>少しある</v>
      </c>
      <c r="G66" s="229">
        <v>3</v>
      </c>
      <c r="H66" s="184" t="str">
        <f>IF(G66="","",VLOOKUP(G66,ダッシュボード!$R$40:$S$44,2,FALSE()))</f>
        <v>普通</v>
      </c>
      <c r="I66" s="470"/>
      <c r="J66" s="471"/>
      <c r="K66" s="471"/>
      <c r="L66" s="472"/>
      <c r="M66" s="36"/>
      <c r="N66" s="299">
        <v>3</v>
      </c>
      <c r="O66" s="85" t="s">
        <v>117</v>
      </c>
      <c r="P66" s="295">
        <v>3</v>
      </c>
      <c r="Q66" s="84" t="s">
        <v>122</v>
      </c>
      <c r="R66" s="295">
        <v>3</v>
      </c>
      <c r="S66" s="173" t="s">
        <v>128</v>
      </c>
      <c r="T66" s="36"/>
      <c r="U66" s="36"/>
      <c r="V66" s="36"/>
    </row>
    <row r="67" spans="1:22" ht="18.600000000000001" thickBot="1">
      <c r="A67" s="168">
        <f ca="1"/>
        <v>45958</v>
      </c>
      <c r="B67" s="222" t="str">
        <f ca="1"/>
        <v/>
      </c>
      <c r="C67" s="226">
        <v>2</v>
      </c>
      <c r="D67" s="225" t="str">
        <f>IF(C67="","",VLOOKUP(C67,ダッシュボード!$N$40:$O$44,2,FALSE()))</f>
        <v>曇り</v>
      </c>
      <c r="E67" s="229">
        <v>3</v>
      </c>
      <c r="F67" s="184" t="str">
        <f>IF(E67="","",VLOOKUP(E67,ダッシュボード!$P$40:$Q$44,2,FALSE()))</f>
        <v>かなりある</v>
      </c>
      <c r="G67" s="229">
        <v>2</v>
      </c>
      <c r="H67" s="184" t="str">
        <f>IF(G67="","",VLOOKUP(G67,ダッシュボード!$R$40:$S$44,2,FALSE()))</f>
        <v>良い</v>
      </c>
      <c r="I67" s="470"/>
      <c r="J67" s="471"/>
      <c r="K67" s="471"/>
      <c r="L67" s="472"/>
      <c r="M67" s="36"/>
      <c r="N67" s="299">
        <v>4</v>
      </c>
      <c r="O67" s="85" t="s">
        <v>118</v>
      </c>
      <c r="P67" s="295">
        <v>4</v>
      </c>
      <c r="Q67" s="84"/>
      <c r="R67" s="295">
        <v>4</v>
      </c>
      <c r="S67" s="173" t="s">
        <v>129</v>
      </c>
      <c r="T67" s="36"/>
      <c r="U67" s="36"/>
      <c r="V67" s="36"/>
    </row>
    <row r="68" spans="1:22" ht="18.600000000000001" thickBot="1">
      <c r="A68" s="168">
        <f ca="1"/>
        <v>45959</v>
      </c>
      <c r="B68" s="222" t="str">
        <f ca="1"/>
        <v/>
      </c>
      <c r="C68" s="226">
        <v>1</v>
      </c>
      <c r="D68" s="225" t="str">
        <f>IF(C68="","",VLOOKUP(C68,ダッシュボード!$N$40:$O$44,2,FALSE()))</f>
        <v>晴れ</v>
      </c>
      <c r="E68" s="229">
        <v>1</v>
      </c>
      <c r="F68" s="184" t="str">
        <f>IF(E68="","",VLOOKUP(E68,ダッシュボード!$P$40:$Q$44,2,FALSE()))</f>
        <v>ない</v>
      </c>
      <c r="G68" s="229">
        <v>2</v>
      </c>
      <c r="H68" s="184" t="str">
        <f>IF(G68="","",VLOOKUP(G68,ダッシュボード!$R$40:$S$44,2,FALSE()))</f>
        <v>良い</v>
      </c>
      <c r="I68" s="470"/>
      <c r="J68" s="471"/>
      <c r="K68" s="471"/>
      <c r="L68" s="472"/>
      <c r="M68" s="36"/>
      <c r="N68" s="300">
        <v>5</v>
      </c>
      <c r="O68" s="174" t="s">
        <v>119</v>
      </c>
      <c r="P68" s="302">
        <v>5</v>
      </c>
      <c r="Q68" s="175"/>
      <c r="R68" s="302">
        <v>5</v>
      </c>
      <c r="S68" s="176" t="s">
        <v>131</v>
      </c>
      <c r="T68" s="36"/>
      <c r="U68" s="36"/>
      <c r="V68" s="36"/>
    </row>
    <row r="69" spans="1:22" ht="18.600000000000001" thickBot="1">
      <c r="A69" s="168">
        <f ca="1"/>
        <v>45960</v>
      </c>
      <c r="B69" s="222" t="str">
        <f ca="1"/>
        <v/>
      </c>
      <c r="C69" s="226">
        <v>1</v>
      </c>
      <c r="D69" s="225" t="str">
        <f>IF(C69="","",VLOOKUP(C69,ダッシュボード!$N$40:$O$44,2,FALSE()))</f>
        <v>晴れ</v>
      </c>
      <c r="E69" s="229">
        <v>1</v>
      </c>
      <c r="F69" s="184" t="str">
        <f>IF(E69="","",VLOOKUP(E69,ダッシュボード!$P$40:$Q$44,2,FALSE()))</f>
        <v>ない</v>
      </c>
      <c r="G69" s="229">
        <v>2</v>
      </c>
      <c r="H69" s="184" t="str">
        <f>IF(G69="","",VLOOKUP(G69,ダッシュボード!$R$40:$S$44,2,FALSE()))</f>
        <v>良い</v>
      </c>
      <c r="I69" s="470" t="s">
        <v>318</v>
      </c>
      <c r="J69" s="471"/>
      <c r="K69" s="471"/>
      <c r="L69" s="472"/>
      <c r="M69" s="36"/>
      <c r="N69" s="81"/>
      <c r="O69" s="81"/>
      <c r="P69" s="81"/>
      <c r="Q69" s="81"/>
      <c r="R69" s="81"/>
      <c r="S69" s="81"/>
      <c r="T69" s="36"/>
      <c r="U69" s="36"/>
      <c r="V69" s="36"/>
    </row>
    <row r="70" spans="1:22" ht="18.600000000000001" thickBot="1">
      <c r="A70" s="169">
        <f ca="1"/>
        <v>45961</v>
      </c>
      <c r="B70" s="223" t="str">
        <f ca="1"/>
        <v/>
      </c>
      <c r="C70" s="227"/>
      <c r="D70" s="228" t="str">
        <f>IF(C70="","",VLOOKUP(C70,ダッシュボード!$N$40:$O$44,2,FALSE()))</f>
        <v/>
      </c>
      <c r="E70" s="230"/>
      <c r="F70" s="185" t="str">
        <f>IF(E70="","",VLOOKUP(E70,ダッシュボード!$P$40:$Q$44,2,FALSE()))</f>
        <v/>
      </c>
      <c r="G70" s="230"/>
      <c r="H70" s="185" t="str">
        <f>IF(G70="","",VLOOKUP(G70,ダッシュボード!$R$40:$S$44,2,FALSE()))</f>
        <v/>
      </c>
      <c r="I70" s="473"/>
      <c r="J70" s="474"/>
      <c r="K70" s="474"/>
      <c r="L70" s="475"/>
      <c r="M70" s="36"/>
      <c r="N70" s="81"/>
      <c r="O70" s="81"/>
      <c r="P70" s="81"/>
      <c r="Q70" s="81"/>
      <c r="R70" s="81"/>
      <c r="S70" s="81"/>
      <c r="T70" s="36"/>
      <c r="U70" s="36"/>
      <c r="V70" s="36"/>
    </row>
    <row r="71" spans="1:22" ht="18.600000000000001" thickBot="1">
      <c r="A71" s="183" t="s">
        <v>135</v>
      </c>
      <c r="B71" s="183" t="s">
        <v>113</v>
      </c>
      <c r="C71" s="289" t="s">
        <v>148</v>
      </c>
      <c r="D71" s="219" t="s">
        <v>147</v>
      </c>
      <c r="E71" s="290" t="s">
        <v>149</v>
      </c>
      <c r="F71" s="219" t="s">
        <v>150</v>
      </c>
      <c r="G71" s="290" t="s">
        <v>151</v>
      </c>
      <c r="H71" s="219" t="s">
        <v>152</v>
      </c>
      <c r="I71" s="467" t="s">
        <v>134</v>
      </c>
      <c r="J71" s="468"/>
      <c r="K71" s="468"/>
      <c r="L71" s="469"/>
      <c r="M71" s="36"/>
      <c r="N71" s="81"/>
      <c r="O71" s="81"/>
      <c r="P71" s="81"/>
      <c r="Q71" s="81"/>
      <c r="R71" s="81"/>
      <c r="S71" s="81"/>
      <c r="T71" s="36"/>
      <c r="U71" s="36"/>
      <c r="V71" s="36"/>
    </row>
    <row r="72" spans="1:22">
      <c r="A72" s="88"/>
      <c r="B72" s="36"/>
      <c r="C72" s="36"/>
      <c r="D72" s="36"/>
      <c r="E72" s="36"/>
      <c r="F72" s="36"/>
      <c r="G72" s="36"/>
      <c r="H72" s="36"/>
      <c r="I72" s="36"/>
      <c r="J72" s="36"/>
      <c r="K72" s="36"/>
      <c r="L72" s="36"/>
      <c r="M72" s="36"/>
      <c r="N72" s="81"/>
      <c r="O72" s="81"/>
      <c r="P72" s="81"/>
      <c r="Q72" s="81"/>
      <c r="R72" s="81"/>
      <c r="S72" s="81"/>
      <c r="T72" s="36"/>
      <c r="U72" s="36"/>
      <c r="V72" s="36"/>
    </row>
    <row r="73" spans="1:22" ht="18.600000000000001" thickBot="1">
      <c r="A73" s="65" t="s">
        <v>90</v>
      </c>
      <c r="B73" s="36"/>
      <c r="C73" s="36"/>
      <c r="D73" s="36"/>
      <c r="E73" s="36"/>
      <c r="F73" s="36"/>
      <c r="G73" s="36"/>
      <c r="H73" s="36"/>
      <c r="I73" s="36"/>
      <c r="J73" s="36"/>
      <c r="K73" s="36"/>
      <c r="L73" s="36"/>
      <c r="M73" s="36"/>
      <c r="N73" s="81"/>
      <c r="O73" s="81"/>
      <c r="P73" s="81"/>
      <c r="Q73" s="81"/>
      <c r="R73" s="81"/>
      <c r="S73" s="81"/>
      <c r="T73" s="36"/>
      <c r="U73" s="36"/>
      <c r="V73" s="36"/>
    </row>
    <row r="74" spans="1:22" ht="40.950000000000003" customHeight="1" thickTop="1">
      <c r="A74" s="157" t="s">
        <v>159</v>
      </c>
      <c r="B74" s="46"/>
      <c r="C74" s="46"/>
      <c r="D74" s="46"/>
      <c r="E74" s="46"/>
      <c r="F74" s="35" t="s">
        <v>160</v>
      </c>
      <c r="G74" s="46"/>
      <c r="H74" s="46"/>
      <c r="I74" s="35" t="s">
        <v>254</v>
      </c>
      <c r="J74" s="46"/>
      <c r="K74" s="46"/>
      <c r="L74" s="35" t="s">
        <v>259</v>
      </c>
      <c r="M74" s="46"/>
      <c r="N74" s="46"/>
      <c r="O74" s="46"/>
      <c r="P74" s="46"/>
      <c r="Q74" s="46"/>
      <c r="R74" s="46"/>
      <c r="S74" s="46"/>
      <c r="T74" s="46"/>
      <c r="U74" s="46"/>
      <c r="V74" s="46"/>
    </row>
    <row r="75" spans="1:22" ht="17.399999999999999" customHeight="1">
      <c r="A75" s="81"/>
      <c r="B75" s="36"/>
      <c r="C75" s="36"/>
      <c r="D75" s="36"/>
      <c r="E75" s="36"/>
      <c r="F75" s="36"/>
      <c r="G75" s="36"/>
      <c r="H75" s="36"/>
      <c r="I75" s="36"/>
      <c r="J75" s="36"/>
      <c r="K75" s="36"/>
      <c r="L75" s="36"/>
      <c r="M75" s="36"/>
      <c r="N75" s="36"/>
      <c r="O75" s="36"/>
      <c r="P75" s="36"/>
      <c r="Q75" s="36"/>
      <c r="R75" s="36"/>
      <c r="S75" s="36"/>
      <c r="T75" s="36"/>
      <c r="U75" s="36"/>
      <c r="V75" s="36"/>
    </row>
    <row r="76" spans="1:22" ht="17.399999999999999" customHeight="1">
      <c r="A76" s="81"/>
      <c r="B76" s="36"/>
      <c r="C76" s="36"/>
      <c r="D76" s="36"/>
      <c r="E76" s="36"/>
      <c r="F76" s="36"/>
      <c r="G76" s="36"/>
      <c r="H76" s="36"/>
      <c r="I76" s="36"/>
      <c r="J76" s="36"/>
      <c r="K76" s="36"/>
      <c r="L76" s="36"/>
      <c r="M76" s="36"/>
      <c r="N76" s="36"/>
      <c r="O76" s="36"/>
      <c r="P76" s="36"/>
      <c r="Q76" s="36"/>
      <c r="R76" s="36"/>
      <c r="S76" s="36"/>
      <c r="T76" s="36"/>
      <c r="U76" s="36"/>
      <c r="V76" s="36"/>
    </row>
    <row r="77" spans="1:22" ht="17.399999999999999" customHeight="1">
      <c r="A77" s="81"/>
      <c r="B77" s="36"/>
      <c r="C77" s="36"/>
      <c r="D77" s="36"/>
      <c r="E77" s="36"/>
      <c r="F77" s="36"/>
      <c r="G77" s="36"/>
      <c r="H77" s="36"/>
      <c r="I77" s="36"/>
      <c r="J77" s="36"/>
      <c r="K77" s="36"/>
      <c r="L77" s="36"/>
      <c r="M77" s="36"/>
      <c r="N77" s="36"/>
      <c r="O77" s="36"/>
      <c r="P77" s="36"/>
      <c r="Q77" s="36"/>
      <c r="R77" s="36"/>
      <c r="S77" s="36"/>
      <c r="T77" s="36"/>
      <c r="U77" s="36"/>
      <c r="V77" s="36"/>
    </row>
    <row r="78" spans="1:22" ht="17.399999999999999" customHeight="1">
      <c r="A78" s="81"/>
      <c r="B78" s="36"/>
      <c r="C78" s="36"/>
      <c r="D78" s="36"/>
      <c r="E78" s="36"/>
      <c r="F78" s="36"/>
      <c r="G78" s="36"/>
      <c r="H78" s="36"/>
      <c r="I78" s="36"/>
      <c r="J78" s="36"/>
      <c r="K78" s="36"/>
      <c r="L78" s="36"/>
      <c r="M78" s="36"/>
      <c r="N78" s="36"/>
      <c r="O78" s="36"/>
      <c r="P78" s="36"/>
      <c r="Q78" s="36"/>
      <c r="R78" s="36"/>
      <c r="S78" s="36"/>
      <c r="T78" s="36"/>
      <c r="U78" s="36"/>
      <c r="V78" s="36"/>
    </row>
    <row r="79" spans="1:22" ht="17.399999999999999" customHeight="1">
      <c r="A79" s="81"/>
      <c r="B79" s="36"/>
      <c r="C79" s="36"/>
      <c r="D79" s="36"/>
      <c r="E79" s="36"/>
      <c r="F79" s="36"/>
      <c r="G79" s="36"/>
      <c r="H79" s="36"/>
      <c r="I79" s="36"/>
      <c r="J79" s="36"/>
      <c r="K79" s="36"/>
      <c r="L79" s="36"/>
      <c r="M79" s="36"/>
      <c r="N79" s="36"/>
      <c r="O79" s="36"/>
      <c r="P79" s="36"/>
      <c r="Q79" s="36"/>
      <c r="R79" s="36"/>
      <c r="S79" s="36"/>
      <c r="T79" s="36"/>
      <c r="U79" s="36"/>
      <c r="V79" s="36"/>
    </row>
    <row r="80" spans="1:22" ht="17.399999999999999" customHeight="1">
      <c r="A80" s="81"/>
      <c r="B80" s="36"/>
      <c r="C80" s="36"/>
      <c r="D80" s="36"/>
      <c r="E80" s="36"/>
      <c r="F80" s="36"/>
      <c r="G80" s="36"/>
      <c r="H80" s="36"/>
      <c r="I80" s="36"/>
      <c r="J80" s="36"/>
      <c r="K80" s="36"/>
      <c r="L80" s="36"/>
      <c r="M80" s="36"/>
      <c r="N80" s="36"/>
      <c r="O80" s="36"/>
      <c r="P80" s="36"/>
      <c r="Q80" s="36"/>
      <c r="R80" s="36"/>
      <c r="S80" s="36"/>
      <c r="T80" s="36"/>
      <c r="U80" s="36"/>
      <c r="V80" s="36"/>
    </row>
    <row r="81" spans="1:22" ht="17.399999999999999" customHeight="1">
      <c r="A81" s="81"/>
      <c r="B81" s="36"/>
      <c r="C81" s="36"/>
      <c r="D81" s="36"/>
      <c r="E81" s="36"/>
      <c r="F81" s="36"/>
      <c r="G81" s="36"/>
      <c r="H81" s="36"/>
      <c r="I81" s="36"/>
      <c r="J81" s="36"/>
      <c r="K81" s="36"/>
      <c r="L81" s="36"/>
      <c r="M81" s="36"/>
      <c r="N81" s="36"/>
      <c r="O81" s="36"/>
      <c r="P81" s="36"/>
      <c r="Q81" s="36"/>
      <c r="R81" s="36"/>
      <c r="S81" s="36"/>
      <c r="T81" s="36"/>
      <c r="U81" s="36"/>
      <c r="V81" s="36"/>
    </row>
    <row r="82" spans="1:22" ht="17.399999999999999" customHeight="1">
      <c r="A82" s="81"/>
      <c r="B82" s="36"/>
      <c r="C82" s="36"/>
      <c r="D82" s="36"/>
      <c r="E82" s="36"/>
      <c r="F82" s="36"/>
      <c r="G82" s="36"/>
      <c r="H82" s="36"/>
      <c r="I82" s="36"/>
      <c r="J82" s="36"/>
      <c r="K82" s="36"/>
      <c r="L82" s="36"/>
      <c r="M82" s="36"/>
      <c r="N82" s="36"/>
      <c r="O82" s="36"/>
      <c r="P82" s="36"/>
      <c r="Q82" s="36"/>
      <c r="R82" s="36"/>
      <c r="S82" s="36"/>
      <c r="T82" s="36"/>
      <c r="U82" s="36"/>
      <c r="V82" s="36"/>
    </row>
    <row r="83" spans="1:22" ht="17.399999999999999" customHeight="1">
      <c r="A83" s="81"/>
      <c r="B83" s="36"/>
      <c r="C83" s="36"/>
      <c r="D83" s="36"/>
      <c r="E83" s="36"/>
      <c r="F83" s="36"/>
      <c r="G83" s="36"/>
      <c r="H83" s="36"/>
      <c r="I83" s="36"/>
      <c r="J83" s="36"/>
      <c r="K83" s="36"/>
      <c r="L83" s="36"/>
      <c r="M83" s="36"/>
      <c r="N83" s="36"/>
      <c r="O83" s="36"/>
      <c r="P83" s="36"/>
      <c r="Q83" s="36"/>
      <c r="R83" s="36"/>
      <c r="S83" s="36"/>
      <c r="T83" s="36"/>
      <c r="U83" s="36"/>
      <c r="V83" s="36"/>
    </row>
    <row r="84" spans="1:22" ht="17.399999999999999" customHeight="1">
      <c r="A84" s="81"/>
      <c r="B84" s="36"/>
      <c r="C84" s="36"/>
      <c r="D84" s="36"/>
      <c r="E84" s="36"/>
      <c r="F84" s="36"/>
      <c r="G84" s="36"/>
      <c r="H84" s="36"/>
      <c r="I84" s="36"/>
      <c r="J84" s="36"/>
      <c r="K84" s="36"/>
      <c r="L84" s="36"/>
      <c r="M84" s="36"/>
      <c r="N84" s="36"/>
      <c r="O84" s="36"/>
      <c r="P84" s="36"/>
      <c r="Q84" s="36"/>
      <c r="R84" s="36"/>
      <c r="S84" s="36"/>
      <c r="T84" s="36"/>
      <c r="U84" s="36"/>
      <c r="V84" s="36"/>
    </row>
    <row r="85" spans="1:22" ht="17.399999999999999" customHeight="1">
      <c r="A85" s="81"/>
      <c r="B85" s="36"/>
      <c r="C85" s="36"/>
      <c r="D85" s="36"/>
      <c r="E85" s="36"/>
      <c r="F85" s="36"/>
      <c r="G85" s="36"/>
      <c r="H85" s="36"/>
      <c r="I85" s="36"/>
      <c r="J85" s="36"/>
      <c r="K85" s="36"/>
      <c r="L85" s="36"/>
      <c r="M85" s="36"/>
      <c r="N85" s="36"/>
      <c r="O85" s="36"/>
      <c r="P85" s="36"/>
      <c r="Q85" s="36"/>
      <c r="R85" s="36"/>
      <c r="S85" s="36"/>
      <c r="T85" s="36"/>
      <c r="U85" s="36"/>
      <c r="V85" s="36"/>
    </row>
    <row r="86" spans="1:22" ht="17.399999999999999" customHeight="1">
      <c r="A86" s="81"/>
      <c r="B86" s="36"/>
      <c r="C86" s="36"/>
      <c r="D86" s="36"/>
      <c r="E86" s="36"/>
      <c r="F86" s="36"/>
      <c r="G86" s="36"/>
      <c r="H86" s="36"/>
      <c r="I86" s="36"/>
      <c r="J86" s="36"/>
      <c r="K86" s="36"/>
      <c r="L86" s="36"/>
      <c r="M86" s="36"/>
      <c r="N86" s="36"/>
      <c r="O86" s="36"/>
      <c r="P86" s="36"/>
      <c r="Q86" s="36"/>
      <c r="R86" s="36"/>
      <c r="S86" s="36"/>
      <c r="T86" s="36"/>
      <c r="U86" s="36"/>
      <c r="V86" s="36"/>
    </row>
    <row r="87" spans="1:22" ht="17.399999999999999" customHeight="1">
      <c r="A87" s="81"/>
      <c r="B87" s="36"/>
      <c r="C87" s="36"/>
      <c r="D87" s="36"/>
      <c r="E87" s="36"/>
      <c r="F87" s="36"/>
      <c r="G87" s="36"/>
      <c r="H87" s="36"/>
      <c r="I87" s="36"/>
      <c r="J87" s="36"/>
      <c r="K87" s="36"/>
      <c r="L87" s="36"/>
      <c r="M87" s="36"/>
      <c r="N87" s="36"/>
      <c r="O87" s="36"/>
      <c r="P87" s="36"/>
      <c r="Q87" s="36"/>
      <c r="R87" s="36"/>
      <c r="S87" s="36"/>
      <c r="T87" s="36"/>
      <c r="U87" s="36"/>
      <c r="V87" s="36"/>
    </row>
    <row r="88" spans="1:22" ht="17.399999999999999" customHeight="1">
      <c r="A88" s="81"/>
      <c r="B88" s="36"/>
      <c r="C88" s="36"/>
      <c r="D88" s="36"/>
      <c r="E88" s="36"/>
      <c r="F88" s="36"/>
      <c r="G88" s="36"/>
      <c r="H88" s="36"/>
      <c r="I88" s="36"/>
      <c r="J88" s="36"/>
      <c r="K88" s="36"/>
      <c r="L88" s="36"/>
      <c r="M88" s="36"/>
      <c r="N88" s="36"/>
      <c r="O88" s="36"/>
      <c r="P88" s="36"/>
      <c r="Q88" s="36"/>
      <c r="R88" s="36"/>
      <c r="S88" s="36"/>
      <c r="T88" s="36"/>
      <c r="U88" s="36"/>
      <c r="V88" s="36"/>
    </row>
    <row r="89" spans="1:22" ht="17.399999999999999" customHeight="1">
      <c r="A89" s="81"/>
      <c r="B89" s="36"/>
      <c r="C89" s="36"/>
      <c r="D89" s="36"/>
      <c r="E89" s="36"/>
      <c r="F89" s="36"/>
      <c r="G89" s="36"/>
      <c r="H89" s="36"/>
      <c r="I89" s="36"/>
      <c r="J89" s="36"/>
      <c r="K89" s="36"/>
      <c r="L89" s="36"/>
      <c r="M89" s="36"/>
      <c r="N89" s="36"/>
      <c r="O89" s="36"/>
      <c r="P89" s="36"/>
      <c r="Q89" s="36"/>
      <c r="R89" s="36"/>
      <c r="S89" s="36"/>
      <c r="T89" s="36"/>
      <c r="U89" s="36"/>
      <c r="V89" s="36"/>
    </row>
    <row r="90" spans="1:22" ht="17.399999999999999" customHeight="1">
      <c r="A90" s="81"/>
      <c r="B90" s="36"/>
      <c r="C90" s="36"/>
      <c r="D90" s="36"/>
      <c r="E90" s="36"/>
      <c r="F90" s="36"/>
      <c r="G90" s="36"/>
      <c r="H90" s="36"/>
      <c r="I90" s="36"/>
      <c r="J90" s="36"/>
      <c r="K90" s="36"/>
      <c r="L90" s="36"/>
      <c r="M90" s="36"/>
      <c r="N90" s="36"/>
      <c r="O90" s="36"/>
      <c r="P90" s="36"/>
      <c r="Q90" s="36"/>
      <c r="R90" s="36"/>
      <c r="S90" s="36"/>
      <c r="T90" s="36"/>
      <c r="U90" s="36"/>
      <c r="V90" s="36"/>
    </row>
    <row r="91" spans="1:22" ht="17.399999999999999" customHeight="1">
      <c r="A91" s="81"/>
      <c r="B91" s="36"/>
      <c r="C91" s="36"/>
      <c r="D91" s="36"/>
      <c r="E91" s="36"/>
      <c r="F91" s="36"/>
      <c r="G91" s="36"/>
      <c r="H91" s="36"/>
      <c r="I91" s="36"/>
      <c r="J91" s="36"/>
      <c r="K91" s="36"/>
      <c r="L91" s="36"/>
      <c r="M91" s="36"/>
      <c r="N91" s="36"/>
      <c r="O91" s="36"/>
      <c r="P91" s="36"/>
      <c r="Q91" s="36"/>
      <c r="R91" s="36"/>
      <c r="S91" s="36"/>
      <c r="T91" s="36"/>
      <c r="U91" s="36"/>
      <c r="V91" s="36"/>
    </row>
    <row r="92" spans="1:22" ht="17.399999999999999" customHeight="1">
      <c r="A92" s="81"/>
      <c r="B92" s="36"/>
      <c r="C92" s="36"/>
      <c r="D92" s="36"/>
      <c r="E92" s="36"/>
      <c r="F92" s="36"/>
      <c r="G92" s="36"/>
      <c r="H92" s="36"/>
      <c r="I92" s="36"/>
      <c r="J92" s="36"/>
      <c r="K92" s="36"/>
      <c r="L92" s="36"/>
      <c r="M92" s="36"/>
      <c r="N92" s="36"/>
      <c r="O92" s="36"/>
      <c r="P92" s="36"/>
      <c r="Q92" s="36"/>
      <c r="R92" s="36"/>
      <c r="S92" s="36"/>
      <c r="T92" s="36"/>
      <c r="U92" s="36"/>
      <c r="V92" s="36"/>
    </row>
    <row r="93" spans="1:22" ht="17.399999999999999" customHeight="1">
      <c r="A93" s="81"/>
      <c r="B93" s="36"/>
      <c r="C93" s="36"/>
      <c r="D93" s="36"/>
      <c r="E93" s="36"/>
      <c r="F93" s="36"/>
      <c r="G93" s="36"/>
      <c r="H93" s="36"/>
      <c r="I93" s="36"/>
      <c r="J93" s="36"/>
      <c r="K93" s="36"/>
      <c r="L93" s="36"/>
      <c r="M93" s="36"/>
      <c r="N93" s="36"/>
      <c r="O93" s="36"/>
      <c r="P93" s="36"/>
      <c r="Q93" s="36"/>
      <c r="R93" s="36"/>
      <c r="S93" s="36"/>
      <c r="T93" s="36"/>
      <c r="U93" s="36"/>
      <c r="V93" s="36"/>
    </row>
    <row r="94" spans="1:22" ht="17.399999999999999" customHeight="1">
      <c r="A94" s="81"/>
      <c r="B94" s="36"/>
      <c r="C94" s="36"/>
      <c r="D94" s="36"/>
      <c r="E94" s="36"/>
      <c r="F94" s="36"/>
      <c r="G94" s="36"/>
      <c r="H94" s="36"/>
      <c r="I94" s="36"/>
      <c r="J94" s="36"/>
      <c r="K94" s="36"/>
      <c r="L94" s="36"/>
      <c r="M94" s="36"/>
      <c r="N94" s="36"/>
      <c r="O94" s="36"/>
      <c r="P94" s="36"/>
      <c r="Q94" s="36"/>
      <c r="R94" s="36"/>
      <c r="S94" s="36"/>
      <c r="T94" s="36"/>
      <c r="U94" s="36"/>
      <c r="V94" s="36"/>
    </row>
    <row r="95" spans="1:22">
      <c r="A95" s="81"/>
      <c r="B95" s="36"/>
      <c r="C95" s="36"/>
      <c r="D95" s="36"/>
      <c r="E95" s="36"/>
      <c r="F95" s="36"/>
      <c r="G95" s="36"/>
      <c r="H95" s="36"/>
      <c r="I95" s="36"/>
      <c r="J95" s="36"/>
      <c r="K95" s="36"/>
      <c r="L95" s="36"/>
      <c r="M95" s="36"/>
      <c r="N95" s="36"/>
      <c r="O95" s="36"/>
      <c r="P95" s="36"/>
      <c r="Q95" s="36"/>
      <c r="R95" s="36"/>
      <c r="S95" s="36"/>
      <c r="T95" s="36"/>
      <c r="U95" s="36"/>
      <c r="V95" s="36"/>
    </row>
    <row r="96" spans="1:22" ht="18.600000000000001" thickBot="1">
      <c r="A96" s="65" t="s">
        <v>90</v>
      </c>
      <c r="B96" s="36"/>
      <c r="C96" s="36"/>
      <c r="D96" s="36"/>
      <c r="E96" s="36"/>
      <c r="F96" s="36"/>
      <c r="G96" s="36"/>
      <c r="H96" s="36"/>
      <c r="I96" s="36"/>
      <c r="J96" s="36"/>
      <c r="K96" s="36"/>
      <c r="L96" s="36"/>
      <c r="M96" s="36"/>
      <c r="N96" s="36"/>
      <c r="O96" s="36"/>
      <c r="P96" s="36"/>
      <c r="Q96" s="36"/>
      <c r="R96" s="36"/>
      <c r="S96" s="36"/>
      <c r="T96" s="36"/>
      <c r="U96" s="36"/>
      <c r="V96" s="36"/>
    </row>
    <row r="97" spans="1:22" ht="40.950000000000003" customHeight="1" thickTop="1">
      <c r="A97" s="157" t="s">
        <v>261</v>
      </c>
      <c r="B97" s="46"/>
      <c r="C97" s="35" t="s">
        <v>262</v>
      </c>
      <c r="D97" s="46"/>
      <c r="E97" s="46"/>
      <c r="F97" s="46"/>
      <c r="G97" s="46"/>
      <c r="H97" s="46"/>
      <c r="I97" s="46"/>
      <c r="J97" s="46"/>
      <c r="K97" s="46"/>
      <c r="L97" s="46"/>
      <c r="M97" s="46"/>
      <c r="N97" s="46"/>
      <c r="O97" s="46"/>
      <c r="P97" s="46"/>
      <c r="Q97" s="46"/>
      <c r="R97" s="46"/>
      <c r="S97" s="46"/>
      <c r="T97" s="46"/>
      <c r="U97" s="46"/>
      <c r="V97" s="46"/>
    </row>
    <row r="98" spans="1:22">
      <c r="A98" s="36"/>
      <c r="B98" s="36"/>
      <c r="C98" s="36"/>
      <c r="D98" s="36"/>
      <c r="E98" s="36"/>
      <c r="F98" s="36"/>
      <c r="G98" s="36"/>
      <c r="H98" s="36"/>
      <c r="I98" s="36"/>
      <c r="J98" s="36"/>
      <c r="K98" s="36"/>
      <c r="L98" s="36"/>
      <c r="M98" s="36"/>
      <c r="N98" s="36"/>
      <c r="O98" s="36"/>
      <c r="P98" s="36"/>
      <c r="Q98" s="36"/>
      <c r="R98" s="36"/>
      <c r="S98" s="36"/>
      <c r="T98" s="36"/>
      <c r="U98" s="36"/>
      <c r="V98" s="36"/>
    </row>
    <row r="99" spans="1:22">
      <c r="A99" s="81"/>
      <c r="B99" s="36"/>
      <c r="C99" s="36"/>
      <c r="D99" s="36"/>
      <c r="E99" s="36"/>
      <c r="F99" s="36"/>
      <c r="G99" s="36"/>
      <c r="H99" s="36"/>
      <c r="I99" s="36"/>
      <c r="J99" s="36"/>
      <c r="K99" s="36"/>
      <c r="L99" s="36"/>
      <c r="M99" s="36"/>
      <c r="N99" s="36"/>
      <c r="O99" s="36"/>
      <c r="P99" s="36"/>
      <c r="Q99" s="36"/>
      <c r="R99" s="36"/>
      <c r="S99" s="36"/>
      <c r="T99" s="36"/>
      <c r="U99" s="36"/>
      <c r="V99" s="36"/>
    </row>
    <row r="100" spans="1:22">
      <c r="A100" s="335"/>
      <c r="B100" s="36"/>
      <c r="C100" s="36"/>
      <c r="D100" s="36"/>
      <c r="E100" s="36"/>
      <c r="F100" s="36"/>
      <c r="G100" s="36"/>
      <c r="H100" s="36"/>
      <c r="I100" s="36"/>
      <c r="J100" s="36"/>
      <c r="K100" s="36"/>
      <c r="L100" s="36"/>
      <c r="M100" s="36"/>
      <c r="N100" s="36"/>
      <c r="O100" s="36"/>
      <c r="P100" s="36"/>
      <c r="Q100" s="36"/>
      <c r="R100" s="36"/>
      <c r="S100" s="36"/>
      <c r="T100" s="36"/>
      <c r="U100" s="36"/>
      <c r="V100" s="36"/>
    </row>
    <row r="101" spans="1:22">
      <c r="A101" s="36"/>
      <c r="B101" s="36"/>
      <c r="C101" s="36"/>
      <c r="D101" s="36"/>
      <c r="E101" s="36"/>
      <c r="F101" s="36"/>
      <c r="G101" s="36"/>
      <c r="H101" s="36"/>
      <c r="I101" s="36"/>
      <c r="J101" s="36"/>
      <c r="K101" s="36"/>
      <c r="L101" s="36"/>
      <c r="M101" s="36"/>
      <c r="N101" s="36"/>
      <c r="O101" s="36"/>
      <c r="P101" s="36"/>
      <c r="Q101" s="36"/>
      <c r="R101" s="36"/>
      <c r="S101" s="36"/>
      <c r="T101" s="36"/>
      <c r="U101" s="36"/>
      <c r="V101" s="36"/>
    </row>
    <row r="102" spans="1:22">
      <c r="A102" s="36"/>
      <c r="B102" s="36"/>
      <c r="C102" s="36"/>
      <c r="D102" s="36"/>
      <c r="E102" s="36"/>
      <c r="F102" s="36"/>
      <c r="G102" s="36"/>
      <c r="H102" s="36"/>
      <c r="I102" s="36"/>
      <c r="J102" s="36"/>
      <c r="K102" s="36"/>
      <c r="L102" s="36"/>
      <c r="M102" s="36"/>
      <c r="N102" s="36"/>
      <c r="O102" s="36"/>
      <c r="P102" s="36"/>
      <c r="Q102" s="36"/>
      <c r="R102" s="36"/>
      <c r="S102" s="36"/>
      <c r="T102" s="36"/>
      <c r="U102" s="36"/>
      <c r="V102" s="36"/>
    </row>
    <row r="103" spans="1:22">
      <c r="A103" s="36"/>
      <c r="B103" s="36"/>
      <c r="C103" s="36"/>
      <c r="D103" s="36"/>
      <c r="E103" s="36"/>
      <c r="F103" s="36"/>
      <c r="G103" s="36"/>
      <c r="H103" s="36"/>
      <c r="I103" s="36"/>
      <c r="J103" s="36"/>
      <c r="K103" s="36"/>
      <c r="L103" s="36"/>
      <c r="M103" s="36"/>
      <c r="N103" s="36"/>
      <c r="O103" s="36"/>
      <c r="P103" s="36"/>
      <c r="Q103" s="36"/>
      <c r="R103" s="36"/>
      <c r="S103" s="36"/>
      <c r="T103" s="36"/>
      <c r="U103" s="36"/>
      <c r="V103" s="36"/>
    </row>
    <row r="104" spans="1:22">
      <c r="A104" s="36"/>
      <c r="B104" s="36"/>
      <c r="C104" s="36"/>
      <c r="D104" s="36"/>
      <c r="E104" s="36"/>
      <c r="F104" s="36"/>
      <c r="G104" s="36"/>
      <c r="H104" s="36"/>
      <c r="I104" s="36"/>
      <c r="J104" s="36"/>
      <c r="K104" s="36"/>
      <c r="L104" s="36"/>
      <c r="M104" s="36"/>
      <c r="N104" s="36"/>
      <c r="O104" s="36"/>
      <c r="P104" s="36"/>
      <c r="Q104" s="36"/>
      <c r="R104" s="36"/>
      <c r="S104" s="36"/>
      <c r="T104" s="36"/>
      <c r="U104" s="36"/>
      <c r="V104" s="36"/>
    </row>
    <row r="105" spans="1:22">
      <c r="A105" s="36"/>
      <c r="B105" s="36"/>
      <c r="C105" s="36"/>
      <c r="D105" s="36"/>
      <c r="E105" s="36"/>
      <c r="F105" s="36"/>
      <c r="G105" s="36"/>
      <c r="H105" s="36"/>
      <c r="I105" s="36"/>
      <c r="J105" s="36"/>
      <c r="K105" s="36"/>
      <c r="L105" s="36"/>
      <c r="M105" s="36"/>
      <c r="N105" s="36"/>
      <c r="O105" s="36"/>
      <c r="P105" s="36"/>
      <c r="Q105" s="36"/>
      <c r="R105" s="36"/>
      <c r="S105" s="36"/>
      <c r="T105" s="36"/>
      <c r="U105" s="36"/>
      <c r="V105" s="36"/>
    </row>
    <row r="106" spans="1:22">
      <c r="A106" s="36"/>
      <c r="B106" s="36"/>
      <c r="C106" s="36"/>
      <c r="D106" s="36"/>
      <c r="E106" s="36"/>
      <c r="F106" s="36"/>
      <c r="G106" s="36"/>
      <c r="H106" s="36"/>
      <c r="I106" s="36"/>
      <c r="J106" s="36"/>
      <c r="K106" s="36"/>
      <c r="L106" s="36"/>
      <c r="M106" s="36"/>
      <c r="N106" s="36"/>
      <c r="O106" s="36"/>
      <c r="P106" s="36"/>
      <c r="Q106" s="36"/>
      <c r="R106" s="36"/>
      <c r="S106" s="36"/>
      <c r="T106" s="36"/>
      <c r="U106" s="36"/>
      <c r="V106" s="36"/>
    </row>
    <row r="107" spans="1:22">
      <c r="A107" s="36"/>
      <c r="B107" s="36"/>
      <c r="C107" s="36"/>
      <c r="D107" s="36"/>
      <c r="E107" s="36"/>
      <c r="F107" s="36"/>
      <c r="G107" s="36"/>
      <c r="H107" s="36"/>
      <c r="I107" s="36"/>
      <c r="J107" s="36"/>
      <c r="K107" s="36"/>
      <c r="L107" s="36"/>
      <c r="M107" s="36"/>
      <c r="N107" s="36"/>
      <c r="O107" s="36"/>
      <c r="P107" s="36"/>
      <c r="Q107" s="36"/>
      <c r="R107" s="36"/>
      <c r="S107" s="36"/>
      <c r="T107" s="36"/>
      <c r="U107" s="36"/>
      <c r="V107" s="36"/>
    </row>
    <row r="108" spans="1:22">
      <c r="A108" s="36"/>
      <c r="B108" s="36"/>
      <c r="C108" s="36"/>
      <c r="D108" s="36"/>
      <c r="E108" s="36"/>
      <c r="F108" s="36"/>
      <c r="G108" s="36"/>
      <c r="H108" s="36"/>
      <c r="I108" s="36"/>
      <c r="J108" s="36"/>
      <c r="K108" s="36"/>
      <c r="L108" s="36"/>
      <c r="M108" s="36"/>
      <c r="N108" s="36"/>
      <c r="O108" s="36"/>
      <c r="P108" s="36"/>
      <c r="Q108" s="36"/>
      <c r="R108" s="36"/>
      <c r="S108" s="36"/>
      <c r="T108" s="36"/>
      <c r="U108" s="36"/>
      <c r="V108" s="36"/>
    </row>
    <row r="109" spans="1:22">
      <c r="A109" s="36"/>
      <c r="B109" s="36"/>
      <c r="C109" s="36"/>
      <c r="D109" s="36"/>
      <c r="E109" s="36"/>
      <c r="F109" s="36"/>
      <c r="G109" s="36"/>
      <c r="H109" s="36"/>
      <c r="I109" s="36"/>
      <c r="J109" s="36"/>
      <c r="K109" s="36"/>
      <c r="L109" s="36"/>
      <c r="M109" s="36"/>
      <c r="N109" s="36"/>
      <c r="O109" s="36"/>
      <c r="P109" s="36"/>
      <c r="Q109" s="36"/>
      <c r="R109" s="36"/>
      <c r="S109" s="36"/>
      <c r="T109" s="36"/>
      <c r="U109" s="36"/>
      <c r="V109" s="36"/>
    </row>
    <row r="110" spans="1:22">
      <c r="A110" s="36"/>
      <c r="B110" s="36"/>
      <c r="C110" s="36"/>
      <c r="D110" s="36"/>
      <c r="E110" s="36"/>
      <c r="F110" s="36"/>
      <c r="G110" s="36"/>
      <c r="H110" s="36"/>
      <c r="I110" s="36"/>
      <c r="J110" s="36"/>
      <c r="K110" s="36"/>
      <c r="L110" s="36"/>
      <c r="M110" s="36"/>
      <c r="N110" s="36"/>
      <c r="O110" s="36"/>
      <c r="P110" s="36"/>
      <c r="Q110" s="36"/>
      <c r="R110" s="36"/>
      <c r="S110" s="36"/>
      <c r="T110" s="36"/>
      <c r="U110" s="36"/>
      <c r="V110" s="36"/>
    </row>
    <row r="111" spans="1:22">
      <c r="A111" s="36"/>
      <c r="B111" s="36"/>
      <c r="C111" s="36"/>
      <c r="D111" s="36"/>
      <c r="E111" s="36"/>
      <c r="F111" s="36"/>
      <c r="G111" s="36"/>
      <c r="H111" s="36"/>
      <c r="I111" s="36"/>
      <c r="J111" s="36"/>
      <c r="K111" s="36"/>
      <c r="L111" s="36"/>
      <c r="M111" s="36"/>
      <c r="N111" s="36"/>
      <c r="O111" s="36"/>
      <c r="P111" s="36"/>
      <c r="Q111" s="36"/>
      <c r="R111" s="36"/>
      <c r="S111" s="36"/>
      <c r="T111" s="36"/>
      <c r="U111" s="36"/>
      <c r="V111" s="36"/>
    </row>
    <row r="112" spans="1:22">
      <c r="A112" s="36"/>
      <c r="B112" s="36"/>
      <c r="C112" s="36"/>
      <c r="D112" s="36"/>
      <c r="E112" s="36"/>
      <c r="F112" s="36"/>
      <c r="G112" s="36"/>
      <c r="H112" s="36"/>
      <c r="I112" s="36"/>
      <c r="J112" s="36"/>
      <c r="K112" s="36"/>
      <c r="L112" s="36"/>
      <c r="M112" s="36"/>
      <c r="N112" s="36"/>
      <c r="O112" s="36"/>
      <c r="P112" s="36"/>
      <c r="Q112" s="36"/>
      <c r="R112" s="36"/>
      <c r="S112" s="36"/>
      <c r="T112" s="36"/>
      <c r="U112" s="36"/>
      <c r="V112" s="36"/>
    </row>
    <row r="113" spans="1:22">
      <c r="A113" s="36"/>
      <c r="B113" s="36"/>
      <c r="C113" s="36"/>
      <c r="D113" s="36"/>
      <c r="E113" s="36"/>
      <c r="F113" s="36"/>
      <c r="G113" s="36"/>
      <c r="H113" s="36"/>
      <c r="I113" s="36"/>
      <c r="J113" s="36"/>
      <c r="K113" s="36"/>
      <c r="L113" s="36"/>
      <c r="M113" s="36"/>
      <c r="N113" s="36"/>
      <c r="O113" s="36"/>
      <c r="P113" s="36"/>
      <c r="Q113" s="36"/>
      <c r="R113" s="36"/>
      <c r="S113" s="36"/>
      <c r="T113" s="36"/>
      <c r="U113" s="36"/>
      <c r="V113" s="36"/>
    </row>
    <row r="114" spans="1:22">
      <c r="A114" s="36"/>
      <c r="B114" s="36"/>
      <c r="C114" s="36"/>
      <c r="D114" s="36"/>
      <c r="E114" s="36"/>
      <c r="F114" s="36"/>
      <c r="G114" s="36"/>
      <c r="H114" s="36"/>
      <c r="I114" s="36"/>
      <c r="J114" s="36"/>
      <c r="K114" s="36"/>
      <c r="L114" s="36"/>
      <c r="M114" s="36"/>
      <c r="N114" s="36"/>
      <c r="O114" s="36"/>
      <c r="P114" s="36"/>
      <c r="Q114" s="36"/>
      <c r="R114" s="36"/>
      <c r="S114" s="36"/>
      <c r="T114" s="36"/>
      <c r="U114" s="36"/>
      <c r="V114" s="36"/>
    </row>
    <row r="115" spans="1:22">
      <c r="A115" s="36"/>
      <c r="B115" s="36"/>
      <c r="C115" s="36"/>
      <c r="D115" s="36"/>
      <c r="E115" s="36"/>
      <c r="F115" s="36"/>
      <c r="G115" s="36"/>
      <c r="H115" s="36"/>
      <c r="I115" s="36"/>
      <c r="J115" s="36"/>
      <c r="K115" s="36"/>
      <c r="L115" s="36"/>
      <c r="M115" s="36"/>
      <c r="N115" s="36"/>
      <c r="O115" s="36"/>
      <c r="P115" s="36"/>
      <c r="Q115" s="36"/>
      <c r="R115" s="36"/>
      <c r="S115" s="36"/>
      <c r="T115" s="36"/>
      <c r="U115" s="36"/>
      <c r="V115" s="36"/>
    </row>
    <row r="116" spans="1:22">
      <c r="A116" s="36"/>
      <c r="B116" s="36"/>
      <c r="C116" s="36"/>
      <c r="D116" s="36"/>
      <c r="E116" s="36"/>
      <c r="F116" s="36"/>
      <c r="G116" s="36"/>
      <c r="H116" s="36"/>
      <c r="I116" s="36"/>
      <c r="J116" s="36"/>
      <c r="K116" s="36"/>
      <c r="L116" s="36"/>
      <c r="M116" s="36"/>
      <c r="N116" s="36"/>
      <c r="O116" s="36"/>
      <c r="P116" s="36"/>
      <c r="Q116" s="36"/>
      <c r="R116" s="36"/>
      <c r="S116" s="36"/>
      <c r="T116" s="36"/>
      <c r="U116" s="36"/>
      <c r="V116" s="36"/>
    </row>
    <row r="117" spans="1:22">
      <c r="A117" s="36"/>
      <c r="B117" s="36"/>
      <c r="C117" s="36"/>
      <c r="D117" s="36"/>
      <c r="E117" s="36"/>
      <c r="F117" s="36"/>
      <c r="G117" s="36"/>
      <c r="H117" s="36"/>
      <c r="I117" s="36"/>
      <c r="J117" s="36"/>
      <c r="K117" s="36"/>
      <c r="L117" s="36"/>
      <c r="M117" s="36"/>
      <c r="N117" s="36"/>
      <c r="O117" s="36"/>
      <c r="P117" s="36"/>
      <c r="Q117" s="36"/>
      <c r="R117" s="36"/>
      <c r="S117" s="36"/>
      <c r="T117" s="36"/>
      <c r="U117" s="36"/>
      <c r="V117" s="36"/>
    </row>
    <row r="118" spans="1:22">
      <c r="A118" s="36"/>
      <c r="B118" s="36"/>
      <c r="C118" s="36"/>
      <c r="D118" s="36"/>
      <c r="E118" s="36"/>
      <c r="F118" s="36"/>
      <c r="G118" s="36"/>
      <c r="H118" s="36"/>
      <c r="I118" s="36"/>
      <c r="J118" s="36"/>
      <c r="K118" s="36"/>
      <c r="L118" s="36"/>
      <c r="M118" s="36"/>
      <c r="N118" s="36"/>
      <c r="O118" s="36"/>
      <c r="P118" s="36"/>
      <c r="Q118" s="36"/>
      <c r="R118" s="36"/>
      <c r="S118" s="36"/>
      <c r="T118" s="36"/>
      <c r="U118" s="36"/>
      <c r="V118" s="36"/>
    </row>
    <row r="119" spans="1:22">
      <c r="A119" s="36"/>
      <c r="B119" s="36"/>
      <c r="C119" s="36"/>
      <c r="D119" s="36"/>
      <c r="E119" s="36"/>
      <c r="F119" s="36"/>
      <c r="G119" s="36"/>
      <c r="H119" s="36"/>
      <c r="I119" s="36"/>
      <c r="J119" s="36"/>
      <c r="K119" s="36"/>
      <c r="L119" s="36"/>
      <c r="M119" s="36"/>
      <c r="N119" s="36"/>
      <c r="O119" s="36"/>
      <c r="P119" s="36"/>
      <c r="Q119" s="36"/>
      <c r="R119" s="36"/>
      <c r="S119" s="36"/>
      <c r="T119" s="36"/>
      <c r="U119" s="36"/>
      <c r="V119" s="36"/>
    </row>
    <row r="120" spans="1:22">
      <c r="A120" s="36"/>
      <c r="B120" s="36"/>
      <c r="C120" s="36"/>
      <c r="D120" s="36"/>
      <c r="E120" s="36"/>
      <c r="F120" s="36"/>
      <c r="G120" s="36"/>
      <c r="H120" s="36"/>
      <c r="I120" s="36"/>
      <c r="J120" s="36"/>
      <c r="K120" s="36"/>
      <c r="L120" s="36"/>
      <c r="M120" s="36"/>
      <c r="N120" s="36"/>
      <c r="O120" s="36"/>
      <c r="P120" s="36"/>
      <c r="Q120" s="36"/>
      <c r="R120" s="36"/>
      <c r="S120" s="36"/>
      <c r="T120" s="36"/>
      <c r="U120" s="36"/>
      <c r="V120" s="36"/>
    </row>
    <row r="121" spans="1:22">
      <c r="A121" s="36"/>
      <c r="B121" s="36"/>
      <c r="C121" s="36"/>
      <c r="D121" s="36"/>
      <c r="E121" s="36"/>
      <c r="F121" s="36"/>
      <c r="G121" s="36"/>
      <c r="H121" s="36"/>
      <c r="I121" s="36"/>
      <c r="J121" s="36"/>
      <c r="K121" s="36"/>
      <c r="L121" s="36"/>
      <c r="M121" s="36"/>
      <c r="N121" s="36"/>
      <c r="O121" s="36"/>
      <c r="P121" s="36"/>
      <c r="Q121" s="36"/>
      <c r="R121" s="36"/>
      <c r="S121" s="36"/>
      <c r="T121" s="36"/>
      <c r="U121" s="36"/>
      <c r="V121" s="36"/>
    </row>
    <row r="122" spans="1:22">
      <c r="A122" s="36"/>
      <c r="B122" s="36"/>
      <c r="C122" s="36"/>
      <c r="D122" s="36"/>
      <c r="E122" s="36"/>
      <c r="F122" s="36"/>
      <c r="G122" s="36"/>
      <c r="H122" s="36"/>
      <c r="I122" s="36"/>
      <c r="J122" s="36"/>
      <c r="K122" s="36"/>
      <c r="L122" s="36"/>
      <c r="M122" s="36"/>
      <c r="N122" s="36"/>
      <c r="O122" s="36"/>
      <c r="P122" s="36"/>
      <c r="Q122" s="36"/>
      <c r="R122" s="36"/>
      <c r="S122" s="36"/>
      <c r="T122" s="36"/>
      <c r="U122" s="36"/>
      <c r="V122" s="36"/>
    </row>
    <row r="123" spans="1:22">
      <c r="A123" s="36"/>
      <c r="B123" s="36"/>
      <c r="C123" s="36"/>
      <c r="D123" s="36"/>
      <c r="E123" s="36"/>
      <c r="F123" s="36"/>
      <c r="G123" s="36"/>
      <c r="H123" s="36"/>
      <c r="I123" s="36"/>
      <c r="J123" s="36"/>
      <c r="K123" s="36"/>
      <c r="L123" s="36"/>
      <c r="M123" s="36"/>
      <c r="N123" s="36"/>
      <c r="O123" s="36"/>
      <c r="P123" s="36"/>
      <c r="Q123" s="36"/>
      <c r="R123" s="36"/>
      <c r="S123" s="36"/>
      <c r="T123" s="36"/>
      <c r="U123" s="36"/>
      <c r="V123" s="36"/>
    </row>
  </sheetData>
  <mergeCells count="38">
    <mergeCell ref="I15:L15"/>
    <mergeCell ref="G37:H37"/>
    <mergeCell ref="C37:E37"/>
    <mergeCell ref="I39:L39"/>
    <mergeCell ref="I40:L40"/>
    <mergeCell ref="A33:J33"/>
    <mergeCell ref="I41:L41"/>
    <mergeCell ref="I42:L42"/>
    <mergeCell ref="I43:L43"/>
    <mergeCell ref="I44:L44"/>
    <mergeCell ref="I45:L45"/>
    <mergeCell ref="I46:L46"/>
    <mergeCell ref="I47:L47"/>
    <mergeCell ref="I48:L48"/>
    <mergeCell ref="I49:L49"/>
    <mergeCell ref="I50:L50"/>
    <mergeCell ref="I61:L61"/>
    <mergeCell ref="I52:L52"/>
    <mergeCell ref="I53:L53"/>
    <mergeCell ref="I54:L54"/>
    <mergeCell ref="I55:L55"/>
    <mergeCell ref="I56:L56"/>
    <mergeCell ref="Q15:R15"/>
    <mergeCell ref="I71:L71"/>
    <mergeCell ref="I67:L67"/>
    <mergeCell ref="I68:L68"/>
    <mergeCell ref="I69:L69"/>
    <mergeCell ref="I70:L70"/>
    <mergeCell ref="I62:L62"/>
    <mergeCell ref="I63:L63"/>
    <mergeCell ref="I64:L64"/>
    <mergeCell ref="I65:L65"/>
    <mergeCell ref="I66:L66"/>
    <mergeCell ref="I57:L57"/>
    <mergeCell ref="I58:L58"/>
    <mergeCell ref="I59:L59"/>
    <mergeCell ref="I60:L60"/>
    <mergeCell ref="I51:L51"/>
  </mergeCells>
  <phoneticPr fontId="5"/>
  <conditionalFormatting sqref="S8">
    <cfRule type="dataBar" priority="4">
      <dataBar>
        <cfvo type="min"/>
        <cfvo type="max"/>
        <color rgb="FF638EC6"/>
      </dataBar>
      <extLst>
        <ext xmlns:x14="http://schemas.microsoft.com/office/spreadsheetml/2009/9/main" uri="{B025F937-C7B1-47D3-B67F-A62EFF666E3E}">
          <x14:id>{E5EA572B-CAAB-4702-96D7-333A32F7F7E2}</x14:id>
        </ext>
      </extLst>
    </cfRule>
  </conditionalFormatting>
  <conditionalFormatting sqref="S8:S12">
    <cfRule type="dataBar" priority="3">
      <dataBar>
        <cfvo type="min"/>
        <cfvo type="max"/>
        <color rgb="FF638EC6"/>
      </dataBar>
      <extLst>
        <ext xmlns:x14="http://schemas.microsoft.com/office/spreadsheetml/2009/9/main" uri="{B025F937-C7B1-47D3-B67F-A62EFF666E3E}">
          <x14:id>{54F3252A-2190-480B-8A44-528FC24C1878}</x14:id>
        </ext>
      </extLst>
    </cfRule>
  </conditionalFormatting>
  <conditionalFormatting sqref="T8:T12">
    <cfRule type="dataBar" priority="1">
      <dataBar>
        <cfvo type="min"/>
        <cfvo type="max"/>
        <color rgb="FFFF555A"/>
      </dataBar>
      <extLst>
        <ext xmlns:x14="http://schemas.microsoft.com/office/spreadsheetml/2009/9/main" uri="{B025F937-C7B1-47D3-B67F-A62EFF666E3E}">
          <x14:id>{1810BEA6-0098-46CC-8C92-F4A83C00821D}</x14:id>
        </ext>
      </extLst>
    </cfRule>
  </conditionalFormatting>
  <hyperlinks>
    <hyperlink ref="A35" location="ダッシュボード!A2" display=" ▶ ダッシュボード" xr:uid="{2105FC87-6E28-4F30-8FA1-E0A0114B47E7}"/>
    <hyperlink ref="A73" location="ダッシュボード!A2" display=" ▶ ダッシュボード" xr:uid="{B7B93F09-1CDB-441B-B8E9-CD897DBDBE8B}"/>
    <hyperlink ref="A96" location="ダッシュボード!A2" display=" ▶ ダッシュボード" xr:uid="{48267A6C-6F2B-472E-9E9B-A0944867DCCB}"/>
    <hyperlink ref="A14" location="ダッシュボード!A2" display=" ▶ ダッシュボード" xr:uid="{1A7E6DFC-D5BA-4E42-931D-3E6ED61583B1}"/>
    <hyperlink ref="A15" location="業務メモ!A2" display=" ▶ チェックリスト" xr:uid="{78A08D98-70B9-4D7A-9937-4C05F0D955DF}"/>
    <hyperlink ref="A16" location="売上工数管理!A2" display=" ▶ 売上・工数管理" xr:uid="{FC4595ED-A63A-47EE-9E9D-E1A10DCD07F8}"/>
    <hyperlink ref="A17" location="基本データ!A4" display=" ▶ 基本データ" xr:uid="{95110695-694F-4608-BDB6-883D8C6D4819}"/>
    <hyperlink ref="A18" location="ダッシュボード!A38" display=" ▶ 一カ月体調分析" xr:uid="{C6F42D82-499E-43CD-B42F-B7CBACDF4FF9}"/>
    <hyperlink ref="G36" r:id="rId1" xr:uid="{BA09E725-9FE9-4959-90BA-F2AF9B92043E}"/>
    <hyperlink ref="A20" location="ダッシュボード!A98" display=" ▶ 知識ベース" xr:uid="{7A49D96A-0EFC-4372-8395-6DCDDED1040D}"/>
    <hyperlink ref="A19" location="ダッシュボード!A75" display=" ▶ 体調×作業効率可視化グラフ" xr:uid="{865BACA9-F886-498B-9AE6-8A041DC4EB3F}"/>
    <hyperlink ref="U36" location="体調管理!A2" display="▶ データ格納表へ" xr:uid="{298AFD9F-6A94-474A-9326-6B07C57728A9}"/>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E5EA572B-CAAB-4702-96D7-333A32F7F7E2}">
            <x14:dataBar minLength="0" maxLength="100" border="1" negativeBarBorderColorSameAsPositive="0">
              <x14:cfvo type="autoMin"/>
              <x14:cfvo type="autoMax"/>
              <x14:borderColor rgb="FF638EC6"/>
              <x14:negativeFillColor rgb="FFFF0000"/>
              <x14:negativeBorderColor rgb="FFFF0000"/>
              <x14:axisColor rgb="FF000000"/>
            </x14:dataBar>
          </x14:cfRule>
          <xm:sqref>S8</xm:sqref>
        </x14:conditionalFormatting>
        <x14:conditionalFormatting xmlns:xm="http://schemas.microsoft.com/office/excel/2006/main">
          <x14:cfRule type="dataBar" id="{54F3252A-2190-480B-8A44-528FC24C1878}">
            <x14:dataBar minLength="0" maxLength="100" border="1" negativeBarBorderColorSameAsPositive="0">
              <x14:cfvo type="autoMin"/>
              <x14:cfvo type="autoMax"/>
              <x14:borderColor rgb="FF638EC6"/>
              <x14:negativeFillColor rgb="FFFF0000"/>
              <x14:negativeBorderColor rgb="FFFF0000"/>
              <x14:axisColor rgb="FF000000"/>
            </x14:dataBar>
          </x14:cfRule>
          <xm:sqref>S8:S12</xm:sqref>
        </x14:conditionalFormatting>
        <x14:conditionalFormatting xmlns:xm="http://schemas.microsoft.com/office/excel/2006/main">
          <x14:cfRule type="dataBar" id="{1810BEA6-0098-46CC-8C92-F4A83C00821D}">
            <x14:dataBar minLength="0" maxLength="100" gradient="0">
              <x14:cfvo type="autoMin"/>
              <x14:cfvo type="autoMax"/>
              <x14:negativeFillColor rgb="FFFF0000"/>
              <x14:axisColor rgb="FF000000"/>
            </x14:dataBar>
          </x14:cfRule>
          <xm:sqref>T8:T12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51B73-15EA-494C-A2BA-DD48AE14262C}">
  <sheetPr codeName="Sheet6">
    <tabColor theme="0"/>
  </sheetPr>
  <dimension ref="A1:BK164"/>
  <sheetViews>
    <sheetView zoomScaleNormal="100" workbookViewId="0">
      <pane ySplit="3" topLeftCell="A4" activePane="bottomLeft" state="frozen"/>
      <selection pane="bottomLeft" activeCell="F12" sqref="F12"/>
    </sheetView>
  </sheetViews>
  <sheetFormatPr defaultColWidth="8.5" defaultRowHeight="18"/>
  <cols>
    <col min="1" max="63" width="10.69921875" customWidth="1"/>
  </cols>
  <sheetData>
    <row r="1" spans="1:63" ht="18.600000000000001" thickBot="1">
      <c r="A1" s="322">
        <v>2025</v>
      </c>
      <c r="B1" s="321">
        <v>10</v>
      </c>
      <c r="C1" s="455" t="s">
        <v>1</v>
      </c>
      <c r="D1" s="455"/>
      <c r="E1" s="256" t="s">
        <v>88</v>
      </c>
      <c r="F1" s="440">
        <f>BI2</f>
        <v>88000</v>
      </c>
      <c r="G1" s="441"/>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▶今日の日付へ移動</v>
      </c>
      <c r="J1" s="34"/>
      <c r="K1" s="37"/>
      <c r="L1" s="257" t="s">
        <v>89</v>
      </c>
      <c r="M1" s="258"/>
      <c r="N1" s="93" t="s">
        <v>258</v>
      </c>
      <c r="Q1" s="37"/>
      <c r="R1" s="37"/>
      <c r="S1" s="37"/>
      <c r="T1" s="37"/>
      <c r="U1" s="37"/>
      <c r="V1" s="37"/>
      <c r="W1" s="37"/>
      <c r="X1" s="37"/>
      <c r="Y1" s="37"/>
      <c r="Z1" s="37"/>
      <c r="AA1" s="37"/>
      <c r="AB1" s="37"/>
      <c r="AC1" s="37"/>
      <c r="AD1" s="37"/>
      <c r="AE1" s="37"/>
      <c r="AF1" s="37"/>
      <c r="AG1" s="37"/>
      <c r="AH1" s="37"/>
      <c r="AI1" s="37"/>
      <c r="AJ1" s="37"/>
      <c r="AK1" s="37"/>
      <c r="AL1" s="37"/>
      <c r="AM1" s="37"/>
      <c r="AN1" s="37"/>
      <c r="AO1" s="91" t="s">
        <v>298</v>
      </c>
      <c r="AP1" s="37"/>
      <c r="AQ1" s="37"/>
      <c r="AR1" s="37"/>
      <c r="AS1" s="37"/>
      <c r="AT1" s="37"/>
      <c r="AU1" s="37"/>
      <c r="AW1" s="91" t="s">
        <v>299</v>
      </c>
      <c r="AX1" s="37"/>
      <c r="AY1" s="91"/>
      <c r="AZ1" s="37"/>
      <c r="BA1" s="37"/>
      <c r="BB1" s="91" t="s">
        <v>301</v>
      </c>
      <c r="BC1" s="37"/>
      <c r="BD1" s="37"/>
      <c r="BE1" s="91" t="s">
        <v>274</v>
      </c>
      <c r="BF1" s="37"/>
      <c r="BG1" s="37"/>
      <c r="BH1" s="37"/>
      <c r="BI1" s="91" t="s">
        <v>132</v>
      </c>
      <c r="BJ1" s="37"/>
      <c r="BK1" s="37"/>
    </row>
    <row r="2" spans="1:63" ht="18.600000000000001" thickBot="1">
      <c r="A2" s="252" t="s">
        <v>2</v>
      </c>
      <c r="B2" s="253">
        <f>SUM(F6,O6,X6,AG6,AP6,AY6,BH6,F26,O26,X26,AG26,AP26,AY26,BH26,F46,O46,X46,AG46,AP46,AY46,BH46,F66,O66,X66,AG66,AP66,AY66,BH66)</f>
        <v>8</v>
      </c>
      <c r="C2" s="341" t="s">
        <v>2</v>
      </c>
      <c r="D2" s="37"/>
      <c r="E2" s="259">
        <f>A6</f>
        <v>45931</v>
      </c>
      <c r="F2" s="260">
        <f>J6</f>
        <v>45932</v>
      </c>
      <c r="G2" s="260">
        <f>S6</f>
        <v>45933</v>
      </c>
      <c r="H2" s="260">
        <f>AB6</f>
        <v>45934</v>
      </c>
      <c r="I2" s="260">
        <f>AK6</f>
        <v>45935</v>
      </c>
      <c r="J2" s="260">
        <f>AT6</f>
        <v>45936</v>
      </c>
      <c r="K2" s="260">
        <f>BC6</f>
        <v>45937</v>
      </c>
      <c r="L2" s="260">
        <f>A26</f>
        <v>45938</v>
      </c>
      <c r="M2" s="260">
        <f>J26</f>
        <v>45939</v>
      </c>
      <c r="N2" s="260">
        <f>S26</f>
        <v>45940</v>
      </c>
      <c r="O2" s="260">
        <f>AB26</f>
        <v>45941</v>
      </c>
      <c r="P2" s="260">
        <f>AK26</f>
        <v>45942</v>
      </c>
      <c r="Q2" s="260">
        <f>AT26</f>
        <v>45943</v>
      </c>
      <c r="R2" s="260">
        <f>BC26</f>
        <v>45944</v>
      </c>
      <c r="S2" s="260">
        <f>A46</f>
        <v>45945</v>
      </c>
      <c r="T2" s="260">
        <f>J46</f>
        <v>45946</v>
      </c>
      <c r="U2" s="260">
        <f>S46</f>
        <v>45947</v>
      </c>
      <c r="V2" s="260">
        <f>AB46</f>
        <v>45948</v>
      </c>
      <c r="W2" s="260">
        <f>AK46</f>
        <v>45949</v>
      </c>
      <c r="X2" s="260">
        <f>AT46</f>
        <v>45950</v>
      </c>
      <c r="Y2" s="260">
        <f>BC46</f>
        <v>45951</v>
      </c>
      <c r="Z2" s="260">
        <f>A66</f>
        <v>45952</v>
      </c>
      <c r="AA2" s="260">
        <f>J66</f>
        <v>45953</v>
      </c>
      <c r="AB2" s="260">
        <f>S66</f>
        <v>45954</v>
      </c>
      <c r="AC2" s="260">
        <f>AB66</f>
        <v>45955</v>
      </c>
      <c r="AD2" s="260">
        <f>AK66</f>
        <v>45956</v>
      </c>
      <c r="AE2" s="260">
        <f>AT66</f>
        <v>45957</v>
      </c>
      <c r="AF2" s="260">
        <f>BC66</f>
        <v>45958</v>
      </c>
      <c r="AG2" s="260">
        <f>A86</f>
        <v>45959</v>
      </c>
      <c r="AH2" s="260">
        <f>J86</f>
        <v>45960</v>
      </c>
      <c r="AI2" s="261">
        <f>S86</f>
        <v>45961</v>
      </c>
      <c r="AJ2" s="37"/>
      <c r="AK2" s="94" t="s">
        <v>3</v>
      </c>
      <c r="AL2" s="95">
        <f>SUM(H24,Q24,Z24,AI24,AR24,BA24,BJ24,H44,Q44,Z44,AI44,AR44,BA44,BJ44,H64,Q64,Z64,AI64,AR64,BA64,BJ64,H84,Q84,Z84,AI84,AR84,BA84,BJ84,H104,Q104,Z104)</f>
        <v>88000</v>
      </c>
      <c r="AM2" s="96" t="s">
        <v>4</v>
      </c>
      <c r="AN2" s="94" t="s">
        <v>5</v>
      </c>
      <c r="AO2" s="248"/>
      <c r="AP2" s="98" t="s">
        <v>140</v>
      </c>
      <c r="AQ2" s="94">
        <f>B2</f>
        <v>8</v>
      </c>
      <c r="AR2" s="98" t="s">
        <v>141</v>
      </c>
      <c r="AS2" s="416" t="s">
        <v>6</v>
      </c>
      <c r="AT2" s="97">
        <f>AO2*AQ2</f>
        <v>0</v>
      </c>
      <c r="AU2" s="98" t="s">
        <v>4</v>
      </c>
      <c r="AV2" s="417" t="s">
        <v>142</v>
      </c>
      <c r="AW2" s="248"/>
      <c r="AX2" s="98" t="s">
        <v>375</v>
      </c>
      <c r="AY2" s="97">
        <f>(AL2+AT2)-AW2</f>
        <v>88000</v>
      </c>
      <c r="AZ2" s="98" t="s">
        <v>4</v>
      </c>
      <c r="BA2" s="416" t="s">
        <v>7</v>
      </c>
      <c r="BB2" s="248"/>
      <c r="BC2" s="98" t="s">
        <v>4</v>
      </c>
      <c r="BD2" s="416" t="s">
        <v>8</v>
      </c>
      <c r="BE2" s="414"/>
      <c r="BF2" s="98" t="s">
        <v>9</v>
      </c>
      <c r="BG2" s="1">
        <f>B1</f>
        <v>10</v>
      </c>
      <c r="BH2" s="98" t="s">
        <v>10</v>
      </c>
      <c r="BI2" s="453">
        <f>SUM(AY2,BB2)</f>
        <v>88000</v>
      </c>
      <c r="BJ2" s="454"/>
      <c r="BK2" s="98" t="s">
        <v>11</v>
      </c>
    </row>
    <row r="3" spans="1:63" ht="18.600000000000001" thickBot="1">
      <c r="A3" s="254" t="s">
        <v>12</v>
      </c>
      <c r="B3" s="255">
        <f>COUNTIF(E3:AI3,"&gt;0")</f>
        <v>1</v>
      </c>
      <c r="C3" s="342" t="s">
        <v>13</v>
      </c>
      <c r="D3" s="37"/>
      <c r="E3" s="262">
        <f>F6</f>
        <v>8</v>
      </c>
      <c r="F3" s="263" t="str">
        <f>O6</f>
        <v/>
      </c>
      <c r="G3" s="263" t="str">
        <f>X6</f>
        <v/>
      </c>
      <c r="H3" s="263" t="str">
        <f>AG6</f>
        <v/>
      </c>
      <c r="I3" s="263" t="str">
        <f>AP6</f>
        <v/>
      </c>
      <c r="J3" s="263" t="str">
        <f>AY6</f>
        <v/>
      </c>
      <c r="K3" s="263" t="str">
        <f>BH6</f>
        <v/>
      </c>
      <c r="L3" s="263" t="str">
        <f>F26</f>
        <v/>
      </c>
      <c r="M3" s="263" t="str">
        <f>O26</f>
        <v/>
      </c>
      <c r="N3" s="263" t="str">
        <f>X26</f>
        <v/>
      </c>
      <c r="O3" s="263" t="str">
        <f>AG26</f>
        <v/>
      </c>
      <c r="P3" s="263" t="str">
        <f>AP26</f>
        <v/>
      </c>
      <c r="Q3" s="263" t="str">
        <f>AY26</f>
        <v/>
      </c>
      <c r="R3" s="263" t="str">
        <f>BH26</f>
        <v/>
      </c>
      <c r="S3" s="263" t="str">
        <f>F46</f>
        <v/>
      </c>
      <c r="T3" s="263" t="str">
        <f>O46</f>
        <v/>
      </c>
      <c r="U3" s="263" t="str">
        <f>X46</f>
        <v/>
      </c>
      <c r="V3" s="263" t="str">
        <f>AG46</f>
        <v/>
      </c>
      <c r="W3" s="263" t="str">
        <f>AP46</f>
        <v/>
      </c>
      <c r="X3" s="263" t="str">
        <f>AY46</f>
        <v/>
      </c>
      <c r="Y3" s="263" t="str">
        <f>BH46</f>
        <v/>
      </c>
      <c r="Z3" s="263" t="str">
        <f>F66</f>
        <v/>
      </c>
      <c r="AA3" s="263" t="str">
        <f>O66</f>
        <v/>
      </c>
      <c r="AB3" s="263" t="str">
        <f>X66</f>
        <v/>
      </c>
      <c r="AC3" s="263" t="str">
        <f>AG66</f>
        <v/>
      </c>
      <c r="AD3" s="263" t="str">
        <f>AP66</f>
        <v/>
      </c>
      <c r="AE3" s="263" t="str">
        <f>AY66</f>
        <v/>
      </c>
      <c r="AF3" s="263" t="str">
        <f>BH66</f>
        <v/>
      </c>
      <c r="AG3" s="263" t="str">
        <f>F86</f>
        <v/>
      </c>
      <c r="AH3" s="263" t="str">
        <f>O86</f>
        <v/>
      </c>
      <c r="AI3" s="264" t="str">
        <f>X86</f>
        <v/>
      </c>
      <c r="AJ3" s="37"/>
      <c r="AK3" s="37"/>
      <c r="AL3" s="103"/>
      <c r="AM3" s="99" t="s">
        <v>376</v>
      </c>
      <c r="AN3" s="100" t="s">
        <v>52</v>
      </c>
      <c r="AO3" s="101">
        <f>売上工数管理!P10</f>
        <v>1226</v>
      </c>
      <c r="AP3" s="98" t="s">
        <v>143</v>
      </c>
      <c r="AQ3" s="100">
        <f>AQ2</f>
        <v>8</v>
      </c>
      <c r="AR3" s="98" t="s">
        <v>141</v>
      </c>
      <c r="AS3" s="416" t="s">
        <v>53</v>
      </c>
      <c r="AT3" s="101">
        <f>AO3*AQ3</f>
        <v>9808</v>
      </c>
      <c r="AU3" s="98" t="s">
        <v>4</v>
      </c>
      <c r="AV3" s="99" t="s">
        <v>103</v>
      </c>
      <c r="AW3" s="355">
        <f>IF(OR(AL2=0,AQ3=0),"", AL2/AQ3)</f>
        <v>11000</v>
      </c>
      <c r="AX3" s="98" t="s">
        <v>4</v>
      </c>
      <c r="AY3" s="91" t="s">
        <v>54</v>
      </c>
      <c r="AZ3" s="37"/>
      <c r="BA3" s="37"/>
      <c r="BB3" s="37"/>
      <c r="BC3" s="37"/>
      <c r="BD3" s="99" t="s">
        <v>372</v>
      </c>
      <c r="BE3" s="415">
        <f>S111</f>
        <v>2</v>
      </c>
      <c r="BF3" s="91" t="s">
        <v>366</v>
      </c>
      <c r="BG3" s="37"/>
      <c r="BH3" s="37"/>
      <c r="BI3" s="91" t="s">
        <v>300</v>
      </c>
      <c r="BJ3" s="37"/>
      <c r="BK3" s="37"/>
    </row>
    <row r="4" spans="1:63" ht="18.600000000000001" thickBot="1">
      <c r="A4" s="93" t="s">
        <v>317</v>
      </c>
      <c r="C4" s="37"/>
      <c r="D4" s="37"/>
      <c r="E4" s="93" t="s">
        <v>255</v>
      </c>
      <c r="F4" s="37"/>
      <c r="G4" s="37"/>
      <c r="H4" s="37"/>
      <c r="I4" s="93" t="s">
        <v>273</v>
      </c>
      <c r="K4" s="37"/>
      <c r="L4" s="37"/>
      <c r="M4" s="37"/>
      <c r="N4" s="37"/>
      <c r="O4" s="37"/>
      <c r="P4" s="37"/>
      <c r="Q4" s="37"/>
      <c r="R4" s="37"/>
      <c r="S4" s="37"/>
      <c r="T4" s="37"/>
      <c r="U4" s="37"/>
      <c r="V4" s="37"/>
      <c r="W4" s="37"/>
      <c r="X4" s="93" t="s">
        <v>374</v>
      </c>
      <c r="Z4" s="37"/>
      <c r="AA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448" t="s">
        <v>14</v>
      </c>
      <c r="B5" s="449"/>
      <c r="C5" s="449" t="s">
        <v>15</v>
      </c>
      <c r="D5" s="449"/>
      <c r="E5" s="449" t="s">
        <v>16</v>
      </c>
      <c r="F5" s="452"/>
      <c r="G5" s="37"/>
      <c r="H5" s="37"/>
      <c r="I5" s="37"/>
      <c r="J5" s="448" t="s">
        <v>14</v>
      </c>
      <c r="K5" s="449"/>
      <c r="L5" s="449" t="s">
        <v>15</v>
      </c>
      <c r="M5" s="449"/>
      <c r="N5" s="449" t="s">
        <v>16</v>
      </c>
      <c r="O5" s="452"/>
      <c r="P5" s="37"/>
      <c r="Q5" s="37"/>
      <c r="R5" s="37"/>
      <c r="S5" s="448" t="s">
        <v>14</v>
      </c>
      <c r="T5" s="449"/>
      <c r="U5" s="449" t="s">
        <v>15</v>
      </c>
      <c r="V5" s="449"/>
      <c r="W5" s="449" t="s">
        <v>16</v>
      </c>
      <c r="X5" s="452"/>
      <c r="Y5" s="37"/>
      <c r="Z5" s="37"/>
      <c r="AA5" s="37"/>
      <c r="AB5" s="448" t="s">
        <v>14</v>
      </c>
      <c r="AC5" s="449"/>
      <c r="AD5" s="449" t="s">
        <v>15</v>
      </c>
      <c r="AE5" s="449"/>
      <c r="AF5" s="449" t="s">
        <v>16</v>
      </c>
      <c r="AG5" s="452"/>
      <c r="AH5" s="37"/>
      <c r="AI5" s="37"/>
      <c r="AJ5" s="37"/>
      <c r="AK5" s="448" t="s">
        <v>14</v>
      </c>
      <c r="AL5" s="449"/>
      <c r="AM5" s="449" t="s">
        <v>15</v>
      </c>
      <c r="AN5" s="449"/>
      <c r="AO5" s="449" t="s">
        <v>16</v>
      </c>
      <c r="AP5" s="452"/>
      <c r="AQ5" s="37"/>
      <c r="AR5" s="37"/>
      <c r="AS5" s="37"/>
      <c r="AT5" s="448" t="s">
        <v>14</v>
      </c>
      <c r="AU5" s="449"/>
      <c r="AV5" s="449" t="s">
        <v>15</v>
      </c>
      <c r="AW5" s="449"/>
      <c r="AX5" s="449" t="s">
        <v>16</v>
      </c>
      <c r="AY5" s="452"/>
      <c r="AZ5" s="37"/>
      <c r="BA5" s="37"/>
      <c r="BB5" s="37"/>
      <c r="BC5" s="448" t="s">
        <v>14</v>
      </c>
      <c r="BD5" s="449"/>
      <c r="BE5" s="449" t="s">
        <v>15</v>
      </c>
      <c r="BF5" s="449"/>
      <c r="BG5" s="449" t="s">
        <v>16</v>
      </c>
      <c r="BH5" s="452"/>
      <c r="BI5" s="37"/>
      <c r="BJ5" s="37"/>
      <c r="BK5" s="37"/>
    </row>
    <row r="6" spans="1:63" ht="18.600000000000001" thickBot="1">
      <c r="A6" s="445">
        <f>DATE(A1,B1,1)</f>
        <v>45931</v>
      </c>
      <c r="B6" s="446"/>
      <c r="C6" s="249">
        <v>0.41666666666666669</v>
      </c>
      <c r="D6" s="249">
        <v>0.79166666666666663</v>
      </c>
      <c r="E6" s="250">
        <f>IF(C6="","",D6-C6-H6)</f>
        <v>0.33333333333333326</v>
      </c>
      <c r="F6" s="251">
        <f>IF(AND(E6=""),"",SUM(E9:E23))</f>
        <v>8</v>
      </c>
      <c r="G6" s="103" t="s">
        <v>17</v>
      </c>
      <c r="H6" s="247">
        <v>4.1666666666666699E-2</v>
      </c>
      <c r="I6" s="37"/>
      <c r="J6" s="445">
        <f>A6+1</f>
        <v>45932</v>
      </c>
      <c r="K6" s="446"/>
      <c r="L6" s="250"/>
      <c r="M6" s="250"/>
      <c r="N6" s="250" t="str">
        <f>IF(L6="","",M6-L6-Q6)</f>
        <v/>
      </c>
      <c r="O6" s="251" t="str">
        <f>IF(AND(N6=""),"",SUM(N9:N23))</f>
        <v/>
      </c>
      <c r="P6" s="103" t="s">
        <v>17</v>
      </c>
      <c r="Q6" s="247">
        <v>4.1666666666666699E-2</v>
      </c>
      <c r="R6" s="37"/>
      <c r="S6" s="445">
        <f>J6+1</f>
        <v>45933</v>
      </c>
      <c r="T6" s="446"/>
      <c r="U6" s="249"/>
      <c r="V6" s="249"/>
      <c r="W6" s="250" t="str">
        <f>IF(U6="","",V6-U6-Z6)</f>
        <v/>
      </c>
      <c r="X6" s="251" t="str">
        <f>IF(AND(W6=""),"",SUM(W9:W23))</f>
        <v/>
      </c>
      <c r="Y6" s="103" t="s">
        <v>17</v>
      </c>
      <c r="Z6" s="247">
        <v>4.1666666666666699E-2</v>
      </c>
      <c r="AA6" s="37"/>
      <c r="AB6" s="445">
        <f>S6+1</f>
        <v>45934</v>
      </c>
      <c r="AC6" s="446"/>
      <c r="AD6" s="249"/>
      <c r="AE6" s="249"/>
      <c r="AF6" s="250" t="str">
        <f>IF(AD6="","",AE6-AD6-AI6)</f>
        <v/>
      </c>
      <c r="AG6" s="251" t="str">
        <f>IF(AND(AF6=""),"",SUM(AF9:AF23))</f>
        <v/>
      </c>
      <c r="AH6" s="103" t="s">
        <v>17</v>
      </c>
      <c r="AI6" s="247">
        <v>4.1666666666666699E-2</v>
      </c>
      <c r="AJ6" s="37"/>
      <c r="AK6" s="445">
        <f>AB6+1</f>
        <v>45935</v>
      </c>
      <c r="AL6" s="446"/>
      <c r="AM6" s="249"/>
      <c r="AN6" s="249"/>
      <c r="AO6" s="250" t="str">
        <f>IF(AM6="","",AN6-AM6-AR6)</f>
        <v/>
      </c>
      <c r="AP6" s="251" t="str">
        <f>IF(AND(AO6=""),"",SUM(AO9:AO23))</f>
        <v/>
      </c>
      <c r="AQ6" s="103" t="s">
        <v>17</v>
      </c>
      <c r="AR6" s="247">
        <v>4.1666666666666699E-2</v>
      </c>
      <c r="AS6" s="37"/>
      <c r="AT6" s="445">
        <f>AK6+1</f>
        <v>45936</v>
      </c>
      <c r="AU6" s="446"/>
      <c r="AV6" s="249"/>
      <c r="AW6" s="249"/>
      <c r="AX6" s="250" t="str">
        <f>IF(AV6="","",AW6-AV6-BA6)</f>
        <v/>
      </c>
      <c r="AY6" s="251" t="str">
        <f>IF(AND(AX6=""),"",SUM(AX9:AX23))</f>
        <v/>
      </c>
      <c r="AZ6" s="103" t="s">
        <v>17</v>
      </c>
      <c r="BA6" s="247">
        <v>4.1666666666666699E-2</v>
      </c>
      <c r="BB6" s="37"/>
      <c r="BC6" s="445">
        <f>AT6+1</f>
        <v>45937</v>
      </c>
      <c r="BD6" s="446"/>
      <c r="BE6" s="249"/>
      <c r="BF6" s="249"/>
      <c r="BG6" s="250" t="str">
        <f>IF(BE6="","",BF6-BE6-BJ6)</f>
        <v/>
      </c>
      <c r="BH6" s="251" t="str">
        <f>IF(AND(BG6=""),"",SUM(BG9:BG23))</f>
        <v/>
      </c>
      <c r="BI6" s="103" t="s">
        <v>17</v>
      </c>
      <c r="BJ6" s="247">
        <v>4.1666666666666699E-2</v>
      </c>
      <c r="BK6" s="37"/>
    </row>
    <row r="7" spans="1:63" ht="18.600000000000001" thickBot="1">
      <c r="A7" s="37" t="s">
        <v>36</v>
      </c>
      <c r="B7" s="104"/>
      <c r="C7" s="104"/>
      <c r="D7" s="104"/>
      <c r="E7" s="105"/>
      <c r="F7" s="106"/>
      <c r="G7" s="106"/>
      <c r="H7" s="413">
        <f>IF(COUNT(H9:H23)=0,0,COUNT(H9:H23))</f>
        <v>2</v>
      </c>
      <c r="I7" s="411" t="s">
        <v>366</v>
      </c>
      <c r="J7" s="37" t="s">
        <v>36</v>
      </c>
      <c r="K7" s="104"/>
      <c r="L7" s="104"/>
      <c r="M7" s="104"/>
      <c r="N7" s="105"/>
      <c r="O7" s="106"/>
      <c r="P7" s="106"/>
      <c r="Q7" s="413">
        <f>IF(COUNT(Q9:Q23)=0,0,COUNT(Q9:Q23))</f>
        <v>0</v>
      </c>
      <c r="R7" s="411" t="s">
        <v>366</v>
      </c>
      <c r="S7" s="37" t="s">
        <v>36</v>
      </c>
      <c r="T7" s="104"/>
      <c r="U7" s="104"/>
      <c r="V7" s="104"/>
      <c r="W7" s="105"/>
      <c r="X7" s="106"/>
      <c r="Y7" s="106"/>
      <c r="Z7" s="413">
        <f>IF(COUNT(Z9:Z23)=0,0,COUNT(Z9:Z23))</f>
        <v>0</v>
      </c>
      <c r="AA7" s="411" t="s">
        <v>366</v>
      </c>
      <c r="AB7" s="37" t="s">
        <v>36</v>
      </c>
      <c r="AC7" s="104"/>
      <c r="AD7" s="104"/>
      <c r="AE7" s="104"/>
      <c r="AF7" s="105"/>
      <c r="AG7" s="106"/>
      <c r="AH7" s="106"/>
      <c r="AI7" s="413">
        <f>IF(COUNT(AI9:AI23)=0,0,COUNT(AI9:AI23))</f>
        <v>0</v>
      </c>
      <c r="AJ7" s="411" t="s">
        <v>366</v>
      </c>
      <c r="AK7" s="37" t="s">
        <v>36</v>
      </c>
      <c r="AL7" s="37"/>
      <c r="AM7" s="104"/>
      <c r="AN7" s="104"/>
      <c r="AO7" s="105"/>
      <c r="AP7" s="106"/>
      <c r="AQ7" s="106"/>
      <c r="AR7" s="413">
        <f>IF(COUNT(AR9:AR23)=0,0,COUNT(AR9:AR23))</f>
        <v>0</v>
      </c>
      <c r="AS7" s="411" t="s">
        <v>366</v>
      </c>
      <c r="AT7" s="37" t="s">
        <v>36</v>
      </c>
      <c r="AU7" s="104"/>
      <c r="AV7" s="104"/>
      <c r="AW7" s="104"/>
      <c r="AX7" s="105"/>
      <c r="AY7" s="106"/>
      <c r="AZ7" s="106"/>
      <c r="BA7" s="413">
        <f>IF(COUNT(BA9:BA23)=0,0,COUNT(BA9:BA23))</f>
        <v>0</v>
      </c>
      <c r="BB7" s="411" t="s">
        <v>366</v>
      </c>
      <c r="BC7" s="37" t="s">
        <v>36</v>
      </c>
      <c r="BD7" s="104"/>
      <c r="BE7" s="104"/>
      <c r="BF7" s="104"/>
      <c r="BG7" s="105"/>
      <c r="BH7" s="106"/>
      <c r="BI7" s="106"/>
      <c r="BJ7" s="413">
        <f>IF(COUNT(BJ9:BJ23)=0,0,COUNT(BJ9:BJ23))</f>
        <v>0</v>
      </c>
      <c r="BK7" s="411" t="s">
        <v>366</v>
      </c>
    </row>
    <row r="8" spans="1:63">
      <c r="A8" s="265" t="s">
        <v>18</v>
      </c>
      <c r="B8" s="447" t="s">
        <v>19</v>
      </c>
      <c r="C8" s="447"/>
      <c r="D8" s="447"/>
      <c r="E8" s="266" t="s">
        <v>20</v>
      </c>
      <c r="F8" s="266" t="s">
        <v>0</v>
      </c>
      <c r="G8" s="266" t="s">
        <v>37</v>
      </c>
      <c r="H8" s="410" t="s">
        <v>21</v>
      </c>
      <c r="I8" s="268" t="s">
        <v>22</v>
      </c>
      <c r="J8" s="265" t="s">
        <v>18</v>
      </c>
      <c r="K8" s="447" t="s">
        <v>19</v>
      </c>
      <c r="L8" s="447"/>
      <c r="M8" s="447"/>
      <c r="N8" s="266" t="s">
        <v>20</v>
      </c>
      <c r="O8" s="266" t="s">
        <v>0</v>
      </c>
      <c r="P8" s="266" t="s">
        <v>37</v>
      </c>
      <c r="Q8" s="267" t="s">
        <v>21</v>
      </c>
      <c r="R8" s="268" t="s">
        <v>22</v>
      </c>
      <c r="S8" s="265" t="s">
        <v>18</v>
      </c>
      <c r="T8" s="447" t="s">
        <v>19</v>
      </c>
      <c r="U8" s="447"/>
      <c r="V8" s="447"/>
      <c r="W8" s="266" t="s">
        <v>20</v>
      </c>
      <c r="X8" s="266" t="s">
        <v>0</v>
      </c>
      <c r="Y8" s="266" t="s">
        <v>37</v>
      </c>
      <c r="Z8" s="267" t="s">
        <v>21</v>
      </c>
      <c r="AA8" s="268" t="s">
        <v>22</v>
      </c>
      <c r="AB8" s="265" t="s">
        <v>18</v>
      </c>
      <c r="AC8" s="447" t="s">
        <v>19</v>
      </c>
      <c r="AD8" s="447"/>
      <c r="AE8" s="447"/>
      <c r="AF8" s="266" t="s">
        <v>20</v>
      </c>
      <c r="AG8" s="266" t="s">
        <v>0</v>
      </c>
      <c r="AH8" s="266" t="s">
        <v>37</v>
      </c>
      <c r="AI8" s="267" t="s">
        <v>21</v>
      </c>
      <c r="AJ8" s="268" t="s">
        <v>22</v>
      </c>
      <c r="AK8" s="265" t="s">
        <v>18</v>
      </c>
      <c r="AL8" s="447" t="s">
        <v>19</v>
      </c>
      <c r="AM8" s="447"/>
      <c r="AN8" s="447"/>
      <c r="AO8" s="266" t="s">
        <v>20</v>
      </c>
      <c r="AP8" s="266" t="s">
        <v>0</v>
      </c>
      <c r="AQ8" s="266" t="s">
        <v>37</v>
      </c>
      <c r="AR8" s="267" t="s">
        <v>21</v>
      </c>
      <c r="AS8" s="268" t="s">
        <v>22</v>
      </c>
      <c r="AT8" s="265" t="s">
        <v>18</v>
      </c>
      <c r="AU8" s="447" t="s">
        <v>19</v>
      </c>
      <c r="AV8" s="447"/>
      <c r="AW8" s="447"/>
      <c r="AX8" s="266" t="s">
        <v>20</v>
      </c>
      <c r="AY8" s="266" t="s">
        <v>0</v>
      </c>
      <c r="AZ8" s="266" t="s">
        <v>37</v>
      </c>
      <c r="BA8" s="267" t="s">
        <v>21</v>
      </c>
      <c r="BB8" s="268" t="s">
        <v>22</v>
      </c>
      <c r="BC8" s="265" t="s">
        <v>18</v>
      </c>
      <c r="BD8" s="447" t="s">
        <v>19</v>
      </c>
      <c r="BE8" s="447"/>
      <c r="BF8" s="447"/>
      <c r="BG8" s="266" t="s">
        <v>20</v>
      </c>
      <c r="BH8" s="266" t="s">
        <v>0</v>
      </c>
      <c r="BI8" s="266" t="s">
        <v>37</v>
      </c>
      <c r="BJ8" s="267" t="s">
        <v>21</v>
      </c>
      <c r="BK8" s="268" t="s">
        <v>22</v>
      </c>
    </row>
    <row r="9" spans="1:63">
      <c r="A9" s="269">
        <v>0</v>
      </c>
      <c r="B9" s="443" t="str">
        <f>IF(A9="","",VLOOKUP(A9,案件コード!$A$1:$B$31,2,FALSE()))</f>
        <v>管理/会議/自習など雑務</v>
      </c>
      <c r="C9" s="443"/>
      <c r="D9" s="443"/>
      <c r="E9" s="102">
        <f t="shared" ref="E9:E23" si="0">IF(AND(F9="",G9=""),"",SUM(F9:G9))</f>
        <v>1</v>
      </c>
      <c r="F9" s="245"/>
      <c r="G9" s="244">
        <v>1</v>
      </c>
      <c r="H9" s="246"/>
      <c r="I9" s="270"/>
      <c r="J9" s="269"/>
      <c r="K9" s="443" t="str">
        <f>IF(J9="","",VLOOKUP(J9,案件コード!$A$1:$B$31,2,FALSE()))</f>
        <v/>
      </c>
      <c r="L9" s="443"/>
      <c r="M9" s="443"/>
      <c r="N9" s="102" t="str">
        <f t="shared" ref="N9:N23" si="1">IF(AND(O9="",P9=""),"",SUM(O9:P9))</f>
        <v/>
      </c>
      <c r="O9" s="245"/>
      <c r="P9" s="244"/>
      <c r="Q9" s="246"/>
      <c r="R9" s="270"/>
      <c r="S9" s="269"/>
      <c r="T9" s="443" t="str">
        <f>IF(S9="","",VLOOKUP(S9,案件コード!$A$1:$B$31,2,FALSE()))</f>
        <v/>
      </c>
      <c r="U9" s="443"/>
      <c r="V9" s="443"/>
      <c r="W9" s="102" t="str">
        <f t="shared" ref="W9:W23" si="2">IF(AND(X9="",Y9=""),"",SUM(X9:Y9))</f>
        <v/>
      </c>
      <c r="X9" s="245"/>
      <c r="Y9" s="244"/>
      <c r="Z9" s="246"/>
      <c r="AA9" s="278"/>
      <c r="AB9" s="269"/>
      <c r="AC9" s="443" t="str">
        <f>IF(AB9="","",VLOOKUP(AB9,案件コード!$A$1:$B$31,2,FALSE()))</f>
        <v/>
      </c>
      <c r="AD9" s="443"/>
      <c r="AE9" s="443"/>
      <c r="AF9" s="102" t="str">
        <f t="shared" ref="AF9:AF23" si="3">IF(AND(AG9="",AH9=""),"",SUM(AG9:AH9))</f>
        <v/>
      </c>
      <c r="AG9" s="245"/>
      <c r="AH9" s="244"/>
      <c r="AI9" s="246"/>
      <c r="AJ9" s="278"/>
      <c r="AK9" s="269"/>
      <c r="AL9" s="443" t="str">
        <f>IF(AK9="","",VLOOKUP(AK9,案件コード!$A$1:$B$31,2,FALSE()))</f>
        <v/>
      </c>
      <c r="AM9" s="443"/>
      <c r="AN9" s="443"/>
      <c r="AO9" s="102" t="str">
        <f t="shared" ref="AO9:AO23" si="4">IF(AND(AP9="",AQ9=""),"",SUM(AP9:AQ9))</f>
        <v/>
      </c>
      <c r="AP9" s="245"/>
      <c r="AQ9" s="244"/>
      <c r="AR9" s="246"/>
      <c r="AS9" s="278"/>
      <c r="AT9" s="269"/>
      <c r="AU9" s="443" t="str">
        <f>IF(AT9="","",VLOOKUP(AT9,案件コード!$A$1:$B$31,2,FALSE()))</f>
        <v/>
      </c>
      <c r="AV9" s="443"/>
      <c r="AW9" s="443"/>
      <c r="AX9" s="102" t="str">
        <f t="shared" ref="AX9:AX23" si="5">IF(AND(AY9="",AZ9=""),"",SUM(AY9:AZ9))</f>
        <v/>
      </c>
      <c r="AY9" s="245"/>
      <c r="AZ9" s="244"/>
      <c r="BA9" s="246"/>
      <c r="BB9" s="278"/>
      <c r="BC9" s="269"/>
      <c r="BD9" s="443" t="str">
        <f>IF(BC9="","",VLOOKUP(BC9,案件コード!$A$1:$B$31,2,FALSE()))</f>
        <v/>
      </c>
      <c r="BE9" s="443"/>
      <c r="BF9" s="443"/>
      <c r="BG9" s="102" t="str">
        <f t="shared" ref="BG9:BG23" si="6">IF(AND(BH9="",BI9=""),"",SUM(BH9:BI9))</f>
        <v/>
      </c>
      <c r="BH9" s="245"/>
      <c r="BI9" s="244"/>
      <c r="BJ9" s="246"/>
      <c r="BK9" s="278"/>
    </row>
    <row r="10" spans="1:63">
      <c r="A10" s="269">
        <v>4</v>
      </c>
      <c r="B10" s="443" t="str">
        <f>IF(A10="","",VLOOKUP(A10,案件コード!$A$1:$B$31,2,FALSE()))</f>
        <v>Webマーケティング</v>
      </c>
      <c r="C10" s="443"/>
      <c r="D10" s="443"/>
      <c r="E10" s="102">
        <f t="shared" si="0"/>
        <v>2</v>
      </c>
      <c r="F10" s="245">
        <v>2</v>
      </c>
      <c r="G10" s="244"/>
      <c r="H10" s="246">
        <v>8000</v>
      </c>
      <c r="I10" s="271"/>
      <c r="J10" s="269"/>
      <c r="K10" s="443" t="str">
        <f>IF(J10="","",VLOOKUP(J10,案件コード!$A$1:$B$31,2,FALSE()))</f>
        <v/>
      </c>
      <c r="L10" s="443"/>
      <c r="M10" s="443"/>
      <c r="N10" s="102" t="str">
        <f t="shared" si="1"/>
        <v/>
      </c>
      <c r="O10" s="245"/>
      <c r="P10" s="244"/>
      <c r="Q10" s="246"/>
      <c r="R10" s="271"/>
      <c r="S10" s="269"/>
      <c r="T10" s="443" t="str">
        <f>IF(S10="","",VLOOKUP(S10,案件コード!$A$1:$B$31,2,FALSE()))</f>
        <v/>
      </c>
      <c r="U10" s="443"/>
      <c r="V10" s="443"/>
      <c r="W10" s="102" t="str">
        <f t="shared" si="2"/>
        <v/>
      </c>
      <c r="X10" s="245"/>
      <c r="Y10" s="244"/>
      <c r="Z10" s="246"/>
      <c r="AA10" s="279"/>
      <c r="AB10" s="269"/>
      <c r="AC10" s="443" t="str">
        <f>IF(AB10="","",VLOOKUP(AB10,案件コード!$A$1:$B$31,2,FALSE()))</f>
        <v/>
      </c>
      <c r="AD10" s="443"/>
      <c r="AE10" s="443"/>
      <c r="AF10" s="102" t="str">
        <f t="shared" si="3"/>
        <v/>
      </c>
      <c r="AG10" s="245"/>
      <c r="AH10" s="244"/>
      <c r="AI10" s="246"/>
      <c r="AJ10" s="279"/>
      <c r="AK10" s="269"/>
      <c r="AL10" s="443" t="str">
        <f>IF(AK10="","",VLOOKUP(AK10,案件コード!$A$1:$B$31,2,FALSE()))</f>
        <v/>
      </c>
      <c r="AM10" s="443"/>
      <c r="AN10" s="443"/>
      <c r="AO10" s="102" t="str">
        <f t="shared" si="4"/>
        <v/>
      </c>
      <c r="AP10" s="245"/>
      <c r="AQ10" s="244"/>
      <c r="AR10" s="246"/>
      <c r="AS10" s="279"/>
      <c r="AT10" s="269"/>
      <c r="AU10" s="443" t="str">
        <f>IF(AT10="","",VLOOKUP(AT10,案件コード!$A$1:$B$31,2,FALSE()))</f>
        <v/>
      </c>
      <c r="AV10" s="443"/>
      <c r="AW10" s="443"/>
      <c r="AX10" s="102" t="str">
        <f t="shared" si="5"/>
        <v/>
      </c>
      <c r="AY10" s="245"/>
      <c r="AZ10" s="244"/>
      <c r="BA10" s="246"/>
      <c r="BB10" s="279"/>
      <c r="BC10" s="269"/>
      <c r="BD10" s="443" t="str">
        <f>IF(BC10="","",VLOOKUP(BC10,案件コード!$A$1:$B$31,2,FALSE()))</f>
        <v/>
      </c>
      <c r="BE10" s="443"/>
      <c r="BF10" s="443"/>
      <c r="BG10" s="102" t="str">
        <f t="shared" si="6"/>
        <v/>
      </c>
      <c r="BH10" s="245"/>
      <c r="BI10" s="244"/>
      <c r="BJ10" s="246"/>
      <c r="BK10" s="279"/>
    </row>
    <row r="11" spans="1:63">
      <c r="A11" s="269">
        <v>3</v>
      </c>
      <c r="B11" s="443" t="str">
        <f>IF(A11="","",VLOOKUP(A11,案件コード!$A$1:$B$31,2,FALSE()))</f>
        <v>プログラミング</v>
      </c>
      <c r="C11" s="443"/>
      <c r="D11" s="443"/>
      <c r="E11" s="102">
        <f t="shared" si="0"/>
        <v>5</v>
      </c>
      <c r="F11" s="245">
        <v>5</v>
      </c>
      <c r="G11" s="244"/>
      <c r="H11" s="246">
        <v>80000</v>
      </c>
      <c r="I11" s="271"/>
      <c r="J11" s="269"/>
      <c r="K11" s="443" t="str">
        <f>IF(J11="","",VLOOKUP(J11,案件コード!$A$1:$B$31,2,FALSE()))</f>
        <v/>
      </c>
      <c r="L11" s="443"/>
      <c r="M11" s="443"/>
      <c r="N11" s="102" t="str">
        <f t="shared" si="1"/>
        <v/>
      </c>
      <c r="O11" s="245"/>
      <c r="P11" s="244"/>
      <c r="Q11" s="246"/>
      <c r="R11" s="271"/>
      <c r="S11" s="269"/>
      <c r="T11" s="443" t="str">
        <f>IF(S11="","",VLOOKUP(S11,案件コード!$A$1:$B$31,2,FALSE()))</f>
        <v/>
      </c>
      <c r="U11" s="443"/>
      <c r="V11" s="443"/>
      <c r="W11" s="102" t="str">
        <f t="shared" si="2"/>
        <v/>
      </c>
      <c r="X11" s="245"/>
      <c r="Y11" s="244"/>
      <c r="Z11" s="246"/>
      <c r="AA11" s="279"/>
      <c r="AB11" s="269"/>
      <c r="AC11" s="443" t="str">
        <f>IF(AB11="","",VLOOKUP(AB11,案件コード!$A$1:$B$31,2,FALSE()))</f>
        <v/>
      </c>
      <c r="AD11" s="443"/>
      <c r="AE11" s="443"/>
      <c r="AF11" s="102" t="str">
        <f t="shared" si="3"/>
        <v/>
      </c>
      <c r="AG11" s="245"/>
      <c r="AH11" s="244"/>
      <c r="AI11" s="246"/>
      <c r="AJ11" s="279"/>
      <c r="AK11" s="269"/>
      <c r="AL11" s="443" t="str">
        <f>IF(AK11="","",VLOOKUP(AK11,案件コード!$A$1:$B$31,2,FALSE()))</f>
        <v/>
      </c>
      <c r="AM11" s="443"/>
      <c r="AN11" s="443"/>
      <c r="AO11" s="102" t="str">
        <f t="shared" si="4"/>
        <v/>
      </c>
      <c r="AP11" s="245"/>
      <c r="AQ11" s="244"/>
      <c r="AR11" s="246"/>
      <c r="AS11" s="279"/>
      <c r="AT11" s="269"/>
      <c r="AU11" s="443" t="str">
        <f>IF(AT11="","",VLOOKUP(AT11,案件コード!$A$1:$B$31,2,FALSE()))</f>
        <v/>
      </c>
      <c r="AV11" s="443"/>
      <c r="AW11" s="443"/>
      <c r="AX11" s="102" t="str">
        <f t="shared" si="5"/>
        <v/>
      </c>
      <c r="AY11" s="245"/>
      <c r="AZ11" s="244"/>
      <c r="BA11" s="246"/>
      <c r="BB11" s="279"/>
      <c r="BC11" s="269"/>
      <c r="BD11" s="443" t="str">
        <f>IF(BC11="","",VLOOKUP(BC11,案件コード!$A$1:$B$31,2,FALSE()))</f>
        <v/>
      </c>
      <c r="BE11" s="443"/>
      <c r="BF11" s="443"/>
      <c r="BG11" s="102" t="str">
        <f t="shared" si="6"/>
        <v/>
      </c>
      <c r="BH11" s="245"/>
      <c r="BI11" s="244"/>
      <c r="BJ11" s="246"/>
      <c r="BK11" s="279"/>
    </row>
    <row r="12" spans="1:63">
      <c r="A12" s="269"/>
      <c r="B12" s="443" t="str">
        <f>IF(A12="","",VLOOKUP(A12,案件コード!$A$1:$B$31,2,FALSE()))</f>
        <v/>
      </c>
      <c r="C12" s="443"/>
      <c r="D12" s="443"/>
      <c r="E12" s="102" t="str">
        <f t="shared" si="0"/>
        <v/>
      </c>
      <c r="F12" s="245"/>
      <c r="G12" s="244"/>
      <c r="H12" s="246"/>
      <c r="I12" s="271"/>
      <c r="J12" s="269"/>
      <c r="K12" s="443" t="str">
        <f>IF(J12="","",VLOOKUP(J12,案件コード!$A$1:$B$31,2,FALSE()))</f>
        <v/>
      </c>
      <c r="L12" s="443"/>
      <c r="M12" s="443"/>
      <c r="N12" s="102" t="str">
        <f t="shared" si="1"/>
        <v/>
      </c>
      <c r="O12" s="245"/>
      <c r="P12" s="244"/>
      <c r="Q12" s="246"/>
      <c r="R12" s="271"/>
      <c r="S12" s="269"/>
      <c r="T12" s="443" t="str">
        <f>IF(S12="","",VLOOKUP(S12,案件コード!$A$1:$B$31,2,FALSE()))</f>
        <v/>
      </c>
      <c r="U12" s="443"/>
      <c r="V12" s="443"/>
      <c r="W12" s="102" t="str">
        <f t="shared" si="2"/>
        <v/>
      </c>
      <c r="X12" s="245"/>
      <c r="Y12" s="244"/>
      <c r="Z12" s="246"/>
      <c r="AA12" s="279"/>
      <c r="AB12" s="269"/>
      <c r="AC12" s="443" t="str">
        <f>IF(AB12="","",VLOOKUP(AB12,案件コード!$A$1:$B$31,2,FALSE()))</f>
        <v/>
      </c>
      <c r="AD12" s="443"/>
      <c r="AE12" s="443"/>
      <c r="AF12" s="102" t="str">
        <f t="shared" si="3"/>
        <v/>
      </c>
      <c r="AG12" s="245"/>
      <c r="AH12" s="244"/>
      <c r="AI12" s="246"/>
      <c r="AJ12" s="279"/>
      <c r="AK12" s="269"/>
      <c r="AL12" s="443" t="str">
        <f>IF(AK12="","",VLOOKUP(AK12,案件コード!$A$1:$B$31,2,FALSE()))</f>
        <v/>
      </c>
      <c r="AM12" s="443"/>
      <c r="AN12" s="443"/>
      <c r="AO12" s="102" t="str">
        <f t="shared" si="4"/>
        <v/>
      </c>
      <c r="AP12" s="245"/>
      <c r="AQ12" s="244"/>
      <c r="AR12" s="246"/>
      <c r="AS12" s="279"/>
      <c r="AT12" s="269"/>
      <c r="AU12" s="443" t="str">
        <f>IF(AT12="","",VLOOKUP(AT12,案件コード!$A$1:$B$31,2,FALSE()))</f>
        <v/>
      </c>
      <c r="AV12" s="443"/>
      <c r="AW12" s="443"/>
      <c r="AX12" s="102" t="str">
        <f t="shared" si="5"/>
        <v/>
      </c>
      <c r="AY12" s="245"/>
      <c r="AZ12" s="244"/>
      <c r="BA12" s="246"/>
      <c r="BB12" s="279"/>
      <c r="BC12" s="269"/>
      <c r="BD12" s="443" t="str">
        <f>IF(BC12="","",VLOOKUP(BC12,案件コード!$A$1:$B$31,2,FALSE()))</f>
        <v/>
      </c>
      <c r="BE12" s="443"/>
      <c r="BF12" s="443"/>
      <c r="BG12" s="102" t="str">
        <f t="shared" si="6"/>
        <v/>
      </c>
      <c r="BH12" s="245"/>
      <c r="BI12" s="244"/>
      <c r="BJ12" s="246"/>
      <c r="BK12" s="279"/>
    </row>
    <row r="13" spans="1:63">
      <c r="A13" s="269"/>
      <c r="B13" s="443" t="str">
        <f>IF(A13="","",VLOOKUP(A13,案件コード!$A$1:$B$31,2,FALSE()))</f>
        <v/>
      </c>
      <c r="C13" s="443"/>
      <c r="D13" s="443"/>
      <c r="E13" s="102" t="str">
        <f t="shared" si="0"/>
        <v/>
      </c>
      <c r="F13" s="245"/>
      <c r="G13" s="244"/>
      <c r="H13" s="246"/>
      <c r="I13" s="271"/>
      <c r="J13" s="269"/>
      <c r="K13" s="443" t="str">
        <f>IF(J13="","",VLOOKUP(J13,案件コード!$A$1:$B$31,2,FALSE()))</f>
        <v/>
      </c>
      <c r="L13" s="443"/>
      <c r="M13" s="443"/>
      <c r="N13" s="102" t="str">
        <f t="shared" si="1"/>
        <v/>
      </c>
      <c r="O13" s="245"/>
      <c r="P13" s="244"/>
      <c r="Q13" s="246"/>
      <c r="R13" s="271"/>
      <c r="S13" s="269"/>
      <c r="T13" s="443" t="str">
        <f>IF(S13="","",VLOOKUP(S13,案件コード!$A$1:$B$31,2,FALSE()))</f>
        <v/>
      </c>
      <c r="U13" s="443"/>
      <c r="V13" s="443"/>
      <c r="W13" s="102" t="str">
        <f t="shared" si="2"/>
        <v/>
      </c>
      <c r="X13" s="245"/>
      <c r="Y13" s="244"/>
      <c r="Z13" s="246"/>
      <c r="AA13" s="279"/>
      <c r="AB13" s="269"/>
      <c r="AC13" s="443" t="str">
        <f>IF(AB13="","",VLOOKUP(AB13,案件コード!$A$1:$B$31,2,FALSE()))</f>
        <v/>
      </c>
      <c r="AD13" s="443"/>
      <c r="AE13" s="443"/>
      <c r="AF13" s="102" t="str">
        <f t="shared" si="3"/>
        <v/>
      </c>
      <c r="AG13" s="245"/>
      <c r="AH13" s="244"/>
      <c r="AI13" s="246"/>
      <c r="AJ13" s="279"/>
      <c r="AK13" s="269"/>
      <c r="AL13" s="443" t="str">
        <f>IF(AK13="","",VLOOKUP(AK13,案件コード!$A$1:$B$31,2,FALSE()))</f>
        <v/>
      </c>
      <c r="AM13" s="443"/>
      <c r="AN13" s="443"/>
      <c r="AO13" s="102" t="str">
        <f t="shared" si="4"/>
        <v/>
      </c>
      <c r="AP13" s="245"/>
      <c r="AQ13" s="244"/>
      <c r="AR13" s="246"/>
      <c r="AS13" s="279"/>
      <c r="AT13" s="269"/>
      <c r="AU13" s="443" t="str">
        <f>IF(AT13="","",VLOOKUP(AT13,案件コード!$A$1:$B$31,2,FALSE()))</f>
        <v/>
      </c>
      <c r="AV13" s="443"/>
      <c r="AW13" s="443"/>
      <c r="AX13" s="102" t="str">
        <f t="shared" si="5"/>
        <v/>
      </c>
      <c r="AY13" s="245"/>
      <c r="AZ13" s="244"/>
      <c r="BA13" s="246"/>
      <c r="BB13" s="279"/>
      <c r="BC13" s="269"/>
      <c r="BD13" s="443" t="str">
        <f>IF(BC13="","",VLOOKUP(BC13,案件コード!$A$1:$B$31,2,FALSE()))</f>
        <v/>
      </c>
      <c r="BE13" s="443"/>
      <c r="BF13" s="443"/>
      <c r="BG13" s="102" t="str">
        <f t="shared" si="6"/>
        <v/>
      </c>
      <c r="BH13" s="245"/>
      <c r="BI13" s="244"/>
      <c r="BJ13" s="246"/>
      <c r="BK13" s="279"/>
    </row>
    <row r="14" spans="1:63">
      <c r="A14" s="269"/>
      <c r="B14" s="443" t="str">
        <f>IF(A14="","",VLOOKUP(A14,案件コード!$A$1:$B$31,2,FALSE()))</f>
        <v/>
      </c>
      <c r="C14" s="443"/>
      <c r="D14" s="443"/>
      <c r="E14" s="102" t="str">
        <f t="shared" si="0"/>
        <v/>
      </c>
      <c r="F14" s="245"/>
      <c r="G14" s="244"/>
      <c r="H14" s="246"/>
      <c r="I14" s="271"/>
      <c r="J14" s="269"/>
      <c r="K14" s="443" t="str">
        <f>IF(J14="","",VLOOKUP(J14,案件コード!$A$1:$B$31,2,FALSE()))</f>
        <v/>
      </c>
      <c r="L14" s="443"/>
      <c r="M14" s="443"/>
      <c r="N14" s="102" t="str">
        <f t="shared" si="1"/>
        <v/>
      </c>
      <c r="O14" s="245"/>
      <c r="P14" s="244"/>
      <c r="Q14" s="246"/>
      <c r="R14" s="271"/>
      <c r="S14" s="269"/>
      <c r="T14" s="443" t="str">
        <f>IF(S14="","",VLOOKUP(S14,案件コード!$A$1:$B$31,2,FALSE()))</f>
        <v/>
      </c>
      <c r="U14" s="443"/>
      <c r="V14" s="443"/>
      <c r="W14" s="102" t="str">
        <f t="shared" si="2"/>
        <v/>
      </c>
      <c r="X14" s="245"/>
      <c r="Y14" s="244"/>
      <c r="Z14" s="246"/>
      <c r="AA14" s="279"/>
      <c r="AB14" s="269"/>
      <c r="AC14" s="443" t="str">
        <f>IF(AB14="","",VLOOKUP(AB14,案件コード!$A$1:$B$31,2,FALSE()))</f>
        <v/>
      </c>
      <c r="AD14" s="443"/>
      <c r="AE14" s="443"/>
      <c r="AF14" s="102" t="str">
        <f t="shared" si="3"/>
        <v/>
      </c>
      <c r="AG14" s="245"/>
      <c r="AH14" s="244"/>
      <c r="AI14" s="246"/>
      <c r="AJ14" s="279"/>
      <c r="AK14" s="269"/>
      <c r="AL14" s="443" t="str">
        <f>IF(AK14="","",VLOOKUP(AK14,案件コード!$A$1:$B$31,2,FALSE()))</f>
        <v/>
      </c>
      <c r="AM14" s="443"/>
      <c r="AN14" s="443"/>
      <c r="AO14" s="102" t="str">
        <f t="shared" si="4"/>
        <v/>
      </c>
      <c r="AP14" s="245"/>
      <c r="AQ14" s="244"/>
      <c r="AR14" s="246"/>
      <c r="AS14" s="279"/>
      <c r="AT14" s="269"/>
      <c r="AU14" s="443" t="str">
        <f>IF(AT14="","",VLOOKUP(AT14,案件コード!$A$1:$B$31,2,FALSE()))</f>
        <v/>
      </c>
      <c r="AV14" s="443"/>
      <c r="AW14" s="443"/>
      <c r="AX14" s="102" t="str">
        <f t="shared" si="5"/>
        <v/>
      </c>
      <c r="AY14" s="245"/>
      <c r="AZ14" s="244"/>
      <c r="BA14" s="246"/>
      <c r="BB14" s="279"/>
      <c r="BC14" s="269"/>
      <c r="BD14" s="443" t="str">
        <f>IF(BC14="","",VLOOKUP(BC14,案件コード!$A$1:$B$31,2,FALSE()))</f>
        <v/>
      </c>
      <c r="BE14" s="443"/>
      <c r="BF14" s="443"/>
      <c r="BG14" s="102" t="str">
        <f t="shared" si="6"/>
        <v/>
      </c>
      <c r="BH14" s="245"/>
      <c r="BI14" s="244"/>
      <c r="BJ14" s="246"/>
      <c r="BK14" s="279"/>
    </row>
    <row r="15" spans="1:63">
      <c r="A15" s="269"/>
      <c r="B15" s="443" t="str">
        <f>IF(A15="","",VLOOKUP(A15,案件コード!$A$1:$B$31,2,FALSE()))</f>
        <v/>
      </c>
      <c r="C15" s="443"/>
      <c r="D15" s="443"/>
      <c r="E15" s="102" t="str">
        <f t="shared" si="0"/>
        <v/>
      </c>
      <c r="F15" s="245"/>
      <c r="G15" s="244"/>
      <c r="H15" s="246"/>
      <c r="I15" s="271"/>
      <c r="J15" s="269"/>
      <c r="K15" s="443" t="str">
        <f>IF(J15="","",VLOOKUP(J15,案件コード!$A$1:$B$31,2,FALSE()))</f>
        <v/>
      </c>
      <c r="L15" s="443"/>
      <c r="M15" s="443"/>
      <c r="N15" s="102" t="str">
        <f t="shared" si="1"/>
        <v/>
      </c>
      <c r="O15" s="245"/>
      <c r="P15" s="244"/>
      <c r="Q15" s="246"/>
      <c r="R15" s="271"/>
      <c r="S15" s="269"/>
      <c r="T15" s="443" t="str">
        <f>IF(S15="","",VLOOKUP(S15,案件コード!$A$1:$B$31,2,FALSE()))</f>
        <v/>
      </c>
      <c r="U15" s="443"/>
      <c r="V15" s="443"/>
      <c r="W15" s="102" t="str">
        <f t="shared" si="2"/>
        <v/>
      </c>
      <c r="X15" s="245"/>
      <c r="Y15" s="244"/>
      <c r="Z15" s="246"/>
      <c r="AA15" s="279"/>
      <c r="AB15" s="269"/>
      <c r="AC15" s="443" t="str">
        <f>IF(AB15="","",VLOOKUP(AB15,案件コード!$A$1:$B$31,2,FALSE()))</f>
        <v/>
      </c>
      <c r="AD15" s="443"/>
      <c r="AE15" s="443"/>
      <c r="AF15" s="102" t="str">
        <f t="shared" si="3"/>
        <v/>
      </c>
      <c r="AG15" s="245"/>
      <c r="AH15" s="244"/>
      <c r="AI15" s="246"/>
      <c r="AJ15" s="279"/>
      <c r="AK15" s="269"/>
      <c r="AL15" s="443" t="str">
        <f>IF(AK15="","",VLOOKUP(AK15,案件コード!$A$1:$B$31,2,FALSE()))</f>
        <v/>
      </c>
      <c r="AM15" s="443"/>
      <c r="AN15" s="443"/>
      <c r="AO15" s="102" t="str">
        <f t="shared" si="4"/>
        <v/>
      </c>
      <c r="AP15" s="245"/>
      <c r="AQ15" s="244"/>
      <c r="AR15" s="246"/>
      <c r="AS15" s="279"/>
      <c r="AT15" s="269"/>
      <c r="AU15" s="443" t="str">
        <f>IF(AT15="","",VLOOKUP(AT15,案件コード!$A$1:$B$31,2,FALSE()))</f>
        <v/>
      </c>
      <c r="AV15" s="443"/>
      <c r="AW15" s="443"/>
      <c r="AX15" s="102" t="str">
        <f t="shared" si="5"/>
        <v/>
      </c>
      <c r="AY15" s="245"/>
      <c r="AZ15" s="244"/>
      <c r="BA15" s="246"/>
      <c r="BB15" s="279"/>
      <c r="BC15" s="269"/>
      <c r="BD15" s="443" t="str">
        <f>IF(BC15="","",VLOOKUP(BC15,案件コード!$A$1:$B$31,2,FALSE()))</f>
        <v/>
      </c>
      <c r="BE15" s="443"/>
      <c r="BF15" s="443"/>
      <c r="BG15" s="102" t="str">
        <f t="shared" si="6"/>
        <v/>
      </c>
      <c r="BH15" s="245"/>
      <c r="BI15" s="244"/>
      <c r="BJ15" s="246"/>
      <c r="BK15" s="279"/>
    </row>
    <row r="16" spans="1:63">
      <c r="A16" s="269"/>
      <c r="B16" s="443" t="str">
        <f>IF(A16="","",VLOOKUP(A16,案件コード!$A$1:$B$31,2,FALSE()))</f>
        <v/>
      </c>
      <c r="C16" s="443"/>
      <c r="D16" s="443"/>
      <c r="E16" s="102" t="str">
        <f t="shared" si="0"/>
        <v/>
      </c>
      <c r="F16" s="245"/>
      <c r="G16" s="244"/>
      <c r="H16" s="246"/>
      <c r="I16" s="271"/>
      <c r="J16" s="269"/>
      <c r="K16" s="443" t="str">
        <f>IF(J16="","",VLOOKUP(J16,案件コード!$A$1:$B$31,2,FALSE()))</f>
        <v/>
      </c>
      <c r="L16" s="443"/>
      <c r="M16" s="443"/>
      <c r="N16" s="102" t="str">
        <f t="shared" si="1"/>
        <v/>
      </c>
      <c r="O16" s="245"/>
      <c r="P16" s="244"/>
      <c r="Q16" s="246"/>
      <c r="R16" s="271"/>
      <c r="S16" s="269"/>
      <c r="T16" s="443" t="str">
        <f>IF(S16="","",VLOOKUP(S16,案件コード!$A$1:$B$31,2,FALSE()))</f>
        <v/>
      </c>
      <c r="U16" s="443"/>
      <c r="V16" s="443"/>
      <c r="W16" s="102" t="str">
        <f t="shared" si="2"/>
        <v/>
      </c>
      <c r="X16" s="245"/>
      <c r="Y16" s="244"/>
      <c r="Z16" s="246"/>
      <c r="AA16" s="279"/>
      <c r="AB16" s="269"/>
      <c r="AC16" s="443" t="str">
        <f>IF(AB16="","",VLOOKUP(AB16,案件コード!$A$1:$B$31,2,FALSE()))</f>
        <v/>
      </c>
      <c r="AD16" s="443"/>
      <c r="AE16" s="443"/>
      <c r="AF16" s="102" t="str">
        <f t="shared" si="3"/>
        <v/>
      </c>
      <c r="AG16" s="245"/>
      <c r="AH16" s="244"/>
      <c r="AI16" s="246"/>
      <c r="AJ16" s="279"/>
      <c r="AK16" s="269"/>
      <c r="AL16" s="443" t="str">
        <f>IF(AK16="","",VLOOKUP(AK16,案件コード!$A$1:$B$31,2,FALSE()))</f>
        <v/>
      </c>
      <c r="AM16" s="443"/>
      <c r="AN16" s="443"/>
      <c r="AO16" s="102" t="str">
        <f t="shared" si="4"/>
        <v/>
      </c>
      <c r="AP16" s="245"/>
      <c r="AQ16" s="244"/>
      <c r="AR16" s="246"/>
      <c r="AS16" s="279"/>
      <c r="AT16" s="269"/>
      <c r="AU16" s="443" t="str">
        <f>IF(AT16="","",VLOOKUP(AT16,案件コード!$A$1:$B$31,2,FALSE()))</f>
        <v/>
      </c>
      <c r="AV16" s="443"/>
      <c r="AW16" s="443"/>
      <c r="AX16" s="102" t="str">
        <f t="shared" si="5"/>
        <v/>
      </c>
      <c r="AY16" s="245"/>
      <c r="AZ16" s="244"/>
      <c r="BA16" s="246"/>
      <c r="BB16" s="279"/>
      <c r="BC16" s="269"/>
      <c r="BD16" s="443" t="str">
        <f>IF(BC16="","",VLOOKUP(BC16,案件コード!$A$1:$B$31,2,FALSE()))</f>
        <v/>
      </c>
      <c r="BE16" s="443"/>
      <c r="BF16" s="443"/>
      <c r="BG16" s="102" t="str">
        <f t="shared" si="6"/>
        <v/>
      </c>
      <c r="BH16" s="245"/>
      <c r="BI16" s="244"/>
      <c r="BJ16" s="246"/>
      <c r="BK16" s="279"/>
    </row>
    <row r="17" spans="1:63">
      <c r="A17" s="269"/>
      <c r="B17" s="443" t="str">
        <f>IF(A17="","",VLOOKUP(A17,案件コード!$A$1:$B$31,2,FALSE()))</f>
        <v/>
      </c>
      <c r="C17" s="443"/>
      <c r="D17" s="443"/>
      <c r="E17" s="102" t="str">
        <f t="shared" si="0"/>
        <v/>
      </c>
      <c r="F17" s="245"/>
      <c r="G17" s="244"/>
      <c r="H17" s="246"/>
      <c r="I17" s="271"/>
      <c r="J17" s="269"/>
      <c r="K17" s="443" t="str">
        <f>IF(J17="","",VLOOKUP(J17,案件コード!$A$1:$B$31,2,FALSE()))</f>
        <v/>
      </c>
      <c r="L17" s="443"/>
      <c r="M17" s="443"/>
      <c r="N17" s="102" t="str">
        <f t="shared" si="1"/>
        <v/>
      </c>
      <c r="O17" s="245"/>
      <c r="P17" s="244"/>
      <c r="Q17" s="246"/>
      <c r="R17" s="271"/>
      <c r="S17" s="269"/>
      <c r="T17" s="443" t="str">
        <f>IF(S17="","",VLOOKUP(S17,案件コード!$A$1:$B$31,2,FALSE()))</f>
        <v/>
      </c>
      <c r="U17" s="443"/>
      <c r="V17" s="443"/>
      <c r="W17" s="102" t="str">
        <f t="shared" si="2"/>
        <v/>
      </c>
      <c r="X17" s="245"/>
      <c r="Y17" s="244"/>
      <c r="Z17" s="246"/>
      <c r="AA17" s="279"/>
      <c r="AB17" s="269"/>
      <c r="AC17" s="443" t="str">
        <f>IF(AB17="","",VLOOKUP(AB17,案件コード!$A$1:$B$31,2,FALSE()))</f>
        <v/>
      </c>
      <c r="AD17" s="443"/>
      <c r="AE17" s="443"/>
      <c r="AF17" s="102" t="str">
        <f t="shared" si="3"/>
        <v/>
      </c>
      <c r="AG17" s="245"/>
      <c r="AH17" s="244"/>
      <c r="AI17" s="246"/>
      <c r="AJ17" s="279"/>
      <c r="AK17" s="269"/>
      <c r="AL17" s="443" t="str">
        <f>IF(AK17="","",VLOOKUP(AK17,案件コード!$A$1:$B$31,2,FALSE()))</f>
        <v/>
      </c>
      <c r="AM17" s="443"/>
      <c r="AN17" s="443"/>
      <c r="AO17" s="102" t="str">
        <f t="shared" si="4"/>
        <v/>
      </c>
      <c r="AP17" s="245"/>
      <c r="AQ17" s="244"/>
      <c r="AR17" s="246"/>
      <c r="AS17" s="279"/>
      <c r="AT17" s="269"/>
      <c r="AU17" s="443" t="str">
        <f>IF(AT17="","",VLOOKUP(AT17,案件コード!$A$1:$B$31,2,FALSE()))</f>
        <v/>
      </c>
      <c r="AV17" s="443"/>
      <c r="AW17" s="443"/>
      <c r="AX17" s="102" t="str">
        <f t="shared" si="5"/>
        <v/>
      </c>
      <c r="AY17" s="245"/>
      <c r="AZ17" s="244"/>
      <c r="BA17" s="246"/>
      <c r="BB17" s="279"/>
      <c r="BC17" s="269"/>
      <c r="BD17" s="443" t="str">
        <f>IF(BC17="","",VLOOKUP(BC17,案件コード!$A$1:$B$31,2,FALSE()))</f>
        <v/>
      </c>
      <c r="BE17" s="443"/>
      <c r="BF17" s="443"/>
      <c r="BG17" s="102" t="str">
        <f t="shared" si="6"/>
        <v/>
      </c>
      <c r="BH17" s="245"/>
      <c r="BI17" s="244"/>
      <c r="BJ17" s="246"/>
      <c r="BK17" s="279"/>
    </row>
    <row r="18" spans="1:63">
      <c r="A18" s="269"/>
      <c r="B18" s="443" t="str">
        <f>IF(A18="","",VLOOKUP(A18,案件コード!$A$1:$B$31,2,FALSE()))</f>
        <v/>
      </c>
      <c r="C18" s="443"/>
      <c r="D18" s="443"/>
      <c r="E18" s="102" t="str">
        <f t="shared" si="0"/>
        <v/>
      </c>
      <c r="F18" s="245"/>
      <c r="G18" s="244"/>
      <c r="H18" s="246"/>
      <c r="I18" s="271"/>
      <c r="J18" s="269"/>
      <c r="K18" s="443" t="str">
        <f>IF(J18="","",VLOOKUP(J18,案件コード!$A$1:$B$31,2,FALSE()))</f>
        <v/>
      </c>
      <c r="L18" s="443"/>
      <c r="M18" s="443"/>
      <c r="N18" s="102" t="str">
        <f t="shared" si="1"/>
        <v/>
      </c>
      <c r="O18" s="245"/>
      <c r="P18" s="244"/>
      <c r="Q18" s="246"/>
      <c r="R18" s="271"/>
      <c r="S18" s="269"/>
      <c r="T18" s="443" t="str">
        <f>IF(S18="","",VLOOKUP(S18,案件コード!$A$1:$B$31,2,FALSE()))</f>
        <v/>
      </c>
      <c r="U18" s="443"/>
      <c r="V18" s="443"/>
      <c r="W18" s="102" t="str">
        <f t="shared" si="2"/>
        <v/>
      </c>
      <c r="X18" s="245"/>
      <c r="Y18" s="244"/>
      <c r="Z18" s="246"/>
      <c r="AA18" s="279"/>
      <c r="AB18" s="269"/>
      <c r="AC18" s="443" t="str">
        <f>IF(AB18="","",VLOOKUP(AB18,案件コード!$A$1:$B$31,2,FALSE()))</f>
        <v/>
      </c>
      <c r="AD18" s="443"/>
      <c r="AE18" s="443"/>
      <c r="AF18" s="102" t="str">
        <f t="shared" si="3"/>
        <v/>
      </c>
      <c r="AG18" s="245"/>
      <c r="AH18" s="244"/>
      <c r="AI18" s="246"/>
      <c r="AJ18" s="279"/>
      <c r="AK18" s="269"/>
      <c r="AL18" s="443" t="str">
        <f>IF(AK18="","",VLOOKUP(AK18,案件コード!$A$1:$B$31,2,FALSE()))</f>
        <v/>
      </c>
      <c r="AM18" s="443"/>
      <c r="AN18" s="443"/>
      <c r="AO18" s="102" t="str">
        <f t="shared" si="4"/>
        <v/>
      </c>
      <c r="AP18" s="245"/>
      <c r="AQ18" s="244"/>
      <c r="AR18" s="246"/>
      <c r="AS18" s="279"/>
      <c r="AT18" s="269"/>
      <c r="AU18" s="443" t="str">
        <f>IF(AT18="","",VLOOKUP(AT18,案件コード!$A$1:$B$31,2,FALSE()))</f>
        <v/>
      </c>
      <c r="AV18" s="443"/>
      <c r="AW18" s="443"/>
      <c r="AX18" s="102" t="str">
        <f t="shared" si="5"/>
        <v/>
      </c>
      <c r="AY18" s="245"/>
      <c r="AZ18" s="244"/>
      <c r="BA18" s="246"/>
      <c r="BB18" s="279"/>
      <c r="BC18" s="269"/>
      <c r="BD18" s="443" t="str">
        <f>IF(BC18="","",VLOOKUP(BC18,案件コード!$A$1:$B$31,2,FALSE()))</f>
        <v/>
      </c>
      <c r="BE18" s="443"/>
      <c r="BF18" s="443"/>
      <c r="BG18" s="102" t="str">
        <f t="shared" si="6"/>
        <v/>
      </c>
      <c r="BH18" s="245"/>
      <c r="BI18" s="244"/>
      <c r="BJ18" s="246"/>
      <c r="BK18" s="279"/>
    </row>
    <row r="19" spans="1:63">
      <c r="A19" s="269"/>
      <c r="B19" s="443" t="str">
        <f>IF(A19="","",VLOOKUP(A19,案件コード!$A$1:$B$31,2,FALSE()))</f>
        <v/>
      </c>
      <c r="C19" s="443"/>
      <c r="D19" s="443"/>
      <c r="E19" s="102" t="str">
        <f t="shared" si="0"/>
        <v/>
      </c>
      <c r="F19" s="245"/>
      <c r="G19" s="244"/>
      <c r="H19" s="246"/>
      <c r="I19" s="271"/>
      <c r="J19" s="269"/>
      <c r="K19" s="443" t="str">
        <f>IF(J19="","",VLOOKUP(J19,案件コード!$A$1:$B$31,2,FALSE()))</f>
        <v/>
      </c>
      <c r="L19" s="443"/>
      <c r="M19" s="443"/>
      <c r="N19" s="102" t="str">
        <f t="shared" si="1"/>
        <v/>
      </c>
      <c r="O19" s="245"/>
      <c r="P19" s="244"/>
      <c r="Q19" s="246"/>
      <c r="R19" s="271"/>
      <c r="S19" s="269"/>
      <c r="T19" s="443" t="str">
        <f>IF(S19="","",VLOOKUP(S19,案件コード!$A$1:$B$31,2,FALSE()))</f>
        <v/>
      </c>
      <c r="U19" s="443"/>
      <c r="V19" s="443"/>
      <c r="W19" s="102" t="str">
        <f t="shared" si="2"/>
        <v/>
      </c>
      <c r="X19" s="245"/>
      <c r="Y19" s="244"/>
      <c r="Z19" s="246"/>
      <c r="AA19" s="279"/>
      <c r="AB19" s="269"/>
      <c r="AC19" s="443" t="str">
        <f>IF(AB19="","",VLOOKUP(AB19,案件コード!$A$1:$B$31,2,FALSE()))</f>
        <v/>
      </c>
      <c r="AD19" s="443"/>
      <c r="AE19" s="443"/>
      <c r="AF19" s="102" t="str">
        <f t="shared" si="3"/>
        <v/>
      </c>
      <c r="AG19" s="245"/>
      <c r="AH19" s="244"/>
      <c r="AI19" s="246"/>
      <c r="AJ19" s="279"/>
      <c r="AK19" s="269"/>
      <c r="AL19" s="443" t="str">
        <f>IF(AK19="","",VLOOKUP(AK19,案件コード!$A$1:$B$31,2,FALSE()))</f>
        <v/>
      </c>
      <c r="AM19" s="443"/>
      <c r="AN19" s="443"/>
      <c r="AO19" s="102" t="str">
        <f t="shared" si="4"/>
        <v/>
      </c>
      <c r="AP19" s="245"/>
      <c r="AQ19" s="244"/>
      <c r="AR19" s="246"/>
      <c r="AS19" s="279"/>
      <c r="AT19" s="269"/>
      <c r="AU19" s="443" t="str">
        <f>IF(AT19="","",VLOOKUP(AT19,案件コード!$A$1:$B$31,2,FALSE()))</f>
        <v/>
      </c>
      <c r="AV19" s="443"/>
      <c r="AW19" s="443"/>
      <c r="AX19" s="102" t="str">
        <f t="shared" si="5"/>
        <v/>
      </c>
      <c r="AY19" s="245"/>
      <c r="AZ19" s="244"/>
      <c r="BA19" s="246"/>
      <c r="BB19" s="279"/>
      <c r="BC19" s="269"/>
      <c r="BD19" s="443" t="str">
        <f>IF(BC19="","",VLOOKUP(BC19,案件コード!$A$1:$B$31,2,FALSE()))</f>
        <v/>
      </c>
      <c r="BE19" s="443"/>
      <c r="BF19" s="443"/>
      <c r="BG19" s="102" t="str">
        <f t="shared" si="6"/>
        <v/>
      </c>
      <c r="BH19" s="245"/>
      <c r="BI19" s="244"/>
      <c r="BJ19" s="246"/>
      <c r="BK19" s="279"/>
    </row>
    <row r="20" spans="1:63">
      <c r="A20" s="269"/>
      <c r="B20" s="443" t="str">
        <f>IF(A20="","",VLOOKUP(A20,案件コード!$A$1:$B$31,2,FALSE()))</f>
        <v/>
      </c>
      <c r="C20" s="443"/>
      <c r="D20" s="443"/>
      <c r="E20" s="102" t="str">
        <f t="shared" si="0"/>
        <v/>
      </c>
      <c r="F20" s="245"/>
      <c r="G20" s="244"/>
      <c r="H20" s="246"/>
      <c r="I20" s="271"/>
      <c r="J20" s="269"/>
      <c r="K20" s="443" t="str">
        <f>IF(J20="","",VLOOKUP(J20,案件コード!$A$1:$B$31,2,FALSE()))</f>
        <v/>
      </c>
      <c r="L20" s="443"/>
      <c r="M20" s="443"/>
      <c r="N20" s="102" t="str">
        <f t="shared" si="1"/>
        <v/>
      </c>
      <c r="O20" s="245"/>
      <c r="P20" s="244"/>
      <c r="Q20" s="246"/>
      <c r="R20" s="271"/>
      <c r="S20" s="269"/>
      <c r="T20" s="443" t="str">
        <f>IF(S20="","",VLOOKUP(S20,案件コード!$A$1:$B$31,2,FALSE()))</f>
        <v/>
      </c>
      <c r="U20" s="443"/>
      <c r="V20" s="443"/>
      <c r="W20" s="102" t="str">
        <f t="shared" si="2"/>
        <v/>
      </c>
      <c r="X20" s="245"/>
      <c r="Y20" s="244"/>
      <c r="Z20" s="246"/>
      <c r="AA20" s="279"/>
      <c r="AB20" s="269"/>
      <c r="AC20" s="443" t="str">
        <f>IF(AB20="","",VLOOKUP(AB20,案件コード!$A$1:$B$31,2,FALSE()))</f>
        <v/>
      </c>
      <c r="AD20" s="443"/>
      <c r="AE20" s="443"/>
      <c r="AF20" s="102" t="str">
        <f t="shared" si="3"/>
        <v/>
      </c>
      <c r="AG20" s="245"/>
      <c r="AH20" s="244"/>
      <c r="AI20" s="246"/>
      <c r="AJ20" s="279"/>
      <c r="AK20" s="269"/>
      <c r="AL20" s="443" t="str">
        <f>IF(AK20="","",VLOOKUP(AK20,案件コード!$A$1:$B$31,2,FALSE()))</f>
        <v/>
      </c>
      <c r="AM20" s="443"/>
      <c r="AN20" s="443"/>
      <c r="AO20" s="102" t="str">
        <f t="shared" si="4"/>
        <v/>
      </c>
      <c r="AP20" s="245"/>
      <c r="AQ20" s="244"/>
      <c r="AR20" s="246"/>
      <c r="AS20" s="279"/>
      <c r="AT20" s="269"/>
      <c r="AU20" s="443" t="str">
        <f>IF(AT20="","",VLOOKUP(AT20,案件コード!$A$1:$B$31,2,FALSE()))</f>
        <v/>
      </c>
      <c r="AV20" s="443"/>
      <c r="AW20" s="443"/>
      <c r="AX20" s="102" t="str">
        <f t="shared" si="5"/>
        <v/>
      </c>
      <c r="AY20" s="245"/>
      <c r="AZ20" s="244"/>
      <c r="BA20" s="246"/>
      <c r="BB20" s="279"/>
      <c r="BC20" s="269"/>
      <c r="BD20" s="443" t="str">
        <f>IF(BC20="","",VLOOKUP(BC20,案件コード!$A$1:$B$31,2,FALSE()))</f>
        <v/>
      </c>
      <c r="BE20" s="443"/>
      <c r="BF20" s="443"/>
      <c r="BG20" s="102" t="str">
        <f t="shared" si="6"/>
        <v/>
      </c>
      <c r="BH20" s="245"/>
      <c r="BI20" s="244"/>
      <c r="BJ20" s="246"/>
      <c r="BK20" s="279"/>
    </row>
    <row r="21" spans="1:63">
      <c r="A21" s="269"/>
      <c r="B21" s="443" t="str">
        <f>IF(A21="","",VLOOKUP(A21,案件コード!$A$1:$B$31,2,FALSE()))</f>
        <v/>
      </c>
      <c r="C21" s="443"/>
      <c r="D21" s="443"/>
      <c r="E21" s="102" t="str">
        <f t="shared" si="0"/>
        <v/>
      </c>
      <c r="F21" s="245"/>
      <c r="G21" s="244"/>
      <c r="H21" s="246"/>
      <c r="I21" s="271"/>
      <c r="J21" s="269"/>
      <c r="K21" s="443" t="str">
        <f>IF(J21="","",VLOOKUP(J21,案件コード!$A$1:$B$31,2,FALSE()))</f>
        <v/>
      </c>
      <c r="L21" s="443"/>
      <c r="M21" s="443"/>
      <c r="N21" s="102" t="str">
        <f t="shared" si="1"/>
        <v/>
      </c>
      <c r="O21" s="245"/>
      <c r="P21" s="244"/>
      <c r="Q21" s="246"/>
      <c r="R21" s="271"/>
      <c r="S21" s="269"/>
      <c r="T21" s="443" t="str">
        <f>IF(S21="","",VLOOKUP(S21,案件コード!$A$1:$B$31,2,FALSE()))</f>
        <v/>
      </c>
      <c r="U21" s="443"/>
      <c r="V21" s="443"/>
      <c r="W21" s="102" t="str">
        <f t="shared" si="2"/>
        <v/>
      </c>
      <c r="X21" s="245"/>
      <c r="Y21" s="244"/>
      <c r="Z21" s="246"/>
      <c r="AA21" s="279"/>
      <c r="AB21" s="269"/>
      <c r="AC21" s="443" t="str">
        <f>IF(AB21="","",VLOOKUP(AB21,案件コード!$A$1:$B$31,2,FALSE()))</f>
        <v/>
      </c>
      <c r="AD21" s="443"/>
      <c r="AE21" s="443"/>
      <c r="AF21" s="102" t="str">
        <f t="shared" si="3"/>
        <v/>
      </c>
      <c r="AG21" s="245"/>
      <c r="AH21" s="244"/>
      <c r="AI21" s="246"/>
      <c r="AJ21" s="279"/>
      <c r="AK21" s="269"/>
      <c r="AL21" s="443" t="str">
        <f>IF(AK21="","",VLOOKUP(AK21,案件コード!$A$1:$B$31,2,FALSE()))</f>
        <v/>
      </c>
      <c r="AM21" s="443"/>
      <c r="AN21" s="443"/>
      <c r="AO21" s="102" t="str">
        <f t="shared" si="4"/>
        <v/>
      </c>
      <c r="AP21" s="245"/>
      <c r="AQ21" s="244"/>
      <c r="AR21" s="246"/>
      <c r="AS21" s="279"/>
      <c r="AT21" s="269"/>
      <c r="AU21" s="443" t="str">
        <f>IF(AT21="","",VLOOKUP(AT21,案件コード!$A$1:$B$31,2,FALSE()))</f>
        <v/>
      </c>
      <c r="AV21" s="443"/>
      <c r="AW21" s="443"/>
      <c r="AX21" s="102" t="str">
        <f t="shared" si="5"/>
        <v/>
      </c>
      <c r="AY21" s="245"/>
      <c r="AZ21" s="244"/>
      <c r="BA21" s="246"/>
      <c r="BB21" s="279"/>
      <c r="BC21" s="269"/>
      <c r="BD21" s="443" t="str">
        <f>IF(BC21="","",VLOOKUP(BC21,案件コード!$A$1:$B$31,2,FALSE()))</f>
        <v/>
      </c>
      <c r="BE21" s="443"/>
      <c r="BF21" s="443"/>
      <c r="BG21" s="102" t="str">
        <f t="shared" si="6"/>
        <v/>
      </c>
      <c r="BH21" s="245"/>
      <c r="BI21" s="244"/>
      <c r="BJ21" s="246"/>
      <c r="BK21" s="279"/>
    </row>
    <row r="22" spans="1:63">
      <c r="A22" s="269"/>
      <c r="B22" s="443" t="str">
        <f>IF(A22="","",VLOOKUP(A22,案件コード!$A$1:$B$31,2,FALSE()))</f>
        <v/>
      </c>
      <c r="C22" s="443"/>
      <c r="D22" s="443"/>
      <c r="E22" s="102" t="str">
        <f t="shared" si="0"/>
        <v/>
      </c>
      <c r="F22" s="245"/>
      <c r="G22" s="244"/>
      <c r="H22" s="246"/>
      <c r="I22" s="271"/>
      <c r="J22" s="269"/>
      <c r="K22" s="443" t="str">
        <f>IF(J22="","",VLOOKUP(J22,案件コード!$A$1:$B$31,2,FALSE()))</f>
        <v/>
      </c>
      <c r="L22" s="443"/>
      <c r="M22" s="443"/>
      <c r="N22" s="102" t="str">
        <f t="shared" si="1"/>
        <v/>
      </c>
      <c r="O22" s="245"/>
      <c r="P22" s="244"/>
      <c r="Q22" s="246"/>
      <c r="R22" s="271"/>
      <c r="S22" s="269"/>
      <c r="T22" s="443" t="str">
        <f>IF(S22="","",VLOOKUP(S22,案件コード!$A$1:$B$31,2,FALSE()))</f>
        <v/>
      </c>
      <c r="U22" s="443"/>
      <c r="V22" s="443"/>
      <c r="W22" s="102" t="str">
        <f t="shared" si="2"/>
        <v/>
      </c>
      <c r="X22" s="245"/>
      <c r="Y22" s="244"/>
      <c r="Z22" s="246"/>
      <c r="AA22" s="279"/>
      <c r="AB22" s="269"/>
      <c r="AC22" s="443" t="str">
        <f>IF(AB22="","",VLOOKUP(AB22,案件コード!$A$1:$B$31,2,FALSE()))</f>
        <v/>
      </c>
      <c r="AD22" s="443"/>
      <c r="AE22" s="443"/>
      <c r="AF22" s="102" t="str">
        <f t="shared" si="3"/>
        <v/>
      </c>
      <c r="AG22" s="245"/>
      <c r="AH22" s="244"/>
      <c r="AI22" s="246"/>
      <c r="AJ22" s="279"/>
      <c r="AK22" s="269"/>
      <c r="AL22" s="443" t="str">
        <f>IF(AK22="","",VLOOKUP(AK22,案件コード!$A$1:$B$31,2,FALSE()))</f>
        <v/>
      </c>
      <c r="AM22" s="443"/>
      <c r="AN22" s="443"/>
      <c r="AO22" s="102" t="str">
        <f t="shared" si="4"/>
        <v/>
      </c>
      <c r="AP22" s="245"/>
      <c r="AQ22" s="244"/>
      <c r="AR22" s="246"/>
      <c r="AS22" s="279"/>
      <c r="AT22" s="269"/>
      <c r="AU22" s="443" t="str">
        <f>IF(AT22="","",VLOOKUP(AT22,案件コード!$A$1:$B$31,2,FALSE()))</f>
        <v/>
      </c>
      <c r="AV22" s="443"/>
      <c r="AW22" s="443"/>
      <c r="AX22" s="102" t="str">
        <f t="shared" si="5"/>
        <v/>
      </c>
      <c r="AY22" s="245"/>
      <c r="AZ22" s="244"/>
      <c r="BA22" s="246"/>
      <c r="BB22" s="279"/>
      <c r="BC22" s="269"/>
      <c r="BD22" s="443" t="str">
        <f>IF(BC22="","",VLOOKUP(BC22,案件コード!$A$1:$B$31,2,FALSE()))</f>
        <v/>
      </c>
      <c r="BE22" s="443"/>
      <c r="BF22" s="443"/>
      <c r="BG22" s="102" t="str">
        <f t="shared" si="6"/>
        <v/>
      </c>
      <c r="BH22" s="245"/>
      <c r="BI22" s="244"/>
      <c r="BJ22" s="246"/>
      <c r="BK22" s="279"/>
    </row>
    <row r="23" spans="1:63" ht="18.600000000000001" thickBot="1">
      <c r="A23" s="272"/>
      <c r="B23" s="444" t="str">
        <f>IF(A23="","",VLOOKUP(A23,案件コード!$A$1:$B$31,2,FALSE()))</f>
        <v/>
      </c>
      <c r="C23" s="444"/>
      <c r="D23" s="444"/>
      <c r="E23" s="273" t="str">
        <f t="shared" si="0"/>
        <v/>
      </c>
      <c r="F23" s="274"/>
      <c r="G23" s="275"/>
      <c r="H23" s="276"/>
      <c r="I23" s="277"/>
      <c r="J23" s="272"/>
      <c r="K23" s="444" t="str">
        <f>IF(J23="","",VLOOKUP(J23,案件コード!$A$1:$B$31,2,FALSE()))</f>
        <v/>
      </c>
      <c r="L23" s="444"/>
      <c r="M23" s="444"/>
      <c r="N23" s="273" t="str">
        <f t="shared" si="1"/>
        <v/>
      </c>
      <c r="O23" s="274"/>
      <c r="P23" s="275"/>
      <c r="Q23" s="276"/>
      <c r="R23" s="277"/>
      <c r="S23" s="272"/>
      <c r="T23" s="444" t="str">
        <f>IF(S23="","",VLOOKUP(S23,案件コード!$A$1:$B$31,2,FALSE()))</f>
        <v/>
      </c>
      <c r="U23" s="444"/>
      <c r="V23" s="444"/>
      <c r="W23" s="273" t="str">
        <f t="shared" si="2"/>
        <v/>
      </c>
      <c r="X23" s="274"/>
      <c r="Y23" s="275"/>
      <c r="Z23" s="276"/>
      <c r="AA23" s="280"/>
      <c r="AB23" s="272"/>
      <c r="AC23" s="444" t="str">
        <f>IF(AB23="","",VLOOKUP(AB23,案件コード!$A$1:$B$31,2,FALSE()))</f>
        <v/>
      </c>
      <c r="AD23" s="444"/>
      <c r="AE23" s="444"/>
      <c r="AF23" s="273" t="str">
        <f t="shared" si="3"/>
        <v/>
      </c>
      <c r="AG23" s="274"/>
      <c r="AH23" s="275"/>
      <c r="AI23" s="276"/>
      <c r="AJ23" s="280"/>
      <c r="AK23" s="272"/>
      <c r="AL23" s="444" t="str">
        <f>IF(AK23="","",VLOOKUP(AK23,案件コード!$A$1:$B$31,2,FALSE()))</f>
        <v/>
      </c>
      <c r="AM23" s="444"/>
      <c r="AN23" s="444"/>
      <c r="AO23" s="273" t="str">
        <f t="shared" si="4"/>
        <v/>
      </c>
      <c r="AP23" s="274"/>
      <c r="AQ23" s="275"/>
      <c r="AR23" s="276"/>
      <c r="AS23" s="280"/>
      <c r="AT23" s="272"/>
      <c r="AU23" s="444" t="str">
        <f>IF(AT23="","",VLOOKUP(AT23,案件コード!$A$1:$B$31,2,FALSE()))</f>
        <v/>
      </c>
      <c r="AV23" s="444"/>
      <c r="AW23" s="444"/>
      <c r="AX23" s="273" t="str">
        <f t="shared" si="5"/>
        <v/>
      </c>
      <c r="AY23" s="274"/>
      <c r="AZ23" s="275"/>
      <c r="BA23" s="276"/>
      <c r="BB23" s="280"/>
      <c r="BC23" s="272"/>
      <c r="BD23" s="444" t="str">
        <f>IF(BC23="","",VLOOKUP(BC23,案件コード!$A$1:$B$31,2,FALSE()))</f>
        <v/>
      </c>
      <c r="BE23" s="444"/>
      <c r="BF23" s="444"/>
      <c r="BG23" s="273" t="str">
        <f t="shared" si="6"/>
        <v/>
      </c>
      <c r="BH23" s="274"/>
      <c r="BI23" s="275"/>
      <c r="BJ23" s="276"/>
      <c r="BK23" s="280"/>
    </row>
    <row r="24" spans="1:63" ht="18.600000000000001" thickBot="1">
      <c r="A24" s="334">
        <f>A6</f>
        <v>45931</v>
      </c>
      <c r="B24" s="333" t="s">
        <v>291</v>
      </c>
      <c r="C24" s="456"/>
      <c r="D24" s="457"/>
      <c r="E24" s="457"/>
      <c r="F24" s="457"/>
      <c r="G24" s="458"/>
      <c r="H24" s="412">
        <f>SUM(H9:H23)</f>
        <v>88000</v>
      </c>
      <c r="I24" s="91" t="s">
        <v>371</v>
      </c>
      <c r="J24" s="334">
        <f>J6</f>
        <v>45932</v>
      </c>
      <c r="K24" s="333" t="s">
        <v>291</v>
      </c>
      <c r="L24" s="456"/>
      <c r="M24" s="457"/>
      <c r="N24" s="457"/>
      <c r="O24" s="457"/>
      <c r="P24" s="458"/>
      <c r="Q24" s="412">
        <f>SUM(Q9:Q23)</f>
        <v>0</v>
      </c>
      <c r="R24" s="91" t="s">
        <v>371</v>
      </c>
      <c r="S24" s="334">
        <f>S6</f>
        <v>45933</v>
      </c>
      <c r="T24" s="333" t="s">
        <v>291</v>
      </c>
      <c r="U24" s="456"/>
      <c r="V24" s="457"/>
      <c r="W24" s="457"/>
      <c r="X24" s="457"/>
      <c r="Y24" s="458"/>
      <c r="Z24" s="412">
        <f>SUM(Z9:Z23)</f>
        <v>0</v>
      </c>
      <c r="AA24" s="91" t="s">
        <v>371</v>
      </c>
      <c r="AB24" s="334">
        <f>AB6</f>
        <v>45934</v>
      </c>
      <c r="AC24" s="333" t="s">
        <v>291</v>
      </c>
      <c r="AD24" s="456"/>
      <c r="AE24" s="457"/>
      <c r="AF24" s="457"/>
      <c r="AG24" s="457"/>
      <c r="AH24" s="458"/>
      <c r="AI24" s="412">
        <f>SUM(AI9:AI23)</f>
        <v>0</v>
      </c>
      <c r="AJ24" s="91" t="s">
        <v>371</v>
      </c>
      <c r="AK24" s="334">
        <f>AK6</f>
        <v>45935</v>
      </c>
      <c r="AL24" s="333" t="s">
        <v>291</v>
      </c>
      <c r="AM24" s="456"/>
      <c r="AN24" s="457"/>
      <c r="AO24" s="457"/>
      <c r="AP24" s="457"/>
      <c r="AQ24" s="458"/>
      <c r="AR24" s="412">
        <f>SUM(AR9:AR23)</f>
        <v>0</v>
      </c>
      <c r="AS24" s="91" t="s">
        <v>371</v>
      </c>
      <c r="AT24" s="334">
        <f>AT6</f>
        <v>45936</v>
      </c>
      <c r="AU24" s="333" t="s">
        <v>291</v>
      </c>
      <c r="AV24" s="456"/>
      <c r="AW24" s="457"/>
      <c r="AX24" s="457"/>
      <c r="AY24" s="457"/>
      <c r="AZ24" s="458"/>
      <c r="BA24" s="412">
        <f>SUM(BA9:BA23)</f>
        <v>0</v>
      </c>
      <c r="BB24" s="91" t="s">
        <v>371</v>
      </c>
      <c r="BC24" s="334">
        <f>BC6</f>
        <v>45937</v>
      </c>
      <c r="BD24" s="333" t="s">
        <v>291</v>
      </c>
      <c r="BE24" s="456"/>
      <c r="BF24" s="457"/>
      <c r="BG24" s="457"/>
      <c r="BH24" s="457"/>
      <c r="BI24" s="458"/>
      <c r="BJ24" s="412">
        <f>SUM(BJ9:BJ23)</f>
        <v>0</v>
      </c>
      <c r="BK24" s="91" t="s">
        <v>371</v>
      </c>
    </row>
    <row r="25" spans="1:63">
      <c r="A25" s="448" t="s">
        <v>14</v>
      </c>
      <c r="B25" s="449"/>
      <c r="C25" s="450" t="s">
        <v>15</v>
      </c>
      <c r="D25" s="450"/>
      <c r="E25" s="450" t="s">
        <v>16</v>
      </c>
      <c r="F25" s="451"/>
      <c r="G25" s="37"/>
      <c r="H25" s="37"/>
      <c r="I25" s="37"/>
      <c r="J25" s="448" t="s">
        <v>14</v>
      </c>
      <c r="K25" s="449"/>
      <c r="L25" s="450" t="s">
        <v>15</v>
      </c>
      <c r="M25" s="450"/>
      <c r="N25" s="450" t="s">
        <v>16</v>
      </c>
      <c r="O25" s="451"/>
      <c r="P25" s="37"/>
      <c r="Q25" s="37"/>
      <c r="R25" s="37"/>
      <c r="S25" s="448" t="s">
        <v>14</v>
      </c>
      <c r="T25" s="449"/>
      <c r="U25" s="450" t="s">
        <v>15</v>
      </c>
      <c r="V25" s="450"/>
      <c r="W25" s="450" t="s">
        <v>16</v>
      </c>
      <c r="X25" s="451"/>
      <c r="Y25" s="37"/>
      <c r="Z25" s="37"/>
      <c r="AA25" s="37"/>
      <c r="AB25" s="448" t="s">
        <v>14</v>
      </c>
      <c r="AC25" s="449"/>
      <c r="AD25" s="450" t="s">
        <v>15</v>
      </c>
      <c r="AE25" s="450"/>
      <c r="AF25" s="450" t="s">
        <v>16</v>
      </c>
      <c r="AG25" s="451"/>
      <c r="AH25" s="37"/>
      <c r="AI25" s="37"/>
      <c r="AJ25" s="37"/>
      <c r="AK25" s="448" t="s">
        <v>14</v>
      </c>
      <c r="AL25" s="449"/>
      <c r="AM25" s="450" t="s">
        <v>15</v>
      </c>
      <c r="AN25" s="450"/>
      <c r="AO25" s="450" t="s">
        <v>16</v>
      </c>
      <c r="AP25" s="451"/>
      <c r="AQ25" s="37"/>
      <c r="AR25" s="37"/>
      <c r="AS25" s="37"/>
      <c r="AT25" s="448" t="s">
        <v>14</v>
      </c>
      <c r="AU25" s="449"/>
      <c r="AV25" s="450" t="s">
        <v>15</v>
      </c>
      <c r="AW25" s="450"/>
      <c r="AX25" s="450" t="s">
        <v>16</v>
      </c>
      <c r="AY25" s="451"/>
      <c r="AZ25" s="37"/>
      <c r="BA25" s="37"/>
      <c r="BB25" s="37"/>
      <c r="BC25" s="448" t="s">
        <v>14</v>
      </c>
      <c r="BD25" s="449"/>
      <c r="BE25" s="450" t="s">
        <v>15</v>
      </c>
      <c r="BF25" s="450"/>
      <c r="BG25" s="450" t="s">
        <v>16</v>
      </c>
      <c r="BH25" s="451"/>
      <c r="BI25" s="37"/>
      <c r="BJ25" s="37"/>
      <c r="BK25" s="37"/>
    </row>
    <row r="26" spans="1:63" ht="18.600000000000001" thickBot="1">
      <c r="A26" s="445">
        <f>BC6+1</f>
        <v>45938</v>
      </c>
      <c r="B26" s="446"/>
      <c r="C26" s="249"/>
      <c r="D26" s="249"/>
      <c r="E26" s="250" t="str">
        <f>IF(C26="","",D26-C26-H26)</f>
        <v/>
      </c>
      <c r="F26" s="251" t="str">
        <f>IF(AND(E26=""),"",SUM(E29:E43))</f>
        <v/>
      </c>
      <c r="G26" s="103" t="s">
        <v>17</v>
      </c>
      <c r="H26" s="247">
        <v>4.1666666666666699E-2</v>
      </c>
      <c r="I26" s="37"/>
      <c r="J26" s="445">
        <f>A26+1</f>
        <v>45939</v>
      </c>
      <c r="K26" s="446"/>
      <c r="L26" s="249"/>
      <c r="M26" s="249"/>
      <c r="N26" s="250" t="str">
        <f>IF(L26="","",M26-L26-Q26)</f>
        <v/>
      </c>
      <c r="O26" s="251" t="str">
        <f>IF(AND(N26=""),"",SUM(N29:N43))</f>
        <v/>
      </c>
      <c r="P26" s="103" t="s">
        <v>17</v>
      </c>
      <c r="Q26" s="247">
        <v>4.1666666666666699E-2</v>
      </c>
      <c r="R26" s="37"/>
      <c r="S26" s="445">
        <f>J26+1</f>
        <v>45940</v>
      </c>
      <c r="T26" s="446"/>
      <c r="U26" s="249"/>
      <c r="V26" s="249"/>
      <c r="W26" s="250" t="str">
        <f>IF(U26="","",V26-U26-Z26)</f>
        <v/>
      </c>
      <c r="X26" s="251" t="str">
        <f>IF(AND(W26=""),"",SUM(W29:W43))</f>
        <v/>
      </c>
      <c r="Y26" s="103" t="s">
        <v>17</v>
      </c>
      <c r="Z26" s="247">
        <v>4.1666666666666699E-2</v>
      </c>
      <c r="AA26" s="37"/>
      <c r="AB26" s="445">
        <f>S26+1</f>
        <v>45941</v>
      </c>
      <c r="AC26" s="446"/>
      <c r="AD26" s="249"/>
      <c r="AE26" s="249"/>
      <c r="AF26" s="250" t="str">
        <f>IF(AD26="","",AE26-AD26-AI26)</f>
        <v/>
      </c>
      <c r="AG26" s="251" t="str">
        <f>IF(AND(AF26=""),"",SUM(AF29:AF43))</f>
        <v/>
      </c>
      <c r="AH26" s="103" t="s">
        <v>17</v>
      </c>
      <c r="AI26" s="247">
        <v>4.1666666666666699E-2</v>
      </c>
      <c r="AJ26" s="37"/>
      <c r="AK26" s="445">
        <f>AB26+1</f>
        <v>45942</v>
      </c>
      <c r="AL26" s="446"/>
      <c r="AM26" s="249"/>
      <c r="AN26" s="249"/>
      <c r="AO26" s="250" t="str">
        <f>IF(AM26="","",AN26-AM26-AR26)</f>
        <v/>
      </c>
      <c r="AP26" s="251" t="str">
        <f>IF(AND(AO26=""),"",SUM(AO29:AO43))</f>
        <v/>
      </c>
      <c r="AQ26" s="103" t="s">
        <v>17</v>
      </c>
      <c r="AR26" s="247">
        <v>4.1666666666666699E-2</v>
      </c>
      <c r="AS26" s="37"/>
      <c r="AT26" s="445">
        <f>AK26+1</f>
        <v>45943</v>
      </c>
      <c r="AU26" s="446"/>
      <c r="AV26" s="249"/>
      <c r="AW26" s="249"/>
      <c r="AX26" s="250" t="str">
        <f>IF(AV26="","",AW26-AV26-BA26)</f>
        <v/>
      </c>
      <c r="AY26" s="251" t="str">
        <f>IF(AND(AX26=""),"",SUM(AX29:AX43))</f>
        <v/>
      </c>
      <c r="AZ26" s="103" t="s">
        <v>17</v>
      </c>
      <c r="BA26" s="247">
        <v>4.1666666666666699E-2</v>
      </c>
      <c r="BB26" s="37"/>
      <c r="BC26" s="445">
        <f>AT26+1</f>
        <v>45944</v>
      </c>
      <c r="BD26" s="446"/>
      <c r="BE26" s="249"/>
      <c r="BF26" s="249"/>
      <c r="BG26" s="250" t="str">
        <f>IF(BE26="","",BF26-BE26-BJ26)</f>
        <v/>
      </c>
      <c r="BH26" s="251" t="str">
        <f>IF(AND(BG26=""),"",SUM(BG29:BG43))</f>
        <v/>
      </c>
      <c r="BI26" s="103" t="s">
        <v>17</v>
      </c>
      <c r="BJ26" s="247">
        <v>4.1666666666666699E-2</v>
      </c>
      <c r="BK26" s="37"/>
    </row>
    <row r="27" spans="1:63" ht="18.600000000000001" thickBot="1">
      <c r="A27" s="37" t="s">
        <v>36</v>
      </c>
      <c r="B27" s="104"/>
      <c r="C27" s="104"/>
      <c r="D27" s="104"/>
      <c r="E27" s="105"/>
      <c r="F27" s="106"/>
      <c r="G27" s="106"/>
      <c r="H27" s="413">
        <f>IF(COUNT(H29:H43)=0,0,COUNT(H29:H43))</f>
        <v>0</v>
      </c>
      <c r="I27" s="411" t="s">
        <v>366</v>
      </c>
      <c r="J27" s="37" t="s">
        <v>36</v>
      </c>
      <c r="K27" s="104"/>
      <c r="L27" s="104"/>
      <c r="M27" s="104"/>
      <c r="N27" s="105"/>
      <c r="O27" s="106"/>
      <c r="P27" s="106"/>
      <c r="Q27" s="413">
        <f>IF(COUNT(Q29:Q43)=0,0,COUNT(Q29:Q43))</f>
        <v>0</v>
      </c>
      <c r="R27" s="411" t="s">
        <v>366</v>
      </c>
      <c r="S27" s="37" t="s">
        <v>36</v>
      </c>
      <c r="T27" s="104"/>
      <c r="U27" s="104"/>
      <c r="V27" s="104"/>
      <c r="W27" s="105"/>
      <c r="X27" s="106"/>
      <c r="Y27" s="106"/>
      <c r="Z27" s="413">
        <f>IF(COUNT(Z29:Z43)=0,0,COUNT(Z29:Z43))</f>
        <v>0</v>
      </c>
      <c r="AA27" s="411" t="s">
        <v>366</v>
      </c>
      <c r="AB27" s="37" t="s">
        <v>36</v>
      </c>
      <c r="AC27" s="104"/>
      <c r="AD27" s="104"/>
      <c r="AE27" s="104"/>
      <c r="AF27" s="105"/>
      <c r="AG27" s="106"/>
      <c r="AH27" s="106"/>
      <c r="AI27" s="413">
        <f>IF(COUNT(AI29:AI43)=0,0,COUNT(AI29:AI43))</f>
        <v>0</v>
      </c>
      <c r="AJ27" s="411" t="s">
        <v>366</v>
      </c>
      <c r="AK27" s="37" t="s">
        <v>36</v>
      </c>
      <c r="AL27" s="104"/>
      <c r="AM27" s="104"/>
      <c r="AN27" s="104"/>
      <c r="AO27" s="105"/>
      <c r="AP27" s="106"/>
      <c r="AQ27" s="106"/>
      <c r="AR27" s="413">
        <f>IF(COUNT(AR29:AR43)=0,0,COUNT(AR29:AR43))</f>
        <v>0</v>
      </c>
      <c r="AS27" s="411" t="s">
        <v>366</v>
      </c>
      <c r="AT27" s="37" t="s">
        <v>36</v>
      </c>
      <c r="AU27" s="104"/>
      <c r="AV27" s="104"/>
      <c r="AW27" s="104"/>
      <c r="AX27" s="105"/>
      <c r="AY27" s="106"/>
      <c r="AZ27" s="106"/>
      <c r="BA27" s="413">
        <f>IF(COUNT(BA29:BA43)=0,0,COUNT(BA29:BA43))</f>
        <v>0</v>
      </c>
      <c r="BB27" s="411" t="s">
        <v>366</v>
      </c>
      <c r="BC27" s="37" t="s">
        <v>36</v>
      </c>
      <c r="BD27" s="104"/>
      <c r="BE27" s="104"/>
      <c r="BF27" s="104"/>
      <c r="BG27" s="105"/>
      <c r="BH27" s="106"/>
      <c r="BI27" s="106"/>
      <c r="BJ27" s="413">
        <f>IF(COUNT(BJ29:BJ43)=0,0,COUNT(BJ29:BJ43))</f>
        <v>0</v>
      </c>
      <c r="BK27" s="411" t="s">
        <v>366</v>
      </c>
    </row>
    <row r="28" spans="1:63">
      <c r="A28" s="265" t="s">
        <v>18</v>
      </c>
      <c r="B28" s="447" t="s">
        <v>19</v>
      </c>
      <c r="C28" s="447"/>
      <c r="D28" s="447"/>
      <c r="E28" s="266" t="s">
        <v>20</v>
      </c>
      <c r="F28" s="266" t="s">
        <v>0</v>
      </c>
      <c r="G28" s="266" t="s">
        <v>37</v>
      </c>
      <c r="H28" s="267" t="s">
        <v>21</v>
      </c>
      <c r="I28" s="268" t="s">
        <v>22</v>
      </c>
      <c r="J28" s="265" t="s">
        <v>18</v>
      </c>
      <c r="K28" s="447" t="s">
        <v>19</v>
      </c>
      <c r="L28" s="447"/>
      <c r="M28" s="447"/>
      <c r="N28" s="266" t="s">
        <v>20</v>
      </c>
      <c r="O28" s="266" t="s">
        <v>0</v>
      </c>
      <c r="P28" s="266" t="s">
        <v>37</v>
      </c>
      <c r="Q28" s="267" t="s">
        <v>21</v>
      </c>
      <c r="R28" s="268" t="s">
        <v>22</v>
      </c>
      <c r="S28" s="265" t="s">
        <v>18</v>
      </c>
      <c r="T28" s="447" t="s">
        <v>19</v>
      </c>
      <c r="U28" s="447"/>
      <c r="V28" s="447"/>
      <c r="W28" s="266" t="s">
        <v>20</v>
      </c>
      <c r="X28" s="266" t="s">
        <v>0</v>
      </c>
      <c r="Y28" s="266" t="s">
        <v>37</v>
      </c>
      <c r="Z28" s="267" t="s">
        <v>21</v>
      </c>
      <c r="AA28" s="268" t="s">
        <v>22</v>
      </c>
      <c r="AB28" s="265" t="s">
        <v>18</v>
      </c>
      <c r="AC28" s="447" t="s">
        <v>19</v>
      </c>
      <c r="AD28" s="447"/>
      <c r="AE28" s="447"/>
      <c r="AF28" s="266" t="s">
        <v>20</v>
      </c>
      <c r="AG28" s="266" t="s">
        <v>0</v>
      </c>
      <c r="AH28" s="266" t="s">
        <v>37</v>
      </c>
      <c r="AI28" s="267" t="s">
        <v>21</v>
      </c>
      <c r="AJ28" s="268" t="s">
        <v>22</v>
      </c>
      <c r="AK28" s="265" t="s">
        <v>18</v>
      </c>
      <c r="AL28" s="447" t="s">
        <v>19</v>
      </c>
      <c r="AM28" s="447"/>
      <c r="AN28" s="447"/>
      <c r="AO28" s="266" t="s">
        <v>20</v>
      </c>
      <c r="AP28" s="266" t="s">
        <v>0</v>
      </c>
      <c r="AQ28" s="266" t="s">
        <v>37</v>
      </c>
      <c r="AR28" s="267" t="s">
        <v>21</v>
      </c>
      <c r="AS28" s="268" t="s">
        <v>22</v>
      </c>
      <c r="AT28" s="265" t="s">
        <v>18</v>
      </c>
      <c r="AU28" s="447" t="s">
        <v>19</v>
      </c>
      <c r="AV28" s="447"/>
      <c r="AW28" s="447"/>
      <c r="AX28" s="266" t="s">
        <v>20</v>
      </c>
      <c r="AY28" s="266" t="s">
        <v>0</v>
      </c>
      <c r="AZ28" s="266" t="s">
        <v>37</v>
      </c>
      <c r="BA28" s="267" t="s">
        <v>21</v>
      </c>
      <c r="BB28" s="268" t="s">
        <v>22</v>
      </c>
      <c r="BC28" s="265" t="s">
        <v>18</v>
      </c>
      <c r="BD28" s="447" t="s">
        <v>19</v>
      </c>
      <c r="BE28" s="447"/>
      <c r="BF28" s="447"/>
      <c r="BG28" s="266" t="s">
        <v>20</v>
      </c>
      <c r="BH28" s="266" t="s">
        <v>0</v>
      </c>
      <c r="BI28" s="266" t="s">
        <v>37</v>
      </c>
      <c r="BJ28" s="267" t="s">
        <v>21</v>
      </c>
      <c r="BK28" s="268" t="s">
        <v>22</v>
      </c>
    </row>
    <row r="29" spans="1:63">
      <c r="A29" s="269"/>
      <c r="B29" s="443" t="str">
        <f>IF(A29="","",VLOOKUP(A29,案件コード!$A$1:$B$31,2,FALSE()))</f>
        <v/>
      </c>
      <c r="C29" s="443"/>
      <c r="D29" s="443"/>
      <c r="E29" s="102" t="str">
        <f t="shared" ref="E29:E43" si="7">IF(AND(F29="",G29=""),"",SUM(F29:G29))</f>
        <v/>
      </c>
      <c r="F29" s="245"/>
      <c r="G29" s="244"/>
      <c r="H29" s="246"/>
      <c r="I29" s="278"/>
      <c r="J29" s="269"/>
      <c r="K29" s="443" t="str">
        <f>IF(J29="","",VLOOKUP(J29,案件コード!$A$1:$B$31,2,FALSE()))</f>
        <v/>
      </c>
      <c r="L29" s="443"/>
      <c r="M29" s="443"/>
      <c r="N29" s="102" t="str">
        <f t="shared" ref="N29:N43" si="8">IF(AND(O29="",P29=""),"",SUM(O29:P29))</f>
        <v/>
      </c>
      <c r="O29" s="245"/>
      <c r="P29" s="244"/>
      <c r="Q29" s="246"/>
      <c r="R29" s="278"/>
      <c r="S29" s="269"/>
      <c r="T29" s="443" t="str">
        <f>IF(S29="","",VLOOKUP(S29,案件コード!$A$1:$B$31,2,FALSE()))</f>
        <v/>
      </c>
      <c r="U29" s="443"/>
      <c r="V29" s="443"/>
      <c r="W29" s="102" t="str">
        <f t="shared" ref="W29:W43" si="9">IF(AND(X29="",Y29=""),"",SUM(X29:Y29))</f>
        <v/>
      </c>
      <c r="X29" s="245"/>
      <c r="Y29" s="244"/>
      <c r="Z29" s="246"/>
      <c r="AA29" s="278"/>
      <c r="AB29" s="269"/>
      <c r="AC29" s="443" t="str">
        <f>IF(AB29="","",VLOOKUP(AB29,案件コード!$A$1:$B$31,2,FALSE()))</f>
        <v/>
      </c>
      <c r="AD29" s="443"/>
      <c r="AE29" s="443"/>
      <c r="AF29" s="102" t="str">
        <f t="shared" ref="AF29:AF43" si="10">IF(AND(AG29="",AH29=""),"",SUM(AG29:AH29))</f>
        <v/>
      </c>
      <c r="AG29" s="245"/>
      <c r="AH29" s="244"/>
      <c r="AI29" s="246"/>
      <c r="AJ29" s="278"/>
      <c r="AK29" s="269"/>
      <c r="AL29" s="443" t="str">
        <f>IF(AK29="","",VLOOKUP(AK29,案件コード!$A$1:$B$31,2,FALSE()))</f>
        <v/>
      </c>
      <c r="AM29" s="443"/>
      <c r="AN29" s="443"/>
      <c r="AO29" s="102" t="str">
        <f t="shared" ref="AO29:AO43" si="11">IF(AND(AP29="",AQ29=""),"",SUM(AP29:AQ29))</f>
        <v/>
      </c>
      <c r="AP29" s="245"/>
      <c r="AQ29" s="244"/>
      <c r="AR29" s="246"/>
      <c r="AS29" s="278"/>
      <c r="AT29" s="269"/>
      <c r="AU29" s="443" t="str">
        <f>IF(AT29="","",VLOOKUP(AT29,案件コード!$A$1:$B$31,2,FALSE()))</f>
        <v/>
      </c>
      <c r="AV29" s="443"/>
      <c r="AW29" s="443"/>
      <c r="AX29" s="102" t="str">
        <f t="shared" ref="AX29:AX43" si="12">IF(AND(AY29="",AZ29=""),"",SUM(AY29:AZ29))</f>
        <v/>
      </c>
      <c r="AY29" s="245"/>
      <c r="AZ29" s="244"/>
      <c r="BA29" s="246"/>
      <c r="BB29" s="278"/>
      <c r="BC29" s="269"/>
      <c r="BD29" s="443" t="str">
        <f>IF(BC29="","",VLOOKUP(BC29,案件コード!$A$1:$B$31,2,FALSE()))</f>
        <v/>
      </c>
      <c r="BE29" s="443"/>
      <c r="BF29" s="443"/>
      <c r="BG29" s="102" t="str">
        <f t="shared" ref="BG29:BG43" si="13">IF(AND(BH29="",BI29=""),"",SUM(BH29:BI29))</f>
        <v/>
      </c>
      <c r="BH29" s="245"/>
      <c r="BI29" s="244"/>
      <c r="BJ29" s="246"/>
      <c r="BK29" s="278"/>
    </row>
    <row r="30" spans="1:63">
      <c r="A30" s="269"/>
      <c r="B30" s="443" t="str">
        <f>IF(A30="","",VLOOKUP(A30,案件コード!$A$1:$B$31,2,FALSE()))</f>
        <v/>
      </c>
      <c r="C30" s="443"/>
      <c r="D30" s="443"/>
      <c r="E30" s="102" t="str">
        <f t="shared" si="7"/>
        <v/>
      </c>
      <c r="F30" s="245"/>
      <c r="G30" s="244"/>
      <c r="H30" s="246"/>
      <c r="I30" s="279"/>
      <c r="J30" s="269"/>
      <c r="K30" s="443" t="str">
        <f>IF(J30="","",VLOOKUP(J30,案件コード!$A$1:$B$31,2,FALSE()))</f>
        <v/>
      </c>
      <c r="L30" s="443"/>
      <c r="M30" s="443"/>
      <c r="N30" s="102" t="str">
        <f t="shared" si="8"/>
        <v/>
      </c>
      <c r="O30" s="245"/>
      <c r="P30" s="244"/>
      <c r="Q30" s="246"/>
      <c r="R30" s="279"/>
      <c r="S30" s="269"/>
      <c r="T30" s="443" t="str">
        <f>IF(S30="","",VLOOKUP(S30,案件コード!$A$1:$B$31,2,FALSE()))</f>
        <v/>
      </c>
      <c r="U30" s="443"/>
      <c r="V30" s="443"/>
      <c r="W30" s="102" t="str">
        <f t="shared" si="9"/>
        <v/>
      </c>
      <c r="X30" s="245"/>
      <c r="Y30" s="244"/>
      <c r="Z30" s="246"/>
      <c r="AA30" s="279"/>
      <c r="AB30" s="269"/>
      <c r="AC30" s="443" t="str">
        <f>IF(AB30="","",VLOOKUP(AB30,案件コード!$A$1:$B$31,2,FALSE()))</f>
        <v/>
      </c>
      <c r="AD30" s="443"/>
      <c r="AE30" s="443"/>
      <c r="AF30" s="102" t="str">
        <f t="shared" si="10"/>
        <v/>
      </c>
      <c r="AG30" s="245"/>
      <c r="AH30" s="244"/>
      <c r="AI30" s="246"/>
      <c r="AJ30" s="279"/>
      <c r="AK30" s="269"/>
      <c r="AL30" s="443" t="str">
        <f>IF(AK30="","",VLOOKUP(AK30,案件コード!$A$1:$B$31,2,FALSE()))</f>
        <v/>
      </c>
      <c r="AM30" s="443"/>
      <c r="AN30" s="443"/>
      <c r="AO30" s="102" t="str">
        <f t="shared" si="11"/>
        <v/>
      </c>
      <c r="AP30" s="245"/>
      <c r="AQ30" s="244"/>
      <c r="AR30" s="246"/>
      <c r="AS30" s="279"/>
      <c r="AT30" s="269"/>
      <c r="AU30" s="443" t="str">
        <f>IF(AT30="","",VLOOKUP(AT30,案件コード!$A$1:$B$31,2,FALSE()))</f>
        <v/>
      </c>
      <c r="AV30" s="443"/>
      <c r="AW30" s="443"/>
      <c r="AX30" s="102" t="str">
        <f t="shared" si="12"/>
        <v/>
      </c>
      <c r="AY30" s="245"/>
      <c r="AZ30" s="244"/>
      <c r="BA30" s="246"/>
      <c r="BB30" s="279"/>
      <c r="BC30" s="269"/>
      <c r="BD30" s="443" t="str">
        <f>IF(BC30="","",VLOOKUP(BC30,案件コード!$A$1:$B$31,2,FALSE()))</f>
        <v/>
      </c>
      <c r="BE30" s="443"/>
      <c r="BF30" s="443"/>
      <c r="BG30" s="102" t="str">
        <f t="shared" si="13"/>
        <v/>
      </c>
      <c r="BH30" s="245"/>
      <c r="BI30" s="244"/>
      <c r="BJ30" s="246"/>
      <c r="BK30" s="279"/>
    </row>
    <row r="31" spans="1:63">
      <c r="A31" s="269"/>
      <c r="B31" s="443" t="str">
        <f>IF(A31="","",VLOOKUP(A31,案件コード!$A$1:$B$31,2,FALSE()))</f>
        <v/>
      </c>
      <c r="C31" s="443"/>
      <c r="D31" s="443"/>
      <c r="E31" s="102" t="str">
        <f t="shared" si="7"/>
        <v/>
      </c>
      <c r="F31" s="245"/>
      <c r="G31" s="244"/>
      <c r="H31" s="246"/>
      <c r="I31" s="279"/>
      <c r="J31" s="269"/>
      <c r="K31" s="443" t="str">
        <f>IF(J31="","",VLOOKUP(J31,案件コード!$A$1:$B$31,2,FALSE()))</f>
        <v/>
      </c>
      <c r="L31" s="443"/>
      <c r="M31" s="443"/>
      <c r="N31" s="102" t="str">
        <f t="shared" si="8"/>
        <v/>
      </c>
      <c r="O31" s="245"/>
      <c r="P31" s="244"/>
      <c r="Q31" s="246"/>
      <c r="R31" s="279"/>
      <c r="S31" s="269"/>
      <c r="T31" s="443" t="str">
        <f>IF(S31="","",VLOOKUP(S31,案件コード!$A$1:$B$31,2,FALSE()))</f>
        <v/>
      </c>
      <c r="U31" s="443"/>
      <c r="V31" s="443"/>
      <c r="W31" s="102" t="str">
        <f t="shared" si="9"/>
        <v/>
      </c>
      <c r="X31" s="245"/>
      <c r="Y31" s="244"/>
      <c r="Z31" s="246"/>
      <c r="AA31" s="279"/>
      <c r="AB31" s="269"/>
      <c r="AC31" s="443" t="str">
        <f>IF(AB31="","",VLOOKUP(AB31,案件コード!$A$1:$B$31,2,FALSE()))</f>
        <v/>
      </c>
      <c r="AD31" s="443"/>
      <c r="AE31" s="443"/>
      <c r="AF31" s="102" t="str">
        <f t="shared" si="10"/>
        <v/>
      </c>
      <c r="AG31" s="245"/>
      <c r="AH31" s="244"/>
      <c r="AI31" s="246"/>
      <c r="AJ31" s="279"/>
      <c r="AK31" s="269"/>
      <c r="AL31" s="443" t="str">
        <f>IF(AK31="","",VLOOKUP(AK31,案件コード!$A$1:$B$31,2,FALSE()))</f>
        <v/>
      </c>
      <c r="AM31" s="443"/>
      <c r="AN31" s="443"/>
      <c r="AO31" s="102" t="str">
        <f t="shared" si="11"/>
        <v/>
      </c>
      <c r="AP31" s="245"/>
      <c r="AQ31" s="244"/>
      <c r="AR31" s="246"/>
      <c r="AS31" s="279"/>
      <c r="AT31" s="269"/>
      <c r="AU31" s="443" t="str">
        <f>IF(AT31="","",VLOOKUP(AT31,案件コード!$A$1:$B$31,2,FALSE()))</f>
        <v/>
      </c>
      <c r="AV31" s="443"/>
      <c r="AW31" s="443"/>
      <c r="AX31" s="102" t="str">
        <f t="shared" si="12"/>
        <v/>
      </c>
      <c r="AY31" s="245"/>
      <c r="AZ31" s="244"/>
      <c r="BA31" s="246"/>
      <c r="BB31" s="279"/>
      <c r="BC31" s="269"/>
      <c r="BD31" s="443" t="str">
        <f>IF(BC31="","",VLOOKUP(BC31,案件コード!$A$1:$B$31,2,FALSE()))</f>
        <v/>
      </c>
      <c r="BE31" s="443"/>
      <c r="BF31" s="443"/>
      <c r="BG31" s="102" t="str">
        <f t="shared" si="13"/>
        <v/>
      </c>
      <c r="BH31" s="245"/>
      <c r="BI31" s="244"/>
      <c r="BJ31" s="246"/>
      <c r="BK31" s="279"/>
    </row>
    <row r="32" spans="1:63">
      <c r="A32" s="269"/>
      <c r="B32" s="443" t="str">
        <f>IF(A32="","",VLOOKUP(A32,案件コード!$A$1:$B$31,2,FALSE()))</f>
        <v/>
      </c>
      <c r="C32" s="443"/>
      <c r="D32" s="443"/>
      <c r="E32" s="102" t="str">
        <f t="shared" si="7"/>
        <v/>
      </c>
      <c r="F32" s="245"/>
      <c r="G32" s="244"/>
      <c r="H32" s="246"/>
      <c r="I32" s="279"/>
      <c r="J32" s="269"/>
      <c r="K32" s="443" t="str">
        <f>IF(J32="","",VLOOKUP(J32,案件コード!$A$1:$B$31,2,FALSE()))</f>
        <v/>
      </c>
      <c r="L32" s="443"/>
      <c r="M32" s="443"/>
      <c r="N32" s="102" t="str">
        <f t="shared" si="8"/>
        <v/>
      </c>
      <c r="O32" s="245"/>
      <c r="P32" s="244"/>
      <c r="Q32" s="246"/>
      <c r="R32" s="279"/>
      <c r="S32" s="269"/>
      <c r="T32" s="443" t="str">
        <f>IF(S32="","",VLOOKUP(S32,案件コード!$A$1:$B$31,2,FALSE()))</f>
        <v/>
      </c>
      <c r="U32" s="443"/>
      <c r="V32" s="443"/>
      <c r="W32" s="102" t="str">
        <f t="shared" si="9"/>
        <v/>
      </c>
      <c r="X32" s="245"/>
      <c r="Y32" s="244"/>
      <c r="Z32" s="246"/>
      <c r="AA32" s="279"/>
      <c r="AB32" s="269"/>
      <c r="AC32" s="443" t="str">
        <f>IF(AB32="","",VLOOKUP(AB32,案件コード!$A$1:$B$31,2,FALSE()))</f>
        <v/>
      </c>
      <c r="AD32" s="443"/>
      <c r="AE32" s="443"/>
      <c r="AF32" s="102" t="str">
        <f t="shared" si="10"/>
        <v/>
      </c>
      <c r="AG32" s="245"/>
      <c r="AH32" s="244"/>
      <c r="AI32" s="246"/>
      <c r="AJ32" s="279"/>
      <c r="AK32" s="269"/>
      <c r="AL32" s="443" t="str">
        <f>IF(AK32="","",VLOOKUP(AK32,案件コード!$A$1:$B$31,2,FALSE()))</f>
        <v/>
      </c>
      <c r="AM32" s="443"/>
      <c r="AN32" s="443"/>
      <c r="AO32" s="102" t="str">
        <f t="shared" si="11"/>
        <v/>
      </c>
      <c r="AP32" s="245"/>
      <c r="AQ32" s="244"/>
      <c r="AR32" s="246"/>
      <c r="AS32" s="279"/>
      <c r="AT32" s="269"/>
      <c r="AU32" s="443" t="str">
        <f>IF(AT32="","",VLOOKUP(AT32,案件コード!$A$1:$B$31,2,FALSE()))</f>
        <v/>
      </c>
      <c r="AV32" s="443"/>
      <c r="AW32" s="443"/>
      <c r="AX32" s="102" t="str">
        <f t="shared" si="12"/>
        <v/>
      </c>
      <c r="AY32" s="245"/>
      <c r="AZ32" s="244"/>
      <c r="BA32" s="246"/>
      <c r="BB32" s="279"/>
      <c r="BC32" s="269"/>
      <c r="BD32" s="443" t="str">
        <f>IF(BC32="","",VLOOKUP(BC32,案件コード!$A$1:$B$31,2,FALSE()))</f>
        <v/>
      </c>
      <c r="BE32" s="443"/>
      <c r="BF32" s="443"/>
      <c r="BG32" s="102" t="str">
        <f t="shared" si="13"/>
        <v/>
      </c>
      <c r="BH32" s="245"/>
      <c r="BI32" s="244"/>
      <c r="BJ32" s="246"/>
      <c r="BK32" s="279"/>
    </row>
    <row r="33" spans="1:63">
      <c r="A33" s="269"/>
      <c r="B33" s="443" t="str">
        <f>IF(A33="","",VLOOKUP(A33,案件コード!$A$1:$B$31,2,FALSE()))</f>
        <v/>
      </c>
      <c r="C33" s="443"/>
      <c r="D33" s="443"/>
      <c r="E33" s="102" t="str">
        <f t="shared" si="7"/>
        <v/>
      </c>
      <c r="F33" s="245"/>
      <c r="G33" s="244"/>
      <c r="H33" s="246"/>
      <c r="I33" s="279"/>
      <c r="J33" s="269"/>
      <c r="K33" s="443" t="str">
        <f>IF(J33="","",VLOOKUP(J33,案件コード!$A$1:$B$31,2,FALSE()))</f>
        <v/>
      </c>
      <c r="L33" s="443"/>
      <c r="M33" s="443"/>
      <c r="N33" s="102" t="str">
        <f t="shared" si="8"/>
        <v/>
      </c>
      <c r="O33" s="245"/>
      <c r="P33" s="244"/>
      <c r="Q33" s="246"/>
      <c r="R33" s="279"/>
      <c r="S33" s="269"/>
      <c r="T33" s="443" t="str">
        <f>IF(S33="","",VLOOKUP(S33,案件コード!$A$1:$B$31,2,FALSE()))</f>
        <v/>
      </c>
      <c r="U33" s="443"/>
      <c r="V33" s="443"/>
      <c r="W33" s="102" t="str">
        <f t="shared" si="9"/>
        <v/>
      </c>
      <c r="X33" s="245"/>
      <c r="Y33" s="244"/>
      <c r="Z33" s="246"/>
      <c r="AA33" s="279"/>
      <c r="AB33" s="269"/>
      <c r="AC33" s="443" t="str">
        <f>IF(AB33="","",VLOOKUP(AB33,案件コード!$A$1:$B$31,2,FALSE()))</f>
        <v/>
      </c>
      <c r="AD33" s="443"/>
      <c r="AE33" s="443"/>
      <c r="AF33" s="102" t="str">
        <f t="shared" si="10"/>
        <v/>
      </c>
      <c r="AG33" s="245"/>
      <c r="AH33" s="244"/>
      <c r="AI33" s="246"/>
      <c r="AJ33" s="279"/>
      <c r="AK33" s="269"/>
      <c r="AL33" s="443" t="str">
        <f>IF(AK33="","",VLOOKUP(AK33,案件コード!$A$1:$B$31,2,FALSE()))</f>
        <v/>
      </c>
      <c r="AM33" s="443"/>
      <c r="AN33" s="443"/>
      <c r="AO33" s="102" t="str">
        <f t="shared" si="11"/>
        <v/>
      </c>
      <c r="AP33" s="245"/>
      <c r="AQ33" s="244"/>
      <c r="AR33" s="246"/>
      <c r="AS33" s="279"/>
      <c r="AT33" s="269"/>
      <c r="AU33" s="443" t="str">
        <f>IF(AT33="","",VLOOKUP(AT33,案件コード!$A$1:$B$31,2,FALSE()))</f>
        <v/>
      </c>
      <c r="AV33" s="443"/>
      <c r="AW33" s="443"/>
      <c r="AX33" s="102" t="str">
        <f t="shared" si="12"/>
        <v/>
      </c>
      <c r="AY33" s="245"/>
      <c r="AZ33" s="244"/>
      <c r="BA33" s="246"/>
      <c r="BB33" s="279"/>
      <c r="BC33" s="269"/>
      <c r="BD33" s="443" t="str">
        <f>IF(BC33="","",VLOOKUP(BC33,案件コード!$A$1:$B$31,2,FALSE()))</f>
        <v/>
      </c>
      <c r="BE33" s="443"/>
      <c r="BF33" s="443"/>
      <c r="BG33" s="102" t="str">
        <f t="shared" si="13"/>
        <v/>
      </c>
      <c r="BH33" s="245"/>
      <c r="BI33" s="244"/>
      <c r="BJ33" s="246"/>
      <c r="BK33" s="279"/>
    </row>
    <row r="34" spans="1:63">
      <c r="A34" s="269"/>
      <c r="B34" s="443" t="str">
        <f>IF(A34="","",VLOOKUP(A34,案件コード!$A$1:$B$31,2,FALSE()))</f>
        <v/>
      </c>
      <c r="C34" s="443"/>
      <c r="D34" s="443"/>
      <c r="E34" s="102" t="str">
        <f t="shared" si="7"/>
        <v/>
      </c>
      <c r="F34" s="245"/>
      <c r="G34" s="244"/>
      <c r="H34" s="246"/>
      <c r="I34" s="279"/>
      <c r="J34" s="269"/>
      <c r="K34" s="443" t="str">
        <f>IF(J34="","",VLOOKUP(J34,案件コード!$A$1:$B$31,2,FALSE()))</f>
        <v/>
      </c>
      <c r="L34" s="443"/>
      <c r="M34" s="443"/>
      <c r="N34" s="102" t="str">
        <f t="shared" si="8"/>
        <v/>
      </c>
      <c r="O34" s="245"/>
      <c r="P34" s="244"/>
      <c r="Q34" s="246"/>
      <c r="R34" s="279"/>
      <c r="S34" s="269"/>
      <c r="T34" s="443" t="str">
        <f>IF(S34="","",VLOOKUP(S34,案件コード!$A$1:$B$31,2,FALSE()))</f>
        <v/>
      </c>
      <c r="U34" s="443"/>
      <c r="V34" s="443"/>
      <c r="W34" s="102" t="str">
        <f t="shared" si="9"/>
        <v/>
      </c>
      <c r="X34" s="245"/>
      <c r="Y34" s="244"/>
      <c r="Z34" s="246"/>
      <c r="AA34" s="279"/>
      <c r="AB34" s="269"/>
      <c r="AC34" s="443" t="str">
        <f>IF(AB34="","",VLOOKUP(AB34,案件コード!$A$1:$B$31,2,FALSE()))</f>
        <v/>
      </c>
      <c r="AD34" s="443"/>
      <c r="AE34" s="443"/>
      <c r="AF34" s="102" t="str">
        <f t="shared" si="10"/>
        <v/>
      </c>
      <c r="AG34" s="245"/>
      <c r="AH34" s="244"/>
      <c r="AI34" s="246"/>
      <c r="AJ34" s="279"/>
      <c r="AK34" s="269"/>
      <c r="AL34" s="443" t="str">
        <f>IF(AK34="","",VLOOKUP(AK34,案件コード!$A$1:$B$31,2,FALSE()))</f>
        <v/>
      </c>
      <c r="AM34" s="443"/>
      <c r="AN34" s="443"/>
      <c r="AO34" s="102" t="str">
        <f t="shared" si="11"/>
        <v/>
      </c>
      <c r="AP34" s="245"/>
      <c r="AQ34" s="244"/>
      <c r="AR34" s="246"/>
      <c r="AS34" s="279"/>
      <c r="AT34" s="269"/>
      <c r="AU34" s="443" t="str">
        <f>IF(AT34="","",VLOOKUP(AT34,案件コード!$A$1:$B$31,2,FALSE()))</f>
        <v/>
      </c>
      <c r="AV34" s="443"/>
      <c r="AW34" s="443"/>
      <c r="AX34" s="102" t="str">
        <f t="shared" si="12"/>
        <v/>
      </c>
      <c r="AY34" s="245"/>
      <c r="AZ34" s="244"/>
      <c r="BA34" s="246"/>
      <c r="BB34" s="279"/>
      <c r="BC34" s="269"/>
      <c r="BD34" s="443" t="str">
        <f>IF(BC34="","",VLOOKUP(BC34,案件コード!$A$1:$B$31,2,FALSE()))</f>
        <v/>
      </c>
      <c r="BE34" s="443"/>
      <c r="BF34" s="443"/>
      <c r="BG34" s="102" t="str">
        <f t="shared" si="13"/>
        <v/>
      </c>
      <c r="BH34" s="245"/>
      <c r="BI34" s="244"/>
      <c r="BJ34" s="246"/>
      <c r="BK34" s="279"/>
    </row>
    <row r="35" spans="1:63">
      <c r="A35" s="269"/>
      <c r="B35" s="443" t="str">
        <f>IF(A35="","",VLOOKUP(A35,案件コード!$A$1:$B$31,2,FALSE()))</f>
        <v/>
      </c>
      <c r="C35" s="443"/>
      <c r="D35" s="443"/>
      <c r="E35" s="102" t="str">
        <f t="shared" si="7"/>
        <v/>
      </c>
      <c r="F35" s="245"/>
      <c r="G35" s="244"/>
      <c r="H35" s="246"/>
      <c r="I35" s="279"/>
      <c r="J35" s="269"/>
      <c r="K35" s="443" t="str">
        <f>IF(J35="","",VLOOKUP(J35,案件コード!$A$1:$B$31,2,FALSE()))</f>
        <v/>
      </c>
      <c r="L35" s="443"/>
      <c r="M35" s="443"/>
      <c r="N35" s="102" t="str">
        <f t="shared" si="8"/>
        <v/>
      </c>
      <c r="O35" s="245"/>
      <c r="P35" s="244"/>
      <c r="Q35" s="246"/>
      <c r="R35" s="279"/>
      <c r="S35" s="269"/>
      <c r="T35" s="443" t="str">
        <f>IF(S35="","",VLOOKUP(S35,案件コード!$A$1:$B$31,2,FALSE()))</f>
        <v/>
      </c>
      <c r="U35" s="443"/>
      <c r="V35" s="443"/>
      <c r="W35" s="102" t="str">
        <f t="shared" si="9"/>
        <v/>
      </c>
      <c r="X35" s="245"/>
      <c r="Y35" s="244"/>
      <c r="Z35" s="246"/>
      <c r="AA35" s="279"/>
      <c r="AB35" s="269"/>
      <c r="AC35" s="443" t="str">
        <f>IF(AB35="","",VLOOKUP(AB35,案件コード!$A$1:$B$31,2,FALSE()))</f>
        <v/>
      </c>
      <c r="AD35" s="443"/>
      <c r="AE35" s="443"/>
      <c r="AF35" s="102" t="str">
        <f t="shared" si="10"/>
        <v/>
      </c>
      <c r="AG35" s="245"/>
      <c r="AH35" s="244"/>
      <c r="AI35" s="246"/>
      <c r="AJ35" s="279"/>
      <c r="AK35" s="269"/>
      <c r="AL35" s="443" t="str">
        <f>IF(AK35="","",VLOOKUP(AK35,案件コード!$A$1:$B$31,2,FALSE()))</f>
        <v/>
      </c>
      <c r="AM35" s="443"/>
      <c r="AN35" s="443"/>
      <c r="AO35" s="102" t="str">
        <f t="shared" si="11"/>
        <v/>
      </c>
      <c r="AP35" s="245"/>
      <c r="AQ35" s="244"/>
      <c r="AR35" s="246"/>
      <c r="AS35" s="279"/>
      <c r="AT35" s="269"/>
      <c r="AU35" s="443" t="str">
        <f>IF(AT35="","",VLOOKUP(AT35,案件コード!$A$1:$B$31,2,FALSE()))</f>
        <v/>
      </c>
      <c r="AV35" s="443"/>
      <c r="AW35" s="443"/>
      <c r="AX35" s="102" t="str">
        <f t="shared" si="12"/>
        <v/>
      </c>
      <c r="AY35" s="245"/>
      <c r="AZ35" s="244"/>
      <c r="BA35" s="246"/>
      <c r="BB35" s="279"/>
      <c r="BC35" s="269"/>
      <c r="BD35" s="443" t="str">
        <f>IF(BC35="","",VLOOKUP(BC35,案件コード!$A$1:$B$31,2,FALSE()))</f>
        <v/>
      </c>
      <c r="BE35" s="443"/>
      <c r="BF35" s="443"/>
      <c r="BG35" s="102" t="str">
        <f t="shared" si="13"/>
        <v/>
      </c>
      <c r="BH35" s="245"/>
      <c r="BI35" s="244"/>
      <c r="BJ35" s="246"/>
      <c r="BK35" s="279"/>
    </row>
    <row r="36" spans="1:63">
      <c r="A36" s="269"/>
      <c r="B36" s="443" t="str">
        <f>IF(A36="","",VLOOKUP(A36,案件コード!$A$1:$B$31,2,FALSE()))</f>
        <v/>
      </c>
      <c r="C36" s="443"/>
      <c r="D36" s="443"/>
      <c r="E36" s="102" t="str">
        <f t="shared" si="7"/>
        <v/>
      </c>
      <c r="F36" s="245"/>
      <c r="G36" s="244"/>
      <c r="H36" s="246"/>
      <c r="I36" s="279"/>
      <c r="J36" s="269"/>
      <c r="K36" s="443" t="str">
        <f>IF(J36="","",VLOOKUP(J36,案件コード!$A$1:$B$31,2,FALSE()))</f>
        <v/>
      </c>
      <c r="L36" s="443"/>
      <c r="M36" s="443"/>
      <c r="N36" s="102" t="str">
        <f t="shared" si="8"/>
        <v/>
      </c>
      <c r="O36" s="245"/>
      <c r="P36" s="244"/>
      <c r="Q36" s="246"/>
      <c r="R36" s="279"/>
      <c r="S36" s="269"/>
      <c r="T36" s="443" t="str">
        <f>IF(S36="","",VLOOKUP(S36,案件コード!$A$1:$B$31,2,FALSE()))</f>
        <v/>
      </c>
      <c r="U36" s="443"/>
      <c r="V36" s="443"/>
      <c r="W36" s="102" t="str">
        <f t="shared" si="9"/>
        <v/>
      </c>
      <c r="X36" s="245"/>
      <c r="Y36" s="244"/>
      <c r="Z36" s="246"/>
      <c r="AA36" s="279"/>
      <c r="AB36" s="269"/>
      <c r="AC36" s="443" t="str">
        <f>IF(AB36="","",VLOOKUP(AB36,案件コード!$A$1:$B$31,2,FALSE()))</f>
        <v/>
      </c>
      <c r="AD36" s="443"/>
      <c r="AE36" s="443"/>
      <c r="AF36" s="102" t="str">
        <f t="shared" si="10"/>
        <v/>
      </c>
      <c r="AG36" s="245"/>
      <c r="AH36" s="244"/>
      <c r="AI36" s="246"/>
      <c r="AJ36" s="279"/>
      <c r="AK36" s="269"/>
      <c r="AL36" s="443" t="str">
        <f>IF(AK36="","",VLOOKUP(AK36,案件コード!$A$1:$B$31,2,FALSE()))</f>
        <v/>
      </c>
      <c r="AM36" s="443"/>
      <c r="AN36" s="443"/>
      <c r="AO36" s="102" t="str">
        <f t="shared" si="11"/>
        <v/>
      </c>
      <c r="AP36" s="245"/>
      <c r="AQ36" s="244"/>
      <c r="AR36" s="246"/>
      <c r="AS36" s="279"/>
      <c r="AT36" s="269"/>
      <c r="AU36" s="443" t="str">
        <f>IF(AT36="","",VLOOKUP(AT36,案件コード!$A$1:$B$31,2,FALSE()))</f>
        <v/>
      </c>
      <c r="AV36" s="443"/>
      <c r="AW36" s="443"/>
      <c r="AX36" s="102" t="str">
        <f t="shared" si="12"/>
        <v/>
      </c>
      <c r="AY36" s="245"/>
      <c r="AZ36" s="244"/>
      <c r="BA36" s="246"/>
      <c r="BB36" s="279"/>
      <c r="BC36" s="269"/>
      <c r="BD36" s="443" t="str">
        <f>IF(BC36="","",VLOOKUP(BC36,案件コード!$A$1:$B$31,2,FALSE()))</f>
        <v/>
      </c>
      <c r="BE36" s="443"/>
      <c r="BF36" s="443"/>
      <c r="BG36" s="102" t="str">
        <f t="shared" si="13"/>
        <v/>
      </c>
      <c r="BH36" s="245"/>
      <c r="BI36" s="244"/>
      <c r="BJ36" s="246"/>
      <c r="BK36" s="279"/>
    </row>
    <row r="37" spans="1:63">
      <c r="A37" s="269"/>
      <c r="B37" s="443" t="str">
        <f>IF(A37="","",VLOOKUP(A37,案件コード!$A$1:$B$31,2,FALSE()))</f>
        <v/>
      </c>
      <c r="C37" s="443"/>
      <c r="D37" s="443"/>
      <c r="E37" s="102" t="str">
        <f t="shared" si="7"/>
        <v/>
      </c>
      <c r="F37" s="245"/>
      <c r="G37" s="244"/>
      <c r="H37" s="246"/>
      <c r="I37" s="279"/>
      <c r="J37" s="269"/>
      <c r="K37" s="443" t="str">
        <f>IF(J37="","",VLOOKUP(J37,案件コード!$A$1:$B$31,2,FALSE()))</f>
        <v/>
      </c>
      <c r="L37" s="443"/>
      <c r="M37" s="443"/>
      <c r="N37" s="102" t="str">
        <f t="shared" si="8"/>
        <v/>
      </c>
      <c r="O37" s="245"/>
      <c r="P37" s="244"/>
      <c r="Q37" s="246"/>
      <c r="R37" s="279"/>
      <c r="S37" s="269"/>
      <c r="T37" s="443" t="str">
        <f>IF(S37="","",VLOOKUP(S37,案件コード!$A$1:$B$31,2,FALSE()))</f>
        <v/>
      </c>
      <c r="U37" s="443"/>
      <c r="V37" s="443"/>
      <c r="W37" s="102" t="str">
        <f t="shared" si="9"/>
        <v/>
      </c>
      <c r="X37" s="245"/>
      <c r="Y37" s="244"/>
      <c r="Z37" s="246"/>
      <c r="AA37" s="279"/>
      <c r="AB37" s="269"/>
      <c r="AC37" s="443" t="str">
        <f>IF(AB37="","",VLOOKUP(AB37,案件コード!$A$1:$B$31,2,FALSE()))</f>
        <v/>
      </c>
      <c r="AD37" s="443"/>
      <c r="AE37" s="443"/>
      <c r="AF37" s="102" t="str">
        <f t="shared" si="10"/>
        <v/>
      </c>
      <c r="AG37" s="245"/>
      <c r="AH37" s="244"/>
      <c r="AI37" s="246"/>
      <c r="AJ37" s="279"/>
      <c r="AK37" s="269"/>
      <c r="AL37" s="443" t="str">
        <f>IF(AK37="","",VLOOKUP(AK37,案件コード!$A$1:$B$31,2,FALSE()))</f>
        <v/>
      </c>
      <c r="AM37" s="443"/>
      <c r="AN37" s="443"/>
      <c r="AO37" s="102" t="str">
        <f t="shared" si="11"/>
        <v/>
      </c>
      <c r="AP37" s="245"/>
      <c r="AQ37" s="244"/>
      <c r="AR37" s="246"/>
      <c r="AS37" s="279"/>
      <c r="AT37" s="269"/>
      <c r="AU37" s="443" t="str">
        <f>IF(AT37="","",VLOOKUP(AT37,案件コード!$A$1:$B$31,2,FALSE()))</f>
        <v/>
      </c>
      <c r="AV37" s="443"/>
      <c r="AW37" s="443"/>
      <c r="AX37" s="102" t="str">
        <f t="shared" si="12"/>
        <v/>
      </c>
      <c r="AY37" s="245"/>
      <c r="AZ37" s="244"/>
      <c r="BA37" s="246"/>
      <c r="BB37" s="279"/>
      <c r="BC37" s="269"/>
      <c r="BD37" s="443" t="str">
        <f>IF(BC37="","",VLOOKUP(BC37,案件コード!$A$1:$B$31,2,FALSE()))</f>
        <v/>
      </c>
      <c r="BE37" s="443"/>
      <c r="BF37" s="443"/>
      <c r="BG37" s="102" t="str">
        <f t="shared" si="13"/>
        <v/>
      </c>
      <c r="BH37" s="245"/>
      <c r="BI37" s="244"/>
      <c r="BJ37" s="246"/>
      <c r="BK37" s="279"/>
    </row>
    <row r="38" spans="1:63">
      <c r="A38" s="269"/>
      <c r="B38" s="443" t="str">
        <f>IF(A38="","",VLOOKUP(A38,案件コード!$A$1:$B$31,2,FALSE()))</f>
        <v/>
      </c>
      <c r="C38" s="443"/>
      <c r="D38" s="443"/>
      <c r="E38" s="102" t="str">
        <f t="shared" si="7"/>
        <v/>
      </c>
      <c r="F38" s="245"/>
      <c r="G38" s="244"/>
      <c r="H38" s="246"/>
      <c r="I38" s="279"/>
      <c r="J38" s="269"/>
      <c r="K38" s="443" t="str">
        <f>IF(J38="","",VLOOKUP(J38,案件コード!$A$1:$B$31,2,FALSE()))</f>
        <v/>
      </c>
      <c r="L38" s="443"/>
      <c r="M38" s="443"/>
      <c r="N38" s="102" t="str">
        <f t="shared" si="8"/>
        <v/>
      </c>
      <c r="O38" s="245"/>
      <c r="P38" s="244"/>
      <c r="Q38" s="246"/>
      <c r="R38" s="279"/>
      <c r="S38" s="269"/>
      <c r="T38" s="443" t="str">
        <f>IF(S38="","",VLOOKUP(S38,案件コード!$A$1:$B$31,2,FALSE()))</f>
        <v/>
      </c>
      <c r="U38" s="443"/>
      <c r="V38" s="443"/>
      <c r="W38" s="102" t="str">
        <f t="shared" si="9"/>
        <v/>
      </c>
      <c r="X38" s="245"/>
      <c r="Y38" s="244"/>
      <c r="Z38" s="246"/>
      <c r="AA38" s="279"/>
      <c r="AB38" s="269"/>
      <c r="AC38" s="443" t="str">
        <f>IF(AB38="","",VLOOKUP(AB38,案件コード!$A$1:$B$31,2,FALSE()))</f>
        <v/>
      </c>
      <c r="AD38" s="443"/>
      <c r="AE38" s="443"/>
      <c r="AF38" s="102" t="str">
        <f t="shared" si="10"/>
        <v/>
      </c>
      <c r="AG38" s="245"/>
      <c r="AH38" s="244"/>
      <c r="AI38" s="246"/>
      <c r="AJ38" s="279"/>
      <c r="AK38" s="269"/>
      <c r="AL38" s="443" t="str">
        <f>IF(AK38="","",VLOOKUP(AK38,案件コード!$A$1:$B$31,2,FALSE()))</f>
        <v/>
      </c>
      <c r="AM38" s="443"/>
      <c r="AN38" s="443"/>
      <c r="AO38" s="102" t="str">
        <f t="shared" si="11"/>
        <v/>
      </c>
      <c r="AP38" s="245"/>
      <c r="AQ38" s="244"/>
      <c r="AR38" s="246"/>
      <c r="AS38" s="279"/>
      <c r="AT38" s="269"/>
      <c r="AU38" s="443" t="str">
        <f>IF(AT38="","",VLOOKUP(AT38,案件コード!$A$1:$B$31,2,FALSE()))</f>
        <v/>
      </c>
      <c r="AV38" s="443"/>
      <c r="AW38" s="443"/>
      <c r="AX38" s="102" t="str">
        <f t="shared" si="12"/>
        <v/>
      </c>
      <c r="AY38" s="245"/>
      <c r="AZ38" s="244"/>
      <c r="BA38" s="246"/>
      <c r="BB38" s="279"/>
      <c r="BC38" s="269"/>
      <c r="BD38" s="443" t="str">
        <f>IF(BC38="","",VLOOKUP(BC38,案件コード!$A$1:$B$31,2,FALSE()))</f>
        <v/>
      </c>
      <c r="BE38" s="443"/>
      <c r="BF38" s="443"/>
      <c r="BG38" s="102" t="str">
        <f t="shared" si="13"/>
        <v/>
      </c>
      <c r="BH38" s="245"/>
      <c r="BI38" s="244"/>
      <c r="BJ38" s="246"/>
      <c r="BK38" s="279"/>
    </row>
    <row r="39" spans="1:63">
      <c r="A39" s="269"/>
      <c r="B39" s="443" t="str">
        <f>IF(A39="","",VLOOKUP(A39,案件コード!$A$1:$B$31,2,FALSE()))</f>
        <v/>
      </c>
      <c r="C39" s="443"/>
      <c r="D39" s="443"/>
      <c r="E39" s="102" t="str">
        <f t="shared" si="7"/>
        <v/>
      </c>
      <c r="F39" s="245"/>
      <c r="G39" s="244"/>
      <c r="H39" s="246"/>
      <c r="I39" s="279"/>
      <c r="J39" s="269"/>
      <c r="K39" s="443" t="str">
        <f>IF(J39="","",VLOOKUP(J39,案件コード!$A$1:$B$31,2,FALSE()))</f>
        <v/>
      </c>
      <c r="L39" s="443"/>
      <c r="M39" s="443"/>
      <c r="N39" s="102" t="str">
        <f t="shared" si="8"/>
        <v/>
      </c>
      <c r="O39" s="245"/>
      <c r="P39" s="244"/>
      <c r="Q39" s="246"/>
      <c r="R39" s="279"/>
      <c r="S39" s="269"/>
      <c r="T39" s="443" t="str">
        <f>IF(S39="","",VLOOKUP(S39,案件コード!$A$1:$B$31,2,FALSE()))</f>
        <v/>
      </c>
      <c r="U39" s="443"/>
      <c r="V39" s="443"/>
      <c r="W39" s="102" t="str">
        <f t="shared" si="9"/>
        <v/>
      </c>
      <c r="X39" s="245"/>
      <c r="Y39" s="244"/>
      <c r="Z39" s="246"/>
      <c r="AA39" s="279"/>
      <c r="AB39" s="269"/>
      <c r="AC39" s="443" t="str">
        <f>IF(AB39="","",VLOOKUP(AB39,案件コード!$A$1:$B$31,2,FALSE()))</f>
        <v/>
      </c>
      <c r="AD39" s="443"/>
      <c r="AE39" s="443"/>
      <c r="AF39" s="102" t="str">
        <f t="shared" si="10"/>
        <v/>
      </c>
      <c r="AG39" s="245"/>
      <c r="AH39" s="244"/>
      <c r="AI39" s="246"/>
      <c r="AJ39" s="279"/>
      <c r="AK39" s="269"/>
      <c r="AL39" s="443" t="str">
        <f>IF(AK39="","",VLOOKUP(AK39,案件コード!$A$1:$B$31,2,FALSE()))</f>
        <v/>
      </c>
      <c r="AM39" s="443"/>
      <c r="AN39" s="443"/>
      <c r="AO39" s="102" t="str">
        <f t="shared" si="11"/>
        <v/>
      </c>
      <c r="AP39" s="245"/>
      <c r="AQ39" s="244"/>
      <c r="AR39" s="246"/>
      <c r="AS39" s="279"/>
      <c r="AT39" s="269"/>
      <c r="AU39" s="443" t="str">
        <f>IF(AT39="","",VLOOKUP(AT39,案件コード!$A$1:$B$31,2,FALSE()))</f>
        <v/>
      </c>
      <c r="AV39" s="443"/>
      <c r="AW39" s="443"/>
      <c r="AX39" s="102" t="str">
        <f t="shared" si="12"/>
        <v/>
      </c>
      <c r="AY39" s="245"/>
      <c r="AZ39" s="244"/>
      <c r="BA39" s="246"/>
      <c r="BB39" s="279"/>
      <c r="BC39" s="269"/>
      <c r="BD39" s="443" t="str">
        <f>IF(BC39="","",VLOOKUP(BC39,案件コード!$A$1:$B$31,2,FALSE()))</f>
        <v/>
      </c>
      <c r="BE39" s="443"/>
      <c r="BF39" s="443"/>
      <c r="BG39" s="102" t="str">
        <f t="shared" si="13"/>
        <v/>
      </c>
      <c r="BH39" s="245"/>
      <c r="BI39" s="244"/>
      <c r="BJ39" s="246"/>
      <c r="BK39" s="279"/>
    </row>
    <row r="40" spans="1:63">
      <c r="A40" s="269"/>
      <c r="B40" s="443" t="str">
        <f>IF(A40="","",VLOOKUP(A40,案件コード!$A$1:$B$31,2,FALSE()))</f>
        <v/>
      </c>
      <c r="C40" s="443"/>
      <c r="D40" s="443"/>
      <c r="E40" s="102" t="str">
        <f t="shared" si="7"/>
        <v/>
      </c>
      <c r="F40" s="245"/>
      <c r="G40" s="244"/>
      <c r="H40" s="246"/>
      <c r="I40" s="279"/>
      <c r="J40" s="269"/>
      <c r="K40" s="443" t="str">
        <f>IF(J40="","",VLOOKUP(J40,案件コード!$A$1:$B$31,2,FALSE()))</f>
        <v/>
      </c>
      <c r="L40" s="443"/>
      <c r="M40" s="443"/>
      <c r="N40" s="102" t="str">
        <f t="shared" si="8"/>
        <v/>
      </c>
      <c r="O40" s="245"/>
      <c r="P40" s="244"/>
      <c r="Q40" s="246"/>
      <c r="R40" s="279"/>
      <c r="S40" s="269"/>
      <c r="T40" s="443" t="str">
        <f>IF(S40="","",VLOOKUP(S40,案件コード!$A$1:$B$31,2,FALSE()))</f>
        <v/>
      </c>
      <c r="U40" s="443"/>
      <c r="V40" s="443"/>
      <c r="W40" s="102" t="str">
        <f t="shared" si="9"/>
        <v/>
      </c>
      <c r="X40" s="245"/>
      <c r="Y40" s="244"/>
      <c r="Z40" s="246"/>
      <c r="AA40" s="279"/>
      <c r="AB40" s="269"/>
      <c r="AC40" s="443" t="str">
        <f>IF(AB40="","",VLOOKUP(AB40,案件コード!$A$1:$B$31,2,FALSE()))</f>
        <v/>
      </c>
      <c r="AD40" s="443"/>
      <c r="AE40" s="443"/>
      <c r="AF40" s="102" t="str">
        <f t="shared" si="10"/>
        <v/>
      </c>
      <c r="AG40" s="245"/>
      <c r="AH40" s="244"/>
      <c r="AI40" s="246"/>
      <c r="AJ40" s="279"/>
      <c r="AK40" s="269"/>
      <c r="AL40" s="443" t="str">
        <f>IF(AK40="","",VLOOKUP(AK40,案件コード!$A$1:$B$31,2,FALSE()))</f>
        <v/>
      </c>
      <c r="AM40" s="443"/>
      <c r="AN40" s="443"/>
      <c r="AO40" s="102" t="str">
        <f t="shared" si="11"/>
        <v/>
      </c>
      <c r="AP40" s="245"/>
      <c r="AQ40" s="244"/>
      <c r="AR40" s="246"/>
      <c r="AS40" s="279"/>
      <c r="AT40" s="269"/>
      <c r="AU40" s="443" t="str">
        <f>IF(AT40="","",VLOOKUP(AT40,案件コード!$A$1:$B$31,2,FALSE()))</f>
        <v/>
      </c>
      <c r="AV40" s="443"/>
      <c r="AW40" s="443"/>
      <c r="AX40" s="102" t="str">
        <f t="shared" si="12"/>
        <v/>
      </c>
      <c r="AY40" s="245"/>
      <c r="AZ40" s="244"/>
      <c r="BA40" s="246"/>
      <c r="BB40" s="279"/>
      <c r="BC40" s="269"/>
      <c r="BD40" s="443" t="str">
        <f>IF(BC40="","",VLOOKUP(BC40,案件コード!$A$1:$B$31,2,FALSE()))</f>
        <v/>
      </c>
      <c r="BE40" s="443"/>
      <c r="BF40" s="443"/>
      <c r="BG40" s="102" t="str">
        <f t="shared" si="13"/>
        <v/>
      </c>
      <c r="BH40" s="245"/>
      <c r="BI40" s="244"/>
      <c r="BJ40" s="246"/>
      <c r="BK40" s="279"/>
    </row>
    <row r="41" spans="1:63">
      <c r="A41" s="269"/>
      <c r="B41" s="443" t="str">
        <f>IF(A41="","",VLOOKUP(A41,案件コード!$A$1:$B$31,2,FALSE()))</f>
        <v/>
      </c>
      <c r="C41" s="443"/>
      <c r="D41" s="443"/>
      <c r="E41" s="102" t="str">
        <f t="shared" si="7"/>
        <v/>
      </c>
      <c r="F41" s="245"/>
      <c r="G41" s="244"/>
      <c r="H41" s="246"/>
      <c r="I41" s="279"/>
      <c r="J41" s="269"/>
      <c r="K41" s="443" t="str">
        <f>IF(J41="","",VLOOKUP(J41,案件コード!$A$1:$B$31,2,FALSE()))</f>
        <v/>
      </c>
      <c r="L41" s="443"/>
      <c r="M41" s="443"/>
      <c r="N41" s="102" t="str">
        <f t="shared" si="8"/>
        <v/>
      </c>
      <c r="O41" s="245"/>
      <c r="P41" s="244"/>
      <c r="Q41" s="246"/>
      <c r="R41" s="279"/>
      <c r="S41" s="269"/>
      <c r="T41" s="443" t="str">
        <f>IF(S41="","",VLOOKUP(S41,案件コード!$A$1:$B$31,2,FALSE()))</f>
        <v/>
      </c>
      <c r="U41" s="443"/>
      <c r="V41" s="443"/>
      <c r="W41" s="102" t="str">
        <f t="shared" si="9"/>
        <v/>
      </c>
      <c r="X41" s="245"/>
      <c r="Y41" s="244"/>
      <c r="Z41" s="246"/>
      <c r="AA41" s="279"/>
      <c r="AB41" s="269"/>
      <c r="AC41" s="443" t="str">
        <f>IF(AB41="","",VLOOKUP(AB41,案件コード!$A$1:$B$31,2,FALSE()))</f>
        <v/>
      </c>
      <c r="AD41" s="443"/>
      <c r="AE41" s="443"/>
      <c r="AF41" s="102" t="str">
        <f t="shared" si="10"/>
        <v/>
      </c>
      <c r="AG41" s="245"/>
      <c r="AH41" s="244"/>
      <c r="AI41" s="246"/>
      <c r="AJ41" s="279"/>
      <c r="AK41" s="269"/>
      <c r="AL41" s="443" t="str">
        <f>IF(AK41="","",VLOOKUP(AK41,案件コード!$A$1:$B$31,2,FALSE()))</f>
        <v/>
      </c>
      <c r="AM41" s="443"/>
      <c r="AN41" s="443"/>
      <c r="AO41" s="102" t="str">
        <f t="shared" si="11"/>
        <v/>
      </c>
      <c r="AP41" s="245"/>
      <c r="AQ41" s="244"/>
      <c r="AR41" s="246"/>
      <c r="AS41" s="279"/>
      <c r="AT41" s="269"/>
      <c r="AU41" s="443" t="str">
        <f>IF(AT41="","",VLOOKUP(AT41,案件コード!$A$1:$B$31,2,FALSE()))</f>
        <v/>
      </c>
      <c r="AV41" s="443"/>
      <c r="AW41" s="443"/>
      <c r="AX41" s="102" t="str">
        <f t="shared" si="12"/>
        <v/>
      </c>
      <c r="AY41" s="245"/>
      <c r="AZ41" s="244"/>
      <c r="BA41" s="246"/>
      <c r="BB41" s="279"/>
      <c r="BC41" s="269"/>
      <c r="BD41" s="443" t="str">
        <f>IF(BC41="","",VLOOKUP(BC41,案件コード!$A$1:$B$31,2,FALSE()))</f>
        <v/>
      </c>
      <c r="BE41" s="443"/>
      <c r="BF41" s="443"/>
      <c r="BG41" s="102" t="str">
        <f t="shared" si="13"/>
        <v/>
      </c>
      <c r="BH41" s="245"/>
      <c r="BI41" s="244"/>
      <c r="BJ41" s="246"/>
      <c r="BK41" s="279"/>
    </row>
    <row r="42" spans="1:63">
      <c r="A42" s="269"/>
      <c r="B42" s="443" t="str">
        <f>IF(A42="","",VLOOKUP(A42,案件コード!$A$1:$B$31,2,FALSE()))</f>
        <v/>
      </c>
      <c r="C42" s="443"/>
      <c r="D42" s="443"/>
      <c r="E42" s="102" t="str">
        <f t="shared" si="7"/>
        <v/>
      </c>
      <c r="F42" s="245"/>
      <c r="G42" s="244"/>
      <c r="H42" s="246"/>
      <c r="I42" s="279"/>
      <c r="J42" s="269"/>
      <c r="K42" s="443" t="str">
        <f>IF(J42="","",VLOOKUP(J42,案件コード!$A$1:$B$31,2,FALSE()))</f>
        <v/>
      </c>
      <c r="L42" s="443"/>
      <c r="M42" s="443"/>
      <c r="N42" s="102" t="str">
        <f t="shared" si="8"/>
        <v/>
      </c>
      <c r="O42" s="245"/>
      <c r="P42" s="244"/>
      <c r="Q42" s="246"/>
      <c r="R42" s="279"/>
      <c r="S42" s="269"/>
      <c r="T42" s="443" t="str">
        <f>IF(S42="","",VLOOKUP(S42,案件コード!$A$1:$B$31,2,FALSE()))</f>
        <v/>
      </c>
      <c r="U42" s="443"/>
      <c r="V42" s="443"/>
      <c r="W42" s="102" t="str">
        <f t="shared" si="9"/>
        <v/>
      </c>
      <c r="X42" s="245"/>
      <c r="Y42" s="244"/>
      <c r="Z42" s="246"/>
      <c r="AA42" s="279"/>
      <c r="AB42" s="269"/>
      <c r="AC42" s="443" t="str">
        <f>IF(AB42="","",VLOOKUP(AB42,案件コード!$A$1:$B$31,2,FALSE()))</f>
        <v/>
      </c>
      <c r="AD42" s="443"/>
      <c r="AE42" s="443"/>
      <c r="AF42" s="102" t="str">
        <f t="shared" si="10"/>
        <v/>
      </c>
      <c r="AG42" s="245"/>
      <c r="AH42" s="244"/>
      <c r="AI42" s="246"/>
      <c r="AJ42" s="279"/>
      <c r="AK42" s="269"/>
      <c r="AL42" s="443" t="str">
        <f>IF(AK42="","",VLOOKUP(AK42,案件コード!$A$1:$B$31,2,FALSE()))</f>
        <v/>
      </c>
      <c r="AM42" s="443"/>
      <c r="AN42" s="443"/>
      <c r="AO42" s="102" t="str">
        <f t="shared" si="11"/>
        <v/>
      </c>
      <c r="AP42" s="245"/>
      <c r="AQ42" s="244"/>
      <c r="AR42" s="246"/>
      <c r="AS42" s="279"/>
      <c r="AT42" s="269"/>
      <c r="AU42" s="443" t="str">
        <f>IF(AT42="","",VLOOKUP(AT42,案件コード!$A$1:$B$31,2,FALSE()))</f>
        <v/>
      </c>
      <c r="AV42" s="443"/>
      <c r="AW42" s="443"/>
      <c r="AX42" s="102" t="str">
        <f t="shared" si="12"/>
        <v/>
      </c>
      <c r="AY42" s="245"/>
      <c r="AZ42" s="244"/>
      <c r="BA42" s="246"/>
      <c r="BB42" s="279"/>
      <c r="BC42" s="269"/>
      <c r="BD42" s="443" t="str">
        <f>IF(BC42="","",VLOOKUP(BC42,案件コード!$A$1:$B$31,2,FALSE()))</f>
        <v/>
      </c>
      <c r="BE42" s="443"/>
      <c r="BF42" s="443"/>
      <c r="BG42" s="102" t="str">
        <f t="shared" si="13"/>
        <v/>
      </c>
      <c r="BH42" s="245"/>
      <c r="BI42" s="244"/>
      <c r="BJ42" s="246"/>
      <c r="BK42" s="279"/>
    </row>
    <row r="43" spans="1:63" ht="18.600000000000001" thickBot="1">
      <c r="A43" s="272"/>
      <c r="B43" s="444" t="str">
        <f>IF(A43="","",VLOOKUP(A43,案件コード!$A$1:$B$31,2,FALSE()))</f>
        <v/>
      </c>
      <c r="C43" s="444"/>
      <c r="D43" s="444"/>
      <c r="E43" s="273" t="str">
        <f t="shared" si="7"/>
        <v/>
      </c>
      <c r="F43" s="274"/>
      <c r="G43" s="275"/>
      <c r="H43" s="276"/>
      <c r="I43" s="280"/>
      <c r="J43" s="272"/>
      <c r="K43" s="444" t="str">
        <f>IF(J43="","",VLOOKUP(J43,案件コード!$A$1:$B$31,2,FALSE()))</f>
        <v/>
      </c>
      <c r="L43" s="444"/>
      <c r="M43" s="444"/>
      <c r="N43" s="273" t="str">
        <f t="shared" si="8"/>
        <v/>
      </c>
      <c r="O43" s="274"/>
      <c r="P43" s="275"/>
      <c r="Q43" s="276"/>
      <c r="R43" s="280"/>
      <c r="S43" s="272"/>
      <c r="T43" s="444" t="str">
        <f>IF(S43="","",VLOOKUP(S43,案件コード!$A$1:$B$31,2,FALSE()))</f>
        <v/>
      </c>
      <c r="U43" s="444"/>
      <c r="V43" s="444"/>
      <c r="W43" s="273" t="str">
        <f t="shared" si="9"/>
        <v/>
      </c>
      <c r="X43" s="274"/>
      <c r="Y43" s="275"/>
      <c r="Z43" s="276"/>
      <c r="AA43" s="280"/>
      <c r="AB43" s="272"/>
      <c r="AC43" s="444" t="str">
        <f>IF(AB43="","",VLOOKUP(AB43,案件コード!$A$1:$B$31,2,FALSE()))</f>
        <v/>
      </c>
      <c r="AD43" s="444"/>
      <c r="AE43" s="444"/>
      <c r="AF43" s="273" t="str">
        <f t="shared" si="10"/>
        <v/>
      </c>
      <c r="AG43" s="274"/>
      <c r="AH43" s="275"/>
      <c r="AI43" s="276"/>
      <c r="AJ43" s="280"/>
      <c r="AK43" s="272"/>
      <c r="AL43" s="444" t="str">
        <f>IF(AK43="","",VLOOKUP(AK43,案件コード!$A$1:$B$31,2,FALSE()))</f>
        <v/>
      </c>
      <c r="AM43" s="444"/>
      <c r="AN43" s="444"/>
      <c r="AO43" s="273" t="str">
        <f t="shared" si="11"/>
        <v/>
      </c>
      <c r="AP43" s="274"/>
      <c r="AQ43" s="275"/>
      <c r="AR43" s="276"/>
      <c r="AS43" s="280"/>
      <c r="AT43" s="272"/>
      <c r="AU43" s="444" t="str">
        <f>IF(AT43="","",VLOOKUP(AT43,案件コード!$A$1:$B$31,2,FALSE()))</f>
        <v/>
      </c>
      <c r="AV43" s="444"/>
      <c r="AW43" s="444"/>
      <c r="AX43" s="273" t="str">
        <f t="shared" si="12"/>
        <v/>
      </c>
      <c r="AY43" s="274"/>
      <c r="AZ43" s="275"/>
      <c r="BA43" s="276"/>
      <c r="BB43" s="280"/>
      <c r="BC43" s="272"/>
      <c r="BD43" s="444" t="str">
        <f>IF(BC43="","",VLOOKUP(BC43,案件コード!$A$1:$B$31,2,FALSE()))</f>
        <v/>
      </c>
      <c r="BE43" s="444"/>
      <c r="BF43" s="444"/>
      <c r="BG43" s="273" t="str">
        <f t="shared" si="13"/>
        <v/>
      </c>
      <c r="BH43" s="274"/>
      <c r="BI43" s="275"/>
      <c r="BJ43" s="276"/>
      <c r="BK43" s="280"/>
    </row>
    <row r="44" spans="1:63" ht="18.600000000000001" thickBot="1">
      <c r="A44" s="334">
        <f>A26</f>
        <v>45938</v>
      </c>
      <c r="B44" s="333" t="s">
        <v>291</v>
      </c>
      <c r="C44" s="456"/>
      <c r="D44" s="457"/>
      <c r="E44" s="457"/>
      <c r="F44" s="457"/>
      <c r="G44" s="458"/>
      <c r="H44" s="412">
        <f>SUM(H29:H43)</f>
        <v>0</v>
      </c>
      <c r="I44" s="91" t="s">
        <v>371</v>
      </c>
      <c r="J44" s="334">
        <f>J26</f>
        <v>45939</v>
      </c>
      <c r="K44" s="333" t="s">
        <v>291</v>
      </c>
      <c r="L44" s="456"/>
      <c r="M44" s="457"/>
      <c r="N44" s="457"/>
      <c r="O44" s="457"/>
      <c r="P44" s="458"/>
      <c r="Q44" s="412">
        <f>SUM(Q29:Q43)</f>
        <v>0</v>
      </c>
      <c r="R44" s="91" t="s">
        <v>371</v>
      </c>
      <c r="S44" s="334">
        <f>S26</f>
        <v>45940</v>
      </c>
      <c r="T44" s="333" t="s">
        <v>291</v>
      </c>
      <c r="U44" s="456"/>
      <c r="V44" s="457"/>
      <c r="W44" s="457"/>
      <c r="X44" s="457"/>
      <c r="Y44" s="458"/>
      <c r="Z44" s="412">
        <f>SUM(Z29:Z43)</f>
        <v>0</v>
      </c>
      <c r="AA44" s="91" t="s">
        <v>371</v>
      </c>
      <c r="AB44" s="334">
        <f>AB26</f>
        <v>45941</v>
      </c>
      <c r="AC44" s="333" t="s">
        <v>291</v>
      </c>
      <c r="AD44" s="456"/>
      <c r="AE44" s="457"/>
      <c r="AF44" s="457"/>
      <c r="AG44" s="457"/>
      <c r="AH44" s="458"/>
      <c r="AI44" s="412">
        <f>SUM(AI29:AI43)</f>
        <v>0</v>
      </c>
      <c r="AJ44" s="91" t="s">
        <v>371</v>
      </c>
      <c r="AK44" s="334">
        <f>AK26</f>
        <v>45942</v>
      </c>
      <c r="AL44" s="333" t="s">
        <v>291</v>
      </c>
      <c r="AM44" s="456"/>
      <c r="AN44" s="457"/>
      <c r="AO44" s="457"/>
      <c r="AP44" s="457"/>
      <c r="AQ44" s="458"/>
      <c r="AR44" s="412">
        <f>SUM(AR29:AR43)</f>
        <v>0</v>
      </c>
      <c r="AS44" s="91" t="s">
        <v>371</v>
      </c>
      <c r="AT44" s="334">
        <f>AT26</f>
        <v>45943</v>
      </c>
      <c r="AU44" s="333" t="s">
        <v>291</v>
      </c>
      <c r="AV44" s="456"/>
      <c r="AW44" s="457"/>
      <c r="AX44" s="457"/>
      <c r="AY44" s="457"/>
      <c r="AZ44" s="458"/>
      <c r="BA44" s="412">
        <f>SUM(BA29:BA43)</f>
        <v>0</v>
      </c>
      <c r="BB44" s="91" t="s">
        <v>371</v>
      </c>
      <c r="BC44" s="334">
        <f>BC26</f>
        <v>45944</v>
      </c>
      <c r="BD44" s="333" t="s">
        <v>291</v>
      </c>
      <c r="BE44" s="456"/>
      <c r="BF44" s="457"/>
      <c r="BG44" s="457"/>
      <c r="BH44" s="457"/>
      <c r="BI44" s="458"/>
      <c r="BJ44" s="412">
        <f>SUM(BJ29:BJ43)</f>
        <v>0</v>
      </c>
      <c r="BK44" s="91" t="s">
        <v>371</v>
      </c>
    </row>
    <row r="45" spans="1:63">
      <c r="A45" s="448" t="s">
        <v>14</v>
      </c>
      <c r="B45" s="449"/>
      <c r="C45" s="450" t="s">
        <v>15</v>
      </c>
      <c r="D45" s="450"/>
      <c r="E45" s="450" t="s">
        <v>16</v>
      </c>
      <c r="F45" s="451"/>
      <c r="G45" s="37"/>
      <c r="H45" s="37"/>
      <c r="I45" s="37"/>
      <c r="J45" s="448" t="s">
        <v>14</v>
      </c>
      <c r="K45" s="449"/>
      <c r="L45" s="450" t="s">
        <v>15</v>
      </c>
      <c r="M45" s="450"/>
      <c r="N45" s="450" t="s">
        <v>16</v>
      </c>
      <c r="O45" s="451"/>
      <c r="P45" s="37"/>
      <c r="Q45" s="37"/>
      <c r="R45" s="37"/>
      <c r="S45" s="448" t="s">
        <v>14</v>
      </c>
      <c r="T45" s="449"/>
      <c r="U45" s="450" t="s">
        <v>15</v>
      </c>
      <c r="V45" s="450"/>
      <c r="W45" s="450" t="s">
        <v>16</v>
      </c>
      <c r="X45" s="451"/>
      <c r="Y45" s="37"/>
      <c r="Z45" s="37"/>
      <c r="AA45" s="37"/>
      <c r="AB45" s="448" t="s">
        <v>14</v>
      </c>
      <c r="AC45" s="449"/>
      <c r="AD45" s="450" t="s">
        <v>15</v>
      </c>
      <c r="AE45" s="450"/>
      <c r="AF45" s="450" t="s">
        <v>16</v>
      </c>
      <c r="AG45" s="451"/>
      <c r="AH45" s="37"/>
      <c r="AI45" s="37"/>
      <c r="AJ45" s="37"/>
      <c r="AK45" s="448" t="s">
        <v>14</v>
      </c>
      <c r="AL45" s="449"/>
      <c r="AM45" s="450" t="s">
        <v>15</v>
      </c>
      <c r="AN45" s="450"/>
      <c r="AO45" s="450" t="s">
        <v>16</v>
      </c>
      <c r="AP45" s="451"/>
      <c r="AQ45" s="37"/>
      <c r="AR45" s="37"/>
      <c r="AS45" s="37"/>
      <c r="AT45" s="448" t="s">
        <v>14</v>
      </c>
      <c r="AU45" s="449"/>
      <c r="AV45" s="450" t="s">
        <v>15</v>
      </c>
      <c r="AW45" s="450"/>
      <c r="AX45" s="450" t="s">
        <v>16</v>
      </c>
      <c r="AY45" s="451"/>
      <c r="AZ45" s="37"/>
      <c r="BA45" s="37"/>
      <c r="BB45" s="37"/>
      <c r="BC45" s="448" t="s">
        <v>14</v>
      </c>
      <c r="BD45" s="449"/>
      <c r="BE45" s="450" t="s">
        <v>15</v>
      </c>
      <c r="BF45" s="450"/>
      <c r="BG45" s="450" t="s">
        <v>16</v>
      </c>
      <c r="BH45" s="451"/>
      <c r="BI45" s="37"/>
      <c r="BJ45" s="37"/>
      <c r="BK45" s="37"/>
    </row>
    <row r="46" spans="1:63" ht="18.600000000000001" thickBot="1">
      <c r="A46" s="445">
        <f>BC26+1</f>
        <v>45945</v>
      </c>
      <c r="B46" s="446"/>
      <c r="C46" s="249"/>
      <c r="D46" s="249"/>
      <c r="E46" s="250" t="str">
        <f>IF(C46="","",D46-C46-H46)</f>
        <v/>
      </c>
      <c r="F46" s="251" t="str">
        <f>IF(AND(E46=""),"",SUM(E49:E63))</f>
        <v/>
      </c>
      <c r="G46" s="103" t="s">
        <v>17</v>
      </c>
      <c r="H46" s="247">
        <v>4.1666666666666699E-2</v>
      </c>
      <c r="I46" s="37"/>
      <c r="J46" s="445">
        <f>A46+1</f>
        <v>45946</v>
      </c>
      <c r="K46" s="446"/>
      <c r="L46" s="249"/>
      <c r="M46" s="249"/>
      <c r="N46" s="250" t="str">
        <f>IF(L46="","",M46-L46-Q46)</f>
        <v/>
      </c>
      <c r="O46" s="251" t="str">
        <f>IF(AND(N46=""),"",SUM(N49:N63))</f>
        <v/>
      </c>
      <c r="P46" s="103" t="s">
        <v>17</v>
      </c>
      <c r="Q46" s="247">
        <v>4.1666666666666699E-2</v>
      </c>
      <c r="R46" s="37"/>
      <c r="S46" s="445">
        <f>J46+1</f>
        <v>45947</v>
      </c>
      <c r="T46" s="446"/>
      <c r="U46" s="249"/>
      <c r="V46" s="249"/>
      <c r="W46" s="250" t="str">
        <f>IF(U46="","",V46-U46-Z46)</f>
        <v/>
      </c>
      <c r="X46" s="251" t="str">
        <f>IF(AND(W46=""),"",SUM(W49:W63))</f>
        <v/>
      </c>
      <c r="Y46" s="103" t="s">
        <v>17</v>
      </c>
      <c r="Z46" s="247">
        <v>4.1666666666666699E-2</v>
      </c>
      <c r="AA46" s="37"/>
      <c r="AB46" s="445">
        <f>S46+1</f>
        <v>45948</v>
      </c>
      <c r="AC46" s="446"/>
      <c r="AD46" s="249"/>
      <c r="AE46" s="249"/>
      <c r="AF46" s="250" t="str">
        <f>IF(AD46="","",AE46-AD46-AI46)</f>
        <v/>
      </c>
      <c r="AG46" s="251" t="str">
        <f>IF(AND(AF46=""),"",SUM(AF49:AF63))</f>
        <v/>
      </c>
      <c r="AH46" s="103" t="s">
        <v>17</v>
      </c>
      <c r="AI46" s="247">
        <v>4.1666666666666699E-2</v>
      </c>
      <c r="AJ46" s="37"/>
      <c r="AK46" s="445">
        <f>AB46+1</f>
        <v>45949</v>
      </c>
      <c r="AL46" s="446"/>
      <c r="AM46" s="249"/>
      <c r="AN46" s="249"/>
      <c r="AO46" s="250" t="str">
        <f>IF(AM46="","",AN46-AM46-AR46)</f>
        <v/>
      </c>
      <c r="AP46" s="251" t="str">
        <f>IF(AND(AO46=""),"",SUM(AO49:AO63))</f>
        <v/>
      </c>
      <c r="AQ46" s="103" t="s">
        <v>17</v>
      </c>
      <c r="AR46" s="247">
        <v>4.1666666666666699E-2</v>
      </c>
      <c r="AS46" s="37"/>
      <c r="AT46" s="445">
        <f>AK46+1</f>
        <v>45950</v>
      </c>
      <c r="AU46" s="446"/>
      <c r="AV46" s="249"/>
      <c r="AW46" s="249"/>
      <c r="AX46" s="250" t="str">
        <f>IF(AV46="","",AW46-AV46-BA46)</f>
        <v/>
      </c>
      <c r="AY46" s="251" t="str">
        <f>IF(AND(AX46=""),"",SUM(AX49:AX63))</f>
        <v/>
      </c>
      <c r="AZ46" s="103" t="s">
        <v>17</v>
      </c>
      <c r="BA46" s="247">
        <v>4.1666666666666699E-2</v>
      </c>
      <c r="BB46" s="37"/>
      <c r="BC46" s="445">
        <f>AT46+1</f>
        <v>45951</v>
      </c>
      <c r="BD46" s="446"/>
      <c r="BE46" s="249"/>
      <c r="BF46" s="249"/>
      <c r="BG46" s="250" t="str">
        <f>IF(BE46="","",BF46-BE46-BJ46)</f>
        <v/>
      </c>
      <c r="BH46" s="251" t="str">
        <f>IF(AND(BG46=""),"",SUM(BG49:BG63))</f>
        <v/>
      </c>
      <c r="BI46" s="103" t="s">
        <v>17</v>
      </c>
      <c r="BJ46" s="247">
        <v>4.1666666666666699E-2</v>
      </c>
      <c r="BK46" s="37"/>
    </row>
    <row r="47" spans="1:63" ht="18.600000000000001" thickBot="1">
      <c r="A47" s="37" t="s">
        <v>36</v>
      </c>
      <c r="B47" s="104"/>
      <c r="C47" s="104"/>
      <c r="D47" s="104"/>
      <c r="E47" s="105"/>
      <c r="F47" s="106"/>
      <c r="G47" s="106"/>
      <c r="H47" s="413">
        <f>IF(COUNT(H49:H63)=0,0,COUNT(H49:H63))</f>
        <v>0</v>
      </c>
      <c r="I47" s="411" t="s">
        <v>366</v>
      </c>
      <c r="J47" s="37" t="s">
        <v>36</v>
      </c>
      <c r="K47" s="104"/>
      <c r="L47" s="104"/>
      <c r="M47" s="104"/>
      <c r="N47" s="105"/>
      <c r="O47" s="106"/>
      <c r="P47" s="106"/>
      <c r="Q47" s="413">
        <f>IF(COUNT(Q49:Q63)=0,0,COUNT(Q49:Q63))</f>
        <v>0</v>
      </c>
      <c r="R47" s="411" t="s">
        <v>366</v>
      </c>
      <c r="S47" s="37" t="s">
        <v>36</v>
      </c>
      <c r="T47" s="104"/>
      <c r="U47" s="104"/>
      <c r="V47" s="104"/>
      <c r="W47" s="105"/>
      <c r="X47" s="106"/>
      <c r="Y47" s="106"/>
      <c r="Z47" s="413">
        <f>IF(COUNT(Z49:Z63)=0,0,COUNT(Z49:Z63))</f>
        <v>0</v>
      </c>
      <c r="AA47" s="411" t="s">
        <v>366</v>
      </c>
      <c r="AB47" s="37" t="s">
        <v>36</v>
      </c>
      <c r="AC47" s="104"/>
      <c r="AD47" s="104"/>
      <c r="AE47" s="104"/>
      <c r="AF47" s="105"/>
      <c r="AG47" s="106"/>
      <c r="AH47" s="106"/>
      <c r="AI47" s="413">
        <f>IF(COUNT(AI49:AI63)=0,0,COUNT(AI49:AI63))</f>
        <v>0</v>
      </c>
      <c r="AJ47" s="411" t="s">
        <v>366</v>
      </c>
      <c r="AK47" s="37" t="s">
        <v>36</v>
      </c>
      <c r="AL47" s="104"/>
      <c r="AM47" s="104"/>
      <c r="AN47" s="104"/>
      <c r="AO47" s="105"/>
      <c r="AP47" s="106"/>
      <c r="AQ47" s="106"/>
      <c r="AR47" s="413">
        <f>IF(COUNT(AR49:AR63)=0,0,COUNT(AR49:AR63))</f>
        <v>0</v>
      </c>
      <c r="AS47" s="411" t="s">
        <v>366</v>
      </c>
      <c r="AT47" s="37" t="s">
        <v>36</v>
      </c>
      <c r="AU47" s="104"/>
      <c r="AV47" s="104"/>
      <c r="AW47" s="104"/>
      <c r="AX47" s="105"/>
      <c r="AY47" s="106"/>
      <c r="AZ47" s="106"/>
      <c r="BA47" s="413">
        <f>IF(COUNT(BA49:BA63)=0,0,COUNT(BA49:BA63))</f>
        <v>0</v>
      </c>
      <c r="BB47" s="411" t="s">
        <v>366</v>
      </c>
      <c r="BC47" s="37" t="s">
        <v>36</v>
      </c>
      <c r="BD47" s="104"/>
      <c r="BE47" s="104"/>
      <c r="BF47" s="104"/>
      <c r="BG47" s="105"/>
      <c r="BH47" s="106"/>
      <c r="BI47" s="106"/>
      <c r="BJ47" s="413">
        <f>IF(COUNT(BJ49:BJ63)=0,0,COUNT(BJ49:BJ63))</f>
        <v>0</v>
      </c>
      <c r="BK47" s="411" t="s">
        <v>366</v>
      </c>
    </row>
    <row r="48" spans="1:63">
      <c r="A48" s="265" t="s">
        <v>18</v>
      </c>
      <c r="B48" s="447" t="s">
        <v>19</v>
      </c>
      <c r="C48" s="447"/>
      <c r="D48" s="447"/>
      <c r="E48" s="266" t="s">
        <v>20</v>
      </c>
      <c r="F48" s="266" t="s">
        <v>0</v>
      </c>
      <c r="G48" s="266" t="s">
        <v>37</v>
      </c>
      <c r="H48" s="267" t="s">
        <v>21</v>
      </c>
      <c r="I48" s="268" t="s">
        <v>22</v>
      </c>
      <c r="J48" s="265" t="s">
        <v>18</v>
      </c>
      <c r="K48" s="447" t="s">
        <v>19</v>
      </c>
      <c r="L48" s="447"/>
      <c r="M48" s="447"/>
      <c r="N48" s="266" t="s">
        <v>20</v>
      </c>
      <c r="O48" s="266" t="s">
        <v>0</v>
      </c>
      <c r="P48" s="266" t="s">
        <v>37</v>
      </c>
      <c r="Q48" s="267" t="s">
        <v>21</v>
      </c>
      <c r="R48" s="268" t="s">
        <v>22</v>
      </c>
      <c r="S48" s="265" t="s">
        <v>18</v>
      </c>
      <c r="T48" s="447" t="s">
        <v>19</v>
      </c>
      <c r="U48" s="447"/>
      <c r="V48" s="447"/>
      <c r="W48" s="266" t="s">
        <v>20</v>
      </c>
      <c r="X48" s="266" t="s">
        <v>0</v>
      </c>
      <c r="Y48" s="266" t="s">
        <v>37</v>
      </c>
      <c r="Z48" s="267" t="s">
        <v>21</v>
      </c>
      <c r="AA48" s="268" t="s">
        <v>22</v>
      </c>
      <c r="AB48" s="265" t="s">
        <v>18</v>
      </c>
      <c r="AC48" s="447" t="s">
        <v>19</v>
      </c>
      <c r="AD48" s="447"/>
      <c r="AE48" s="447"/>
      <c r="AF48" s="266" t="s">
        <v>20</v>
      </c>
      <c r="AG48" s="266" t="s">
        <v>0</v>
      </c>
      <c r="AH48" s="266" t="s">
        <v>37</v>
      </c>
      <c r="AI48" s="267" t="s">
        <v>21</v>
      </c>
      <c r="AJ48" s="268" t="s">
        <v>22</v>
      </c>
      <c r="AK48" s="265" t="s">
        <v>18</v>
      </c>
      <c r="AL48" s="447" t="s">
        <v>19</v>
      </c>
      <c r="AM48" s="447"/>
      <c r="AN48" s="447"/>
      <c r="AO48" s="266" t="s">
        <v>20</v>
      </c>
      <c r="AP48" s="266" t="s">
        <v>0</v>
      </c>
      <c r="AQ48" s="266" t="s">
        <v>37</v>
      </c>
      <c r="AR48" s="267" t="s">
        <v>21</v>
      </c>
      <c r="AS48" s="268" t="s">
        <v>22</v>
      </c>
      <c r="AT48" s="265" t="s">
        <v>18</v>
      </c>
      <c r="AU48" s="447" t="s">
        <v>19</v>
      </c>
      <c r="AV48" s="447"/>
      <c r="AW48" s="447"/>
      <c r="AX48" s="266" t="s">
        <v>20</v>
      </c>
      <c r="AY48" s="266" t="s">
        <v>0</v>
      </c>
      <c r="AZ48" s="266" t="s">
        <v>37</v>
      </c>
      <c r="BA48" s="267" t="s">
        <v>21</v>
      </c>
      <c r="BB48" s="268" t="s">
        <v>22</v>
      </c>
      <c r="BC48" s="265" t="s">
        <v>18</v>
      </c>
      <c r="BD48" s="447" t="s">
        <v>19</v>
      </c>
      <c r="BE48" s="447"/>
      <c r="BF48" s="447"/>
      <c r="BG48" s="266" t="s">
        <v>20</v>
      </c>
      <c r="BH48" s="266" t="s">
        <v>0</v>
      </c>
      <c r="BI48" s="266" t="s">
        <v>37</v>
      </c>
      <c r="BJ48" s="267" t="s">
        <v>21</v>
      </c>
      <c r="BK48" s="268" t="s">
        <v>22</v>
      </c>
    </row>
    <row r="49" spans="1:63">
      <c r="A49" s="269"/>
      <c r="B49" s="443" t="str">
        <f>IF(A49="","",VLOOKUP(A49,案件コード!$A$1:$B$31,2,FALSE()))</f>
        <v/>
      </c>
      <c r="C49" s="443"/>
      <c r="D49" s="443"/>
      <c r="E49" s="102" t="str">
        <f t="shared" ref="E49:E63" si="14">IF(AND(F49="",G49=""),"",SUM(F49:G49))</f>
        <v/>
      </c>
      <c r="F49" s="245"/>
      <c r="G49" s="244"/>
      <c r="H49" s="246"/>
      <c r="I49" s="278"/>
      <c r="J49" s="269"/>
      <c r="K49" s="443" t="str">
        <f>IF(J49="","",VLOOKUP(J49,案件コード!$A$1:$B$31,2,FALSE()))</f>
        <v/>
      </c>
      <c r="L49" s="443"/>
      <c r="M49" s="443"/>
      <c r="N49" s="102" t="str">
        <f t="shared" ref="N49:N63" si="15">IF(AND(O49="",P49=""),"",SUM(O49:P49))</f>
        <v/>
      </c>
      <c r="O49" s="245"/>
      <c r="P49" s="244"/>
      <c r="Q49" s="246"/>
      <c r="R49" s="278"/>
      <c r="S49" s="269"/>
      <c r="T49" s="443" t="str">
        <f>IF(S49="","",VLOOKUP(S49,案件コード!$A$1:$B$31,2,FALSE()))</f>
        <v/>
      </c>
      <c r="U49" s="443"/>
      <c r="V49" s="443"/>
      <c r="W49" s="102" t="str">
        <f t="shared" ref="W49:W63" si="16">IF(AND(X49="",Y49=""),"",SUM(X49:Y49))</f>
        <v/>
      </c>
      <c r="X49" s="245"/>
      <c r="Y49" s="244"/>
      <c r="Z49" s="246"/>
      <c r="AA49" s="278"/>
      <c r="AB49" s="269"/>
      <c r="AC49" s="443" t="str">
        <f>IF(AB49="","",VLOOKUP(AB49,案件コード!$A$1:$B$31,2,FALSE()))</f>
        <v/>
      </c>
      <c r="AD49" s="443"/>
      <c r="AE49" s="443"/>
      <c r="AF49" s="102" t="str">
        <f t="shared" ref="AF49:AF63" si="17">IF(AND(AG49="",AH49=""),"",SUM(AG49:AH49))</f>
        <v/>
      </c>
      <c r="AG49" s="245"/>
      <c r="AH49" s="244"/>
      <c r="AI49" s="246"/>
      <c r="AJ49" s="278"/>
      <c r="AK49" s="269"/>
      <c r="AL49" s="443" t="str">
        <f>IF(AK49="","",VLOOKUP(AK49,案件コード!$A$1:$B$31,2,FALSE()))</f>
        <v/>
      </c>
      <c r="AM49" s="443"/>
      <c r="AN49" s="443"/>
      <c r="AO49" s="102" t="str">
        <f t="shared" ref="AO49:AO63" si="18">IF(AND(AP49="",AQ49=""),"",SUM(AP49:AQ49))</f>
        <v/>
      </c>
      <c r="AP49" s="245"/>
      <c r="AQ49" s="244"/>
      <c r="AR49" s="246"/>
      <c r="AS49" s="278"/>
      <c r="AT49" s="269"/>
      <c r="AU49" s="443" t="str">
        <f>IF(AT49="","",VLOOKUP(AT49,案件コード!$A$1:$B$31,2,FALSE()))</f>
        <v/>
      </c>
      <c r="AV49" s="443"/>
      <c r="AW49" s="443"/>
      <c r="AX49" s="102" t="str">
        <f t="shared" ref="AX49:AX63" si="19">IF(AND(AY49="",AZ49=""),"",SUM(AY49:AZ49))</f>
        <v/>
      </c>
      <c r="AY49" s="245"/>
      <c r="AZ49" s="244"/>
      <c r="BA49" s="246"/>
      <c r="BB49" s="278"/>
      <c r="BC49" s="269"/>
      <c r="BD49" s="443" t="str">
        <f>IF(BC49="","",VLOOKUP(BC49,案件コード!$A$1:$B$31,2,FALSE()))</f>
        <v/>
      </c>
      <c r="BE49" s="443"/>
      <c r="BF49" s="443"/>
      <c r="BG49" s="102" t="str">
        <f t="shared" ref="BG49:BG63" si="20">IF(AND(BH49="",BI49=""),"",SUM(BH49:BI49))</f>
        <v/>
      </c>
      <c r="BH49" s="245"/>
      <c r="BI49" s="244"/>
      <c r="BJ49" s="246"/>
      <c r="BK49" s="278"/>
    </row>
    <row r="50" spans="1:63">
      <c r="A50" s="269"/>
      <c r="B50" s="443" t="str">
        <f>IF(A50="","",VLOOKUP(A50,案件コード!$A$1:$B$31,2,FALSE()))</f>
        <v/>
      </c>
      <c r="C50" s="443"/>
      <c r="D50" s="443"/>
      <c r="E50" s="102" t="str">
        <f t="shared" si="14"/>
        <v/>
      </c>
      <c r="F50" s="245"/>
      <c r="G50" s="244"/>
      <c r="H50" s="246"/>
      <c r="I50" s="279"/>
      <c r="J50" s="269"/>
      <c r="K50" s="443" t="str">
        <f>IF(J50="","",VLOOKUP(J50,案件コード!$A$1:$B$31,2,FALSE()))</f>
        <v/>
      </c>
      <c r="L50" s="443"/>
      <c r="M50" s="443"/>
      <c r="N50" s="102" t="str">
        <f t="shared" si="15"/>
        <v/>
      </c>
      <c r="O50" s="245"/>
      <c r="P50" s="244"/>
      <c r="Q50" s="246"/>
      <c r="R50" s="279"/>
      <c r="S50" s="269"/>
      <c r="T50" s="443" t="str">
        <f>IF(S50="","",VLOOKUP(S50,案件コード!$A$1:$B$31,2,FALSE()))</f>
        <v/>
      </c>
      <c r="U50" s="443"/>
      <c r="V50" s="443"/>
      <c r="W50" s="102" t="str">
        <f t="shared" si="16"/>
        <v/>
      </c>
      <c r="X50" s="245"/>
      <c r="Y50" s="244"/>
      <c r="Z50" s="246"/>
      <c r="AA50" s="279"/>
      <c r="AB50" s="269"/>
      <c r="AC50" s="443" t="str">
        <f>IF(AB50="","",VLOOKUP(AB50,案件コード!$A$1:$B$31,2,FALSE()))</f>
        <v/>
      </c>
      <c r="AD50" s="443"/>
      <c r="AE50" s="443"/>
      <c r="AF50" s="102" t="str">
        <f t="shared" si="17"/>
        <v/>
      </c>
      <c r="AG50" s="245"/>
      <c r="AH50" s="244"/>
      <c r="AI50" s="246"/>
      <c r="AJ50" s="279"/>
      <c r="AK50" s="269"/>
      <c r="AL50" s="443" t="str">
        <f>IF(AK50="","",VLOOKUP(AK50,案件コード!$A$1:$B$31,2,FALSE()))</f>
        <v/>
      </c>
      <c r="AM50" s="443"/>
      <c r="AN50" s="443"/>
      <c r="AO50" s="102" t="str">
        <f t="shared" si="18"/>
        <v/>
      </c>
      <c r="AP50" s="245"/>
      <c r="AQ50" s="244"/>
      <c r="AR50" s="246"/>
      <c r="AS50" s="279"/>
      <c r="AT50" s="269"/>
      <c r="AU50" s="443" t="str">
        <f>IF(AT50="","",VLOOKUP(AT50,案件コード!$A$1:$B$31,2,FALSE()))</f>
        <v/>
      </c>
      <c r="AV50" s="443"/>
      <c r="AW50" s="443"/>
      <c r="AX50" s="102" t="str">
        <f t="shared" si="19"/>
        <v/>
      </c>
      <c r="AY50" s="245"/>
      <c r="AZ50" s="244"/>
      <c r="BA50" s="246"/>
      <c r="BB50" s="279"/>
      <c r="BC50" s="269"/>
      <c r="BD50" s="443" t="str">
        <f>IF(BC50="","",VLOOKUP(BC50,案件コード!$A$1:$B$31,2,FALSE()))</f>
        <v/>
      </c>
      <c r="BE50" s="443"/>
      <c r="BF50" s="443"/>
      <c r="BG50" s="102" t="str">
        <f t="shared" si="20"/>
        <v/>
      </c>
      <c r="BH50" s="245"/>
      <c r="BI50" s="244"/>
      <c r="BJ50" s="246"/>
      <c r="BK50" s="279"/>
    </row>
    <row r="51" spans="1:63">
      <c r="A51" s="269"/>
      <c r="B51" s="443" t="str">
        <f>IF(A51="","",VLOOKUP(A51,案件コード!$A$1:$B$31,2,FALSE()))</f>
        <v/>
      </c>
      <c r="C51" s="443"/>
      <c r="D51" s="443"/>
      <c r="E51" s="102" t="str">
        <f t="shared" si="14"/>
        <v/>
      </c>
      <c r="F51" s="245"/>
      <c r="G51" s="244"/>
      <c r="H51" s="246"/>
      <c r="I51" s="279"/>
      <c r="J51" s="269"/>
      <c r="K51" s="443" t="str">
        <f>IF(J51="","",VLOOKUP(J51,案件コード!$A$1:$B$31,2,FALSE()))</f>
        <v/>
      </c>
      <c r="L51" s="443"/>
      <c r="M51" s="443"/>
      <c r="N51" s="102" t="str">
        <f t="shared" si="15"/>
        <v/>
      </c>
      <c r="O51" s="245"/>
      <c r="P51" s="244"/>
      <c r="Q51" s="246"/>
      <c r="R51" s="279"/>
      <c r="S51" s="269"/>
      <c r="T51" s="443" t="str">
        <f>IF(S51="","",VLOOKUP(S51,案件コード!$A$1:$B$31,2,FALSE()))</f>
        <v/>
      </c>
      <c r="U51" s="443"/>
      <c r="V51" s="443"/>
      <c r="W51" s="102" t="str">
        <f t="shared" si="16"/>
        <v/>
      </c>
      <c r="X51" s="245"/>
      <c r="Y51" s="244"/>
      <c r="Z51" s="246"/>
      <c r="AA51" s="279"/>
      <c r="AB51" s="269"/>
      <c r="AC51" s="443" t="str">
        <f>IF(AB51="","",VLOOKUP(AB51,案件コード!$A$1:$B$31,2,FALSE()))</f>
        <v/>
      </c>
      <c r="AD51" s="443"/>
      <c r="AE51" s="443"/>
      <c r="AF51" s="102" t="str">
        <f t="shared" si="17"/>
        <v/>
      </c>
      <c r="AG51" s="245"/>
      <c r="AH51" s="244"/>
      <c r="AI51" s="246"/>
      <c r="AJ51" s="279"/>
      <c r="AK51" s="269"/>
      <c r="AL51" s="443" t="str">
        <f>IF(AK51="","",VLOOKUP(AK51,案件コード!$A$1:$B$31,2,FALSE()))</f>
        <v/>
      </c>
      <c r="AM51" s="443"/>
      <c r="AN51" s="443"/>
      <c r="AO51" s="102" t="str">
        <f t="shared" si="18"/>
        <v/>
      </c>
      <c r="AP51" s="245"/>
      <c r="AQ51" s="244"/>
      <c r="AR51" s="246"/>
      <c r="AS51" s="279"/>
      <c r="AT51" s="269"/>
      <c r="AU51" s="443" t="str">
        <f>IF(AT51="","",VLOOKUP(AT51,案件コード!$A$1:$B$31,2,FALSE()))</f>
        <v/>
      </c>
      <c r="AV51" s="443"/>
      <c r="AW51" s="443"/>
      <c r="AX51" s="102" t="str">
        <f t="shared" si="19"/>
        <v/>
      </c>
      <c r="AY51" s="245"/>
      <c r="AZ51" s="244"/>
      <c r="BA51" s="246"/>
      <c r="BB51" s="279"/>
      <c r="BC51" s="269"/>
      <c r="BD51" s="443" t="str">
        <f>IF(BC51="","",VLOOKUP(BC51,案件コード!$A$1:$B$31,2,FALSE()))</f>
        <v/>
      </c>
      <c r="BE51" s="443"/>
      <c r="BF51" s="443"/>
      <c r="BG51" s="102" t="str">
        <f t="shared" si="20"/>
        <v/>
      </c>
      <c r="BH51" s="245"/>
      <c r="BI51" s="244"/>
      <c r="BJ51" s="246"/>
      <c r="BK51" s="279"/>
    </row>
    <row r="52" spans="1:63">
      <c r="A52" s="269"/>
      <c r="B52" s="443" t="str">
        <f>IF(A52="","",VLOOKUP(A52,案件コード!$A$1:$B$31,2,FALSE()))</f>
        <v/>
      </c>
      <c r="C52" s="443"/>
      <c r="D52" s="443"/>
      <c r="E52" s="102" t="str">
        <f t="shared" si="14"/>
        <v/>
      </c>
      <c r="F52" s="245"/>
      <c r="G52" s="244"/>
      <c r="H52" s="246"/>
      <c r="I52" s="279"/>
      <c r="J52" s="269"/>
      <c r="K52" s="443" t="str">
        <f>IF(J52="","",VLOOKUP(J52,案件コード!$A$1:$B$31,2,FALSE()))</f>
        <v/>
      </c>
      <c r="L52" s="443"/>
      <c r="M52" s="443"/>
      <c r="N52" s="102" t="str">
        <f t="shared" si="15"/>
        <v/>
      </c>
      <c r="O52" s="245"/>
      <c r="P52" s="244"/>
      <c r="Q52" s="246"/>
      <c r="R52" s="279"/>
      <c r="S52" s="269"/>
      <c r="T52" s="443" t="str">
        <f>IF(S52="","",VLOOKUP(S52,案件コード!$A$1:$B$31,2,FALSE()))</f>
        <v/>
      </c>
      <c r="U52" s="443"/>
      <c r="V52" s="443"/>
      <c r="W52" s="102" t="str">
        <f t="shared" si="16"/>
        <v/>
      </c>
      <c r="X52" s="245"/>
      <c r="Y52" s="244"/>
      <c r="Z52" s="246"/>
      <c r="AA52" s="279"/>
      <c r="AB52" s="269"/>
      <c r="AC52" s="443" t="str">
        <f>IF(AB52="","",VLOOKUP(AB52,案件コード!$A$1:$B$31,2,FALSE()))</f>
        <v/>
      </c>
      <c r="AD52" s="443"/>
      <c r="AE52" s="443"/>
      <c r="AF52" s="102" t="str">
        <f t="shared" si="17"/>
        <v/>
      </c>
      <c r="AG52" s="245"/>
      <c r="AH52" s="244"/>
      <c r="AI52" s="246"/>
      <c r="AJ52" s="279"/>
      <c r="AK52" s="269"/>
      <c r="AL52" s="443" t="str">
        <f>IF(AK52="","",VLOOKUP(AK52,案件コード!$A$1:$B$31,2,FALSE()))</f>
        <v/>
      </c>
      <c r="AM52" s="443"/>
      <c r="AN52" s="443"/>
      <c r="AO52" s="102" t="str">
        <f t="shared" si="18"/>
        <v/>
      </c>
      <c r="AP52" s="245"/>
      <c r="AQ52" s="244"/>
      <c r="AR52" s="246"/>
      <c r="AS52" s="279"/>
      <c r="AT52" s="269"/>
      <c r="AU52" s="443" t="str">
        <f>IF(AT52="","",VLOOKUP(AT52,案件コード!$A$1:$B$31,2,FALSE()))</f>
        <v/>
      </c>
      <c r="AV52" s="443"/>
      <c r="AW52" s="443"/>
      <c r="AX52" s="102" t="str">
        <f t="shared" si="19"/>
        <v/>
      </c>
      <c r="AY52" s="245"/>
      <c r="AZ52" s="244"/>
      <c r="BA52" s="246"/>
      <c r="BB52" s="279"/>
      <c r="BC52" s="269"/>
      <c r="BD52" s="443" t="str">
        <f>IF(BC52="","",VLOOKUP(BC52,案件コード!$A$1:$B$31,2,FALSE()))</f>
        <v/>
      </c>
      <c r="BE52" s="443"/>
      <c r="BF52" s="443"/>
      <c r="BG52" s="102" t="str">
        <f t="shared" si="20"/>
        <v/>
      </c>
      <c r="BH52" s="245"/>
      <c r="BI52" s="244"/>
      <c r="BJ52" s="246"/>
      <c r="BK52" s="279"/>
    </row>
    <row r="53" spans="1:63">
      <c r="A53" s="269"/>
      <c r="B53" s="443" t="str">
        <f>IF(A53="","",VLOOKUP(A53,案件コード!$A$1:$B$31,2,FALSE()))</f>
        <v/>
      </c>
      <c r="C53" s="443"/>
      <c r="D53" s="443"/>
      <c r="E53" s="102" t="str">
        <f t="shared" si="14"/>
        <v/>
      </c>
      <c r="F53" s="245"/>
      <c r="G53" s="244"/>
      <c r="H53" s="246"/>
      <c r="I53" s="279"/>
      <c r="J53" s="269"/>
      <c r="K53" s="443" t="str">
        <f>IF(J53="","",VLOOKUP(J53,案件コード!$A$1:$B$31,2,FALSE()))</f>
        <v/>
      </c>
      <c r="L53" s="443"/>
      <c r="M53" s="443"/>
      <c r="N53" s="102" t="str">
        <f t="shared" si="15"/>
        <v/>
      </c>
      <c r="O53" s="245"/>
      <c r="P53" s="244"/>
      <c r="Q53" s="246"/>
      <c r="R53" s="279"/>
      <c r="S53" s="269"/>
      <c r="T53" s="443" t="str">
        <f>IF(S53="","",VLOOKUP(S53,案件コード!$A$1:$B$31,2,FALSE()))</f>
        <v/>
      </c>
      <c r="U53" s="443"/>
      <c r="V53" s="443"/>
      <c r="W53" s="102" t="str">
        <f t="shared" si="16"/>
        <v/>
      </c>
      <c r="X53" s="245"/>
      <c r="Y53" s="244"/>
      <c r="Z53" s="246"/>
      <c r="AA53" s="279"/>
      <c r="AB53" s="269"/>
      <c r="AC53" s="443" t="str">
        <f>IF(AB53="","",VLOOKUP(AB53,案件コード!$A$1:$B$31,2,FALSE()))</f>
        <v/>
      </c>
      <c r="AD53" s="443"/>
      <c r="AE53" s="443"/>
      <c r="AF53" s="102" t="str">
        <f t="shared" si="17"/>
        <v/>
      </c>
      <c r="AG53" s="245"/>
      <c r="AH53" s="244"/>
      <c r="AI53" s="246"/>
      <c r="AJ53" s="279"/>
      <c r="AK53" s="269"/>
      <c r="AL53" s="443" t="str">
        <f>IF(AK53="","",VLOOKUP(AK53,案件コード!$A$1:$B$31,2,FALSE()))</f>
        <v/>
      </c>
      <c r="AM53" s="443"/>
      <c r="AN53" s="443"/>
      <c r="AO53" s="102" t="str">
        <f t="shared" si="18"/>
        <v/>
      </c>
      <c r="AP53" s="245"/>
      <c r="AQ53" s="244"/>
      <c r="AR53" s="246"/>
      <c r="AS53" s="279"/>
      <c r="AT53" s="269"/>
      <c r="AU53" s="443" t="str">
        <f>IF(AT53="","",VLOOKUP(AT53,案件コード!$A$1:$B$31,2,FALSE()))</f>
        <v/>
      </c>
      <c r="AV53" s="443"/>
      <c r="AW53" s="443"/>
      <c r="AX53" s="102" t="str">
        <f t="shared" si="19"/>
        <v/>
      </c>
      <c r="AY53" s="245"/>
      <c r="AZ53" s="244"/>
      <c r="BA53" s="246"/>
      <c r="BB53" s="279"/>
      <c r="BC53" s="269"/>
      <c r="BD53" s="443" t="str">
        <f>IF(BC53="","",VLOOKUP(BC53,案件コード!$A$1:$B$31,2,FALSE()))</f>
        <v/>
      </c>
      <c r="BE53" s="443"/>
      <c r="BF53" s="443"/>
      <c r="BG53" s="102" t="str">
        <f t="shared" si="20"/>
        <v/>
      </c>
      <c r="BH53" s="245"/>
      <c r="BI53" s="244"/>
      <c r="BJ53" s="246"/>
      <c r="BK53" s="279"/>
    </row>
    <row r="54" spans="1:63">
      <c r="A54" s="269"/>
      <c r="B54" s="443" t="str">
        <f>IF(A54="","",VLOOKUP(A54,案件コード!$A$1:$B$31,2,FALSE()))</f>
        <v/>
      </c>
      <c r="C54" s="443"/>
      <c r="D54" s="443"/>
      <c r="E54" s="102" t="str">
        <f t="shared" si="14"/>
        <v/>
      </c>
      <c r="F54" s="245"/>
      <c r="G54" s="244"/>
      <c r="H54" s="246"/>
      <c r="I54" s="279"/>
      <c r="J54" s="269"/>
      <c r="K54" s="443" t="str">
        <f>IF(J54="","",VLOOKUP(J54,案件コード!$A$1:$B$31,2,FALSE()))</f>
        <v/>
      </c>
      <c r="L54" s="443"/>
      <c r="M54" s="443"/>
      <c r="N54" s="102" t="str">
        <f t="shared" si="15"/>
        <v/>
      </c>
      <c r="O54" s="245"/>
      <c r="P54" s="244"/>
      <c r="Q54" s="246"/>
      <c r="R54" s="279"/>
      <c r="S54" s="269"/>
      <c r="T54" s="443" t="str">
        <f>IF(S54="","",VLOOKUP(S54,案件コード!$A$1:$B$31,2,FALSE()))</f>
        <v/>
      </c>
      <c r="U54" s="443"/>
      <c r="V54" s="443"/>
      <c r="W54" s="102" t="str">
        <f t="shared" si="16"/>
        <v/>
      </c>
      <c r="X54" s="245"/>
      <c r="Y54" s="244"/>
      <c r="Z54" s="246"/>
      <c r="AA54" s="279"/>
      <c r="AB54" s="269"/>
      <c r="AC54" s="443" t="str">
        <f>IF(AB54="","",VLOOKUP(AB54,案件コード!$A$1:$B$31,2,FALSE()))</f>
        <v/>
      </c>
      <c r="AD54" s="443"/>
      <c r="AE54" s="443"/>
      <c r="AF54" s="102" t="str">
        <f t="shared" si="17"/>
        <v/>
      </c>
      <c r="AG54" s="245"/>
      <c r="AH54" s="244"/>
      <c r="AI54" s="246"/>
      <c r="AJ54" s="279"/>
      <c r="AK54" s="269"/>
      <c r="AL54" s="443" t="str">
        <f>IF(AK54="","",VLOOKUP(AK54,案件コード!$A$1:$B$31,2,FALSE()))</f>
        <v/>
      </c>
      <c r="AM54" s="443"/>
      <c r="AN54" s="443"/>
      <c r="AO54" s="102" t="str">
        <f t="shared" si="18"/>
        <v/>
      </c>
      <c r="AP54" s="245"/>
      <c r="AQ54" s="244"/>
      <c r="AR54" s="246"/>
      <c r="AS54" s="279"/>
      <c r="AT54" s="269"/>
      <c r="AU54" s="443" t="str">
        <f>IF(AT54="","",VLOOKUP(AT54,案件コード!$A$1:$B$31,2,FALSE()))</f>
        <v/>
      </c>
      <c r="AV54" s="443"/>
      <c r="AW54" s="443"/>
      <c r="AX54" s="102" t="str">
        <f t="shared" si="19"/>
        <v/>
      </c>
      <c r="AY54" s="245"/>
      <c r="AZ54" s="244"/>
      <c r="BA54" s="246"/>
      <c r="BB54" s="279"/>
      <c r="BC54" s="269"/>
      <c r="BD54" s="443" t="str">
        <f>IF(BC54="","",VLOOKUP(BC54,案件コード!$A$1:$B$31,2,FALSE()))</f>
        <v/>
      </c>
      <c r="BE54" s="443"/>
      <c r="BF54" s="443"/>
      <c r="BG54" s="102" t="str">
        <f t="shared" si="20"/>
        <v/>
      </c>
      <c r="BH54" s="245"/>
      <c r="BI54" s="244"/>
      <c r="BJ54" s="246"/>
      <c r="BK54" s="279"/>
    </row>
    <row r="55" spans="1:63">
      <c r="A55" s="269"/>
      <c r="B55" s="443" t="str">
        <f>IF(A55="","",VLOOKUP(A55,案件コード!$A$1:$B$31,2,FALSE()))</f>
        <v/>
      </c>
      <c r="C55" s="443"/>
      <c r="D55" s="443"/>
      <c r="E55" s="102" t="str">
        <f t="shared" si="14"/>
        <v/>
      </c>
      <c r="F55" s="245"/>
      <c r="G55" s="244"/>
      <c r="H55" s="246"/>
      <c r="I55" s="279"/>
      <c r="J55" s="269"/>
      <c r="K55" s="443" t="str">
        <f>IF(J55="","",VLOOKUP(J55,案件コード!$A$1:$B$31,2,FALSE()))</f>
        <v/>
      </c>
      <c r="L55" s="443"/>
      <c r="M55" s="443"/>
      <c r="N55" s="102" t="str">
        <f t="shared" si="15"/>
        <v/>
      </c>
      <c r="O55" s="245"/>
      <c r="P55" s="244"/>
      <c r="Q55" s="246"/>
      <c r="R55" s="279"/>
      <c r="S55" s="269"/>
      <c r="T55" s="443" t="str">
        <f>IF(S55="","",VLOOKUP(S55,案件コード!$A$1:$B$31,2,FALSE()))</f>
        <v/>
      </c>
      <c r="U55" s="443"/>
      <c r="V55" s="443"/>
      <c r="W55" s="102" t="str">
        <f t="shared" si="16"/>
        <v/>
      </c>
      <c r="X55" s="245"/>
      <c r="Y55" s="244"/>
      <c r="Z55" s="246"/>
      <c r="AA55" s="279"/>
      <c r="AB55" s="269"/>
      <c r="AC55" s="443" t="str">
        <f>IF(AB55="","",VLOOKUP(AB55,案件コード!$A$1:$B$31,2,FALSE()))</f>
        <v/>
      </c>
      <c r="AD55" s="443"/>
      <c r="AE55" s="443"/>
      <c r="AF55" s="102" t="str">
        <f t="shared" si="17"/>
        <v/>
      </c>
      <c r="AG55" s="245"/>
      <c r="AH55" s="244"/>
      <c r="AI55" s="246"/>
      <c r="AJ55" s="279"/>
      <c r="AK55" s="269"/>
      <c r="AL55" s="443" t="str">
        <f>IF(AK55="","",VLOOKUP(AK55,案件コード!$A$1:$B$31,2,FALSE()))</f>
        <v/>
      </c>
      <c r="AM55" s="443"/>
      <c r="AN55" s="443"/>
      <c r="AO55" s="102" t="str">
        <f t="shared" si="18"/>
        <v/>
      </c>
      <c r="AP55" s="245"/>
      <c r="AQ55" s="244"/>
      <c r="AR55" s="246"/>
      <c r="AS55" s="279"/>
      <c r="AT55" s="269"/>
      <c r="AU55" s="443" t="str">
        <f>IF(AT55="","",VLOOKUP(AT55,案件コード!$A$1:$B$31,2,FALSE()))</f>
        <v/>
      </c>
      <c r="AV55" s="443"/>
      <c r="AW55" s="443"/>
      <c r="AX55" s="102" t="str">
        <f t="shared" si="19"/>
        <v/>
      </c>
      <c r="AY55" s="245"/>
      <c r="AZ55" s="244"/>
      <c r="BA55" s="246"/>
      <c r="BB55" s="279"/>
      <c r="BC55" s="269"/>
      <c r="BD55" s="443" t="str">
        <f>IF(BC55="","",VLOOKUP(BC55,案件コード!$A$1:$B$31,2,FALSE()))</f>
        <v/>
      </c>
      <c r="BE55" s="443"/>
      <c r="BF55" s="443"/>
      <c r="BG55" s="102" t="str">
        <f t="shared" si="20"/>
        <v/>
      </c>
      <c r="BH55" s="245"/>
      <c r="BI55" s="244"/>
      <c r="BJ55" s="246"/>
      <c r="BK55" s="279"/>
    </row>
    <row r="56" spans="1:63">
      <c r="A56" s="269"/>
      <c r="B56" s="443" t="str">
        <f>IF(A56="","",VLOOKUP(A56,案件コード!$A$1:$B$31,2,FALSE()))</f>
        <v/>
      </c>
      <c r="C56" s="443"/>
      <c r="D56" s="443"/>
      <c r="E56" s="102" t="str">
        <f t="shared" si="14"/>
        <v/>
      </c>
      <c r="F56" s="245"/>
      <c r="G56" s="244"/>
      <c r="H56" s="246"/>
      <c r="I56" s="279"/>
      <c r="J56" s="269"/>
      <c r="K56" s="443" t="str">
        <f>IF(J56="","",VLOOKUP(J56,案件コード!$A$1:$B$31,2,FALSE()))</f>
        <v/>
      </c>
      <c r="L56" s="443"/>
      <c r="M56" s="443"/>
      <c r="N56" s="102" t="str">
        <f t="shared" si="15"/>
        <v/>
      </c>
      <c r="O56" s="245"/>
      <c r="P56" s="244"/>
      <c r="Q56" s="246"/>
      <c r="R56" s="279"/>
      <c r="S56" s="269"/>
      <c r="T56" s="443" t="str">
        <f>IF(S56="","",VLOOKUP(S56,案件コード!$A$1:$B$31,2,FALSE()))</f>
        <v/>
      </c>
      <c r="U56" s="443"/>
      <c r="V56" s="443"/>
      <c r="W56" s="102" t="str">
        <f t="shared" si="16"/>
        <v/>
      </c>
      <c r="X56" s="245"/>
      <c r="Y56" s="244"/>
      <c r="Z56" s="246"/>
      <c r="AA56" s="279"/>
      <c r="AB56" s="269"/>
      <c r="AC56" s="443" t="str">
        <f>IF(AB56="","",VLOOKUP(AB56,案件コード!$A$1:$B$31,2,FALSE()))</f>
        <v/>
      </c>
      <c r="AD56" s="443"/>
      <c r="AE56" s="443"/>
      <c r="AF56" s="102" t="str">
        <f t="shared" si="17"/>
        <v/>
      </c>
      <c r="AG56" s="245"/>
      <c r="AH56" s="244"/>
      <c r="AI56" s="246"/>
      <c r="AJ56" s="279"/>
      <c r="AK56" s="269"/>
      <c r="AL56" s="443" t="str">
        <f>IF(AK56="","",VLOOKUP(AK56,案件コード!$A$1:$B$31,2,FALSE()))</f>
        <v/>
      </c>
      <c r="AM56" s="443"/>
      <c r="AN56" s="443"/>
      <c r="AO56" s="102" t="str">
        <f t="shared" si="18"/>
        <v/>
      </c>
      <c r="AP56" s="245"/>
      <c r="AQ56" s="244"/>
      <c r="AR56" s="246"/>
      <c r="AS56" s="279"/>
      <c r="AT56" s="269"/>
      <c r="AU56" s="443" t="str">
        <f>IF(AT56="","",VLOOKUP(AT56,案件コード!$A$1:$B$31,2,FALSE()))</f>
        <v/>
      </c>
      <c r="AV56" s="443"/>
      <c r="AW56" s="443"/>
      <c r="AX56" s="102" t="str">
        <f t="shared" si="19"/>
        <v/>
      </c>
      <c r="AY56" s="245"/>
      <c r="AZ56" s="244"/>
      <c r="BA56" s="246"/>
      <c r="BB56" s="279"/>
      <c r="BC56" s="269"/>
      <c r="BD56" s="443" t="str">
        <f>IF(BC56="","",VLOOKUP(BC56,案件コード!$A$1:$B$31,2,FALSE()))</f>
        <v/>
      </c>
      <c r="BE56" s="443"/>
      <c r="BF56" s="443"/>
      <c r="BG56" s="102" t="str">
        <f t="shared" si="20"/>
        <v/>
      </c>
      <c r="BH56" s="245"/>
      <c r="BI56" s="244"/>
      <c r="BJ56" s="246"/>
      <c r="BK56" s="279"/>
    </row>
    <row r="57" spans="1:63">
      <c r="A57" s="269"/>
      <c r="B57" s="443" t="str">
        <f>IF(A57="","",VLOOKUP(A57,案件コード!$A$1:$B$31,2,FALSE()))</f>
        <v/>
      </c>
      <c r="C57" s="443"/>
      <c r="D57" s="443"/>
      <c r="E57" s="102" t="str">
        <f t="shared" si="14"/>
        <v/>
      </c>
      <c r="F57" s="245"/>
      <c r="G57" s="244"/>
      <c r="H57" s="246"/>
      <c r="I57" s="279"/>
      <c r="J57" s="269"/>
      <c r="K57" s="443" t="str">
        <f>IF(J57="","",VLOOKUP(J57,案件コード!$A$1:$B$31,2,FALSE()))</f>
        <v/>
      </c>
      <c r="L57" s="443"/>
      <c r="M57" s="443"/>
      <c r="N57" s="102" t="str">
        <f t="shared" si="15"/>
        <v/>
      </c>
      <c r="O57" s="245"/>
      <c r="P57" s="244"/>
      <c r="Q57" s="246"/>
      <c r="R57" s="279"/>
      <c r="S57" s="269"/>
      <c r="T57" s="443" t="str">
        <f>IF(S57="","",VLOOKUP(S57,案件コード!$A$1:$B$31,2,FALSE()))</f>
        <v/>
      </c>
      <c r="U57" s="443"/>
      <c r="V57" s="443"/>
      <c r="W57" s="102" t="str">
        <f t="shared" si="16"/>
        <v/>
      </c>
      <c r="X57" s="245"/>
      <c r="Y57" s="244"/>
      <c r="Z57" s="246"/>
      <c r="AA57" s="279"/>
      <c r="AB57" s="269"/>
      <c r="AC57" s="443" t="str">
        <f>IF(AB57="","",VLOOKUP(AB57,案件コード!$A$1:$B$31,2,FALSE()))</f>
        <v/>
      </c>
      <c r="AD57" s="443"/>
      <c r="AE57" s="443"/>
      <c r="AF57" s="102" t="str">
        <f t="shared" si="17"/>
        <v/>
      </c>
      <c r="AG57" s="245"/>
      <c r="AH57" s="244"/>
      <c r="AI57" s="246"/>
      <c r="AJ57" s="279"/>
      <c r="AK57" s="269"/>
      <c r="AL57" s="443" t="str">
        <f>IF(AK57="","",VLOOKUP(AK57,案件コード!$A$1:$B$31,2,FALSE()))</f>
        <v/>
      </c>
      <c r="AM57" s="443"/>
      <c r="AN57" s="443"/>
      <c r="AO57" s="102" t="str">
        <f t="shared" si="18"/>
        <v/>
      </c>
      <c r="AP57" s="245"/>
      <c r="AQ57" s="244"/>
      <c r="AR57" s="246"/>
      <c r="AS57" s="279"/>
      <c r="AT57" s="269"/>
      <c r="AU57" s="443" t="str">
        <f>IF(AT57="","",VLOOKUP(AT57,案件コード!$A$1:$B$31,2,FALSE()))</f>
        <v/>
      </c>
      <c r="AV57" s="443"/>
      <c r="AW57" s="443"/>
      <c r="AX57" s="102" t="str">
        <f t="shared" si="19"/>
        <v/>
      </c>
      <c r="AY57" s="245"/>
      <c r="AZ57" s="244"/>
      <c r="BA57" s="246"/>
      <c r="BB57" s="279"/>
      <c r="BC57" s="269"/>
      <c r="BD57" s="443" t="str">
        <f>IF(BC57="","",VLOOKUP(BC57,案件コード!$A$1:$B$31,2,FALSE()))</f>
        <v/>
      </c>
      <c r="BE57" s="443"/>
      <c r="BF57" s="443"/>
      <c r="BG57" s="102" t="str">
        <f t="shared" si="20"/>
        <v/>
      </c>
      <c r="BH57" s="245"/>
      <c r="BI57" s="244"/>
      <c r="BJ57" s="246"/>
      <c r="BK57" s="279"/>
    </row>
    <row r="58" spans="1:63">
      <c r="A58" s="269"/>
      <c r="B58" s="443" t="str">
        <f>IF(A58="","",VLOOKUP(A58,案件コード!$A$1:$B$31,2,FALSE()))</f>
        <v/>
      </c>
      <c r="C58" s="443"/>
      <c r="D58" s="443"/>
      <c r="E58" s="102" t="str">
        <f t="shared" si="14"/>
        <v/>
      </c>
      <c r="F58" s="245"/>
      <c r="G58" s="244"/>
      <c r="H58" s="246"/>
      <c r="I58" s="279"/>
      <c r="J58" s="269"/>
      <c r="K58" s="443" t="str">
        <f>IF(J58="","",VLOOKUP(J58,案件コード!$A$1:$B$31,2,FALSE()))</f>
        <v/>
      </c>
      <c r="L58" s="443"/>
      <c r="M58" s="443"/>
      <c r="N58" s="102" t="str">
        <f t="shared" si="15"/>
        <v/>
      </c>
      <c r="O58" s="245"/>
      <c r="P58" s="244"/>
      <c r="Q58" s="246"/>
      <c r="R58" s="279"/>
      <c r="S58" s="269"/>
      <c r="T58" s="443" t="str">
        <f>IF(S58="","",VLOOKUP(S58,案件コード!$A$1:$B$31,2,FALSE()))</f>
        <v/>
      </c>
      <c r="U58" s="443"/>
      <c r="V58" s="443"/>
      <c r="W58" s="102" t="str">
        <f t="shared" si="16"/>
        <v/>
      </c>
      <c r="X58" s="245"/>
      <c r="Y58" s="244"/>
      <c r="Z58" s="246"/>
      <c r="AA58" s="279"/>
      <c r="AB58" s="269"/>
      <c r="AC58" s="443" t="str">
        <f>IF(AB58="","",VLOOKUP(AB58,案件コード!$A$1:$B$31,2,FALSE()))</f>
        <v/>
      </c>
      <c r="AD58" s="443"/>
      <c r="AE58" s="443"/>
      <c r="AF58" s="102" t="str">
        <f t="shared" si="17"/>
        <v/>
      </c>
      <c r="AG58" s="245"/>
      <c r="AH58" s="244"/>
      <c r="AI58" s="246"/>
      <c r="AJ58" s="279"/>
      <c r="AK58" s="269"/>
      <c r="AL58" s="443" t="str">
        <f>IF(AK58="","",VLOOKUP(AK58,案件コード!$A$1:$B$31,2,FALSE()))</f>
        <v/>
      </c>
      <c r="AM58" s="443"/>
      <c r="AN58" s="443"/>
      <c r="AO58" s="102" t="str">
        <f t="shared" si="18"/>
        <v/>
      </c>
      <c r="AP58" s="245"/>
      <c r="AQ58" s="244"/>
      <c r="AR58" s="246"/>
      <c r="AS58" s="279"/>
      <c r="AT58" s="269"/>
      <c r="AU58" s="443" t="str">
        <f>IF(AT58="","",VLOOKUP(AT58,案件コード!$A$1:$B$31,2,FALSE()))</f>
        <v/>
      </c>
      <c r="AV58" s="443"/>
      <c r="AW58" s="443"/>
      <c r="AX58" s="102" t="str">
        <f t="shared" si="19"/>
        <v/>
      </c>
      <c r="AY58" s="245"/>
      <c r="AZ58" s="244"/>
      <c r="BA58" s="246"/>
      <c r="BB58" s="279"/>
      <c r="BC58" s="269"/>
      <c r="BD58" s="443" t="str">
        <f>IF(BC58="","",VLOOKUP(BC58,案件コード!$A$1:$B$31,2,FALSE()))</f>
        <v/>
      </c>
      <c r="BE58" s="443"/>
      <c r="BF58" s="443"/>
      <c r="BG58" s="102" t="str">
        <f t="shared" si="20"/>
        <v/>
      </c>
      <c r="BH58" s="245"/>
      <c r="BI58" s="244"/>
      <c r="BJ58" s="246"/>
      <c r="BK58" s="279"/>
    </row>
    <row r="59" spans="1:63">
      <c r="A59" s="269"/>
      <c r="B59" s="443" t="str">
        <f>IF(A59="","",VLOOKUP(A59,案件コード!$A$1:$B$31,2,FALSE()))</f>
        <v/>
      </c>
      <c r="C59" s="443"/>
      <c r="D59" s="443"/>
      <c r="E59" s="102" t="str">
        <f t="shared" si="14"/>
        <v/>
      </c>
      <c r="F59" s="245"/>
      <c r="G59" s="244"/>
      <c r="H59" s="246"/>
      <c r="I59" s="279"/>
      <c r="J59" s="269"/>
      <c r="K59" s="443" t="str">
        <f>IF(J59="","",VLOOKUP(J59,案件コード!$A$1:$B$31,2,FALSE()))</f>
        <v/>
      </c>
      <c r="L59" s="443"/>
      <c r="M59" s="443"/>
      <c r="N59" s="102" t="str">
        <f t="shared" si="15"/>
        <v/>
      </c>
      <c r="O59" s="245"/>
      <c r="P59" s="244"/>
      <c r="Q59" s="246"/>
      <c r="R59" s="279"/>
      <c r="S59" s="269"/>
      <c r="T59" s="443" t="str">
        <f>IF(S59="","",VLOOKUP(S59,案件コード!$A$1:$B$31,2,FALSE()))</f>
        <v/>
      </c>
      <c r="U59" s="443"/>
      <c r="V59" s="443"/>
      <c r="W59" s="102" t="str">
        <f t="shared" si="16"/>
        <v/>
      </c>
      <c r="X59" s="245"/>
      <c r="Y59" s="244"/>
      <c r="Z59" s="246"/>
      <c r="AA59" s="279"/>
      <c r="AB59" s="269"/>
      <c r="AC59" s="443" t="str">
        <f>IF(AB59="","",VLOOKUP(AB59,案件コード!$A$1:$B$31,2,FALSE()))</f>
        <v/>
      </c>
      <c r="AD59" s="443"/>
      <c r="AE59" s="443"/>
      <c r="AF59" s="102" t="str">
        <f t="shared" si="17"/>
        <v/>
      </c>
      <c r="AG59" s="245"/>
      <c r="AH59" s="244"/>
      <c r="AI59" s="246"/>
      <c r="AJ59" s="279"/>
      <c r="AK59" s="269"/>
      <c r="AL59" s="443" t="str">
        <f>IF(AK59="","",VLOOKUP(AK59,案件コード!$A$1:$B$31,2,FALSE()))</f>
        <v/>
      </c>
      <c r="AM59" s="443"/>
      <c r="AN59" s="443"/>
      <c r="AO59" s="102" t="str">
        <f t="shared" si="18"/>
        <v/>
      </c>
      <c r="AP59" s="245"/>
      <c r="AQ59" s="244"/>
      <c r="AR59" s="246"/>
      <c r="AS59" s="279"/>
      <c r="AT59" s="269"/>
      <c r="AU59" s="443" t="str">
        <f>IF(AT59="","",VLOOKUP(AT59,案件コード!$A$1:$B$31,2,FALSE()))</f>
        <v/>
      </c>
      <c r="AV59" s="443"/>
      <c r="AW59" s="443"/>
      <c r="AX59" s="102" t="str">
        <f t="shared" si="19"/>
        <v/>
      </c>
      <c r="AY59" s="245"/>
      <c r="AZ59" s="244"/>
      <c r="BA59" s="246"/>
      <c r="BB59" s="279"/>
      <c r="BC59" s="269"/>
      <c r="BD59" s="443" t="str">
        <f>IF(BC59="","",VLOOKUP(BC59,案件コード!$A$1:$B$31,2,FALSE()))</f>
        <v/>
      </c>
      <c r="BE59" s="443"/>
      <c r="BF59" s="443"/>
      <c r="BG59" s="102" t="str">
        <f t="shared" si="20"/>
        <v/>
      </c>
      <c r="BH59" s="245"/>
      <c r="BI59" s="244"/>
      <c r="BJ59" s="246"/>
      <c r="BK59" s="279"/>
    </row>
    <row r="60" spans="1:63">
      <c r="A60" s="269"/>
      <c r="B60" s="443" t="str">
        <f>IF(A60="","",VLOOKUP(A60,案件コード!$A$1:$B$31,2,FALSE()))</f>
        <v/>
      </c>
      <c r="C60" s="443"/>
      <c r="D60" s="443"/>
      <c r="E60" s="102" t="str">
        <f t="shared" si="14"/>
        <v/>
      </c>
      <c r="F60" s="245"/>
      <c r="G60" s="244"/>
      <c r="H60" s="246"/>
      <c r="I60" s="279"/>
      <c r="J60" s="269"/>
      <c r="K60" s="443" t="str">
        <f>IF(J60="","",VLOOKUP(J60,案件コード!$A$1:$B$31,2,FALSE()))</f>
        <v/>
      </c>
      <c r="L60" s="443"/>
      <c r="M60" s="443"/>
      <c r="N60" s="102" t="str">
        <f t="shared" si="15"/>
        <v/>
      </c>
      <c r="O60" s="245"/>
      <c r="P60" s="244"/>
      <c r="Q60" s="246"/>
      <c r="R60" s="279"/>
      <c r="S60" s="269"/>
      <c r="T60" s="443" t="str">
        <f>IF(S60="","",VLOOKUP(S60,案件コード!$A$1:$B$31,2,FALSE()))</f>
        <v/>
      </c>
      <c r="U60" s="443"/>
      <c r="V60" s="443"/>
      <c r="W60" s="102" t="str">
        <f t="shared" si="16"/>
        <v/>
      </c>
      <c r="X60" s="245"/>
      <c r="Y60" s="244"/>
      <c r="Z60" s="246"/>
      <c r="AA60" s="279"/>
      <c r="AB60" s="269"/>
      <c r="AC60" s="443" t="str">
        <f>IF(AB60="","",VLOOKUP(AB60,案件コード!$A$1:$B$31,2,FALSE()))</f>
        <v/>
      </c>
      <c r="AD60" s="443"/>
      <c r="AE60" s="443"/>
      <c r="AF60" s="102" t="str">
        <f t="shared" si="17"/>
        <v/>
      </c>
      <c r="AG60" s="245"/>
      <c r="AH60" s="244"/>
      <c r="AI60" s="246"/>
      <c r="AJ60" s="279"/>
      <c r="AK60" s="269"/>
      <c r="AL60" s="443" t="str">
        <f>IF(AK60="","",VLOOKUP(AK60,案件コード!$A$1:$B$31,2,FALSE()))</f>
        <v/>
      </c>
      <c r="AM60" s="443"/>
      <c r="AN60" s="443"/>
      <c r="AO60" s="102" t="str">
        <f t="shared" si="18"/>
        <v/>
      </c>
      <c r="AP60" s="245"/>
      <c r="AQ60" s="244"/>
      <c r="AR60" s="246"/>
      <c r="AS60" s="279"/>
      <c r="AT60" s="269"/>
      <c r="AU60" s="443" t="str">
        <f>IF(AT60="","",VLOOKUP(AT60,案件コード!$A$1:$B$31,2,FALSE()))</f>
        <v/>
      </c>
      <c r="AV60" s="443"/>
      <c r="AW60" s="443"/>
      <c r="AX60" s="102" t="str">
        <f t="shared" si="19"/>
        <v/>
      </c>
      <c r="AY60" s="245"/>
      <c r="AZ60" s="244"/>
      <c r="BA60" s="246"/>
      <c r="BB60" s="279"/>
      <c r="BC60" s="269"/>
      <c r="BD60" s="443" t="str">
        <f>IF(BC60="","",VLOOKUP(BC60,案件コード!$A$1:$B$31,2,FALSE()))</f>
        <v/>
      </c>
      <c r="BE60" s="443"/>
      <c r="BF60" s="443"/>
      <c r="BG60" s="102" t="str">
        <f t="shared" si="20"/>
        <v/>
      </c>
      <c r="BH60" s="245"/>
      <c r="BI60" s="244"/>
      <c r="BJ60" s="246"/>
      <c r="BK60" s="279"/>
    </row>
    <row r="61" spans="1:63">
      <c r="A61" s="269"/>
      <c r="B61" s="443" t="str">
        <f>IF(A61="","",VLOOKUP(A61,案件コード!$A$1:$B$31,2,FALSE()))</f>
        <v/>
      </c>
      <c r="C61" s="443"/>
      <c r="D61" s="443"/>
      <c r="E61" s="102" t="str">
        <f t="shared" si="14"/>
        <v/>
      </c>
      <c r="F61" s="245"/>
      <c r="G61" s="244"/>
      <c r="H61" s="246"/>
      <c r="I61" s="279"/>
      <c r="J61" s="269"/>
      <c r="K61" s="443" t="str">
        <f>IF(J61="","",VLOOKUP(J61,案件コード!$A$1:$B$31,2,FALSE()))</f>
        <v/>
      </c>
      <c r="L61" s="443"/>
      <c r="M61" s="443"/>
      <c r="N61" s="102" t="str">
        <f t="shared" si="15"/>
        <v/>
      </c>
      <c r="O61" s="245"/>
      <c r="P61" s="244"/>
      <c r="Q61" s="246"/>
      <c r="R61" s="279"/>
      <c r="S61" s="269"/>
      <c r="T61" s="443" t="str">
        <f>IF(S61="","",VLOOKUP(S61,案件コード!$A$1:$B$31,2,FALSE()))</f>
        <v/>
      </c>
      <c r="U61" s="443"/>
      <c r="V61" s="443"/>
      <c r="W61" s="102" t="str">
        <f t="shared" si="16"/>
        <v/>
      </c>
      <c r="X61" s="245"/>
      <c r="Y61" s="244"/>
      <c r="Z61" s="246"/>
      <c r="AA61" s="279"/>
      <c r="AB61" s="269"/>
      <c r="AC61" s="443" t="str">
        <f>IF(AB61="","",VLOOKUP(AB61,案件コード!$A$1:$B$31,2,FALSE()))</f>
        <v/>
      </c>
      <c r="AD61" s="443"/>
      <c r="AE61" s="443"/>
      <c r="AF61" s="102" t="str">
        <f t="shared" si="17"/>
        <v/>
      </c>
      <c r="AG61" s="245"/>
      <c r="AH61" s="244"/>
      <c r="AI61" s="246"/>
      <c r="AJ61" s="279"/>
      <c r="AK61" s="269"/>
      <c r="AL61" s="443" t="str">
        <f>IF(AK61="","",VLOOKUP(AK61,案件コード!$A$1:$B$31,2,FALSE()))</f>
        <v/>
      </c>
      <c r="AM61" s="443"/>
      <c r="AN61" s="443"/>
      <c r="AO61" s="102" t="str">
        <f t="shared" si="18"/>
        <v/>
      </c>
      <c r="AP61" s="245"/>
      <c r="AQ61" s="244"/>
      <c r="AR61" s="246"/>
      <c r="AS61" s="279"/>
      <c r="AT61" s="269"/>
      <c r="AU61" s="443" t="str">
        <f>IF(AT61="","",VLOOKUP(AT61,案件コード!$A$1:$B$31,2,FALSE()))</f>
        <v/>
      </c>
      <c r="AV61" s="443"/>
      <c r="AW61" s="443"/>
      <c r="AX61" s="102" t="str">
        <f t="shared" si="19"/>
        <v/>
      </c>
      <c r="AY61" s="245"/>
      <c r="AZ61" s="244"/>
      <c r="BA61" s="246"/>
      <c r="BB61" s="279"/>
      <c r="BC61" s="269"/>
      <c r="BD61" s="443" t="str">
        <f>IF(BC61="","",VLOOKUP(BC61,案件コード!$A$1:$B$31,2,FALSE()))</f>
        <v/>
      </c>
      <c r="BE61" s="443"/>
      <c r="BF61" s="443"/>
      <c r="BG61" s="102" t="str">
        <f t="shared" si="20"/>
        <v/>
      </c>
      <c r="BH61" s="245"/>
      <c r="BI61" s="244"/>
      <c r="BJ61" s="246"/>
      <c r="BK61" s="279"/>
    </row>
    <row r="62" spans="1:63">
      <c r="A62" s="269"/>
      <c r="B62" s="443" t="str">
        <f>IF(A62="","",VLOOKUP(A62,案件コード!$A$1:$B$31,2,FALSE()))</f>
        <v/>
      </c>
      <c r="C62" s="443"/>
      <c r="D62" s="443"/>
      <c r="E62" s="102" t="str">
        <f t="shared" si="14"/>
        <v/>
      </c>
      <c r="F62" s="245"/>
      <c r="G62" s="244"/>
      <c r="H62" s="246"/>
      <c r="I62" s="279"/>
      <c r="J62" s="269"/>
      <c r="K62" s="443" t="str">
        <f>IF(J62="","",VLOOKUP(J62,案件コード!$A$1:$B$31,2,FALSE()))</f>
        <v/>
      </c>
      <c r="L62" s="443"/>
      <c r="M62" s="443"/>
      <c r="N62" s="102" t="str">
        <f t="shared" si="15"/>
        <v/>
      </c>
      <c r="O62" s="245"/>
      <c r="P62" s="244"/>
      <c r="Q62" s="246"/>
      <c r="R62" s="279"/>
      <c r="S62" s="269"/>
      <c r="T62" s="443" t="str">
        <f>IF(S62="","",VLOOKUP(S62,案件コード!$A$1:$B$31,2,FALSE()))</f>
        <v/>
      </c>
      <c r="U62" s="443"/>
      <c r="V62" s="443"/>
      <c r="W62" s="102" t="str">
        <f t="shared" si="16"/>
        <v/>
      </c>
      <c r="X62" s="245"/>
      <c r="Y62" s="244"/>
      <c r="Z62" s="246"/>
      <c r="AA62" s="279"/>
      <c r="AB62" s="269"/>
      <c r="AC62" s="443" t="str">
        <f>IF(AB62="","",VLOOKUP(AB62,案件コード!$A$1:$B$31,2,FALSE()))</f>
        <v/>
      </c>
      <c r="AD62" s="443"/>
      <c r="AE62" s="443"/>
      <c r="AF62" s="102" t="str">
        <f t="shared" si="17"/>
        <v/>
      </c>
      <c r="AG62" s="245"/>
      <c r="AH62" s="244"/>
      <c r="AI62" s="246"/>
      <c r="AJ62" s="279"/>
      <c r="AK62" s="269"/>
      <c r="AL62" s="443" t="str">
        <f>IF(AK62="","",VLOOKUP(AK62,案件コード!$A$1:$B$31,2,FALSE()))</f>
        <v/>
      </c>
      <c r="AM62" s="443"/>
      <c r="AN62" s="443"/>
      <c r="AO62" s="102" t="str">
        <f t="shared" si="18"/>
        <v/>
      </c>
      <c r="AP62" s="245"/>
      <c r="AQ62" s="244"/>
      <c r="AR62" s="246"/>
      <c r="AS62" s="279"/>
      <c r="AT62" s="269"/>
      <c r="AU62" s="443" t="str">
        <f>IF(AT62="","",VLOOKUP(AT62,案件コード!$A$1:$B$31,2,FALSE()))</f>
        <v/>
      </c>
      <c r="AV62" s="443"/>
      <c r="AW62" s="443"/>
      <c r="AX62" s="102" t="str">
        <f t="shared" si="19"/>
        <v/>
      </c>
      <c r="AY62" s="245"/>
      <c r="AZ62" s="244"/>
      <c r="BA62" s="246"/>
      <c r="BB62" s="279"/>
      <c r="BC62" s="269"/>
      <c r="BD62" s="443" t="str">
        <f>IF(BC62="","",VLOOKUP(BC62,案件コード!$A$1:$B$31,2,FALSE()))</f>
        <v/>
      </c>
      <c r="BE62" s="443"/>
      <c r="BF62" s="443"/>
      <c r="BG62" s="102" t="str">
        <f t="shared" si="20"/>
        <v/>
      </c>
      <c r="BH62" s="245"/>
      <c r="BI62" s="244"/>
      <c r="BJ62" s="246"/>
      <c r="BK62" s="279"/>
    </row>
    <row r="63" spans="1:63" ht="18.600000000000001" thickBot="1">
      <c r="A63" s="272"/>
      <c r="B63" s="444" t="str">
        <f>IF(A63="","",VLOOKUP(A63,案件コード!$A$1:$B$31,2,FALSE()))</f>
        <v/>
      </c>
      <c r="C63" s="444"/>
      <c r="D63" s="444"/>
      <c r="E63" s="273" t="str">
        <f t="shared" si="14"/>
        <v/>
      </c>
      <c r="F63" s="274"/>
      <c r="G63" s="275"/>
      <c r="H63" s="276"/>
      <c r="I63" s="280"/>
      <c r="J63" s="272"/>
      <c r="K63" s="444" t="str">
        <f>IF(J63="","",VLOOKUP(J63,案件コード!$A$1:$B$31,2,FALSE()))</f>
        <v/>
      </c>
      <c r="L63" s="444"/>
      <c r="M63" s="444"/>
      <c r="N63" s="273" t="str">
        <f t="shared" si="15"/>
        <v/>
      </c>
      <c r="O63" s="274"/>
      <c r="P63" s="275"/>
      <c r="Q63" s="276"/>
      <c r="R63" s="280"/>
      <c r="S63" s="272"/>
      <c r="T63" s="444" t="str">
        <f>IF(S63="","",VLOOKUP(S63,案件コード!$A$1:$B$31,2,FALSE()))</f>
        <v/>
      </c>
      <c r="U63" s="444"/>
      <c r="V63" s="444"/>
      <c r="W63" s="273" t="str">
        <f t="shared" si="16"/>
        <v/>
      </c>
      <c r="X63" s="274"/>
      <c r="Y63" s="275"/>
      <c r="Z63" s="276"/>
      <c r="AA63" s="280"/>
      <c r="AB63" s="272"/>
      <c r="AC63" s="444" t="str">
        <f>IF(AB63="","",VLOOKUP(AB63,案件コード!$A$1:$B$31,2,FALSE()))</f>
        <v/>
      </c>
      <c r="AD63" s="444"/>
      <c r="AE63" s="444"/>
      <c r="AF63" s="273" t="str">
        <f t="shared" si="17"/>
        <v/>
      </c>
      <c r="AG63" s="274"/>
      <c r="AH63" s="275"/>
      <c r="AI63" s="276"/>
      <c r="AJ63" s="280"/>
      <c r="AK63" s="272"/>
      <c r="AL63" s="444" t="str">
        <f>IF(AK63="","",VLOOKUP(AK63,案件コード!$A$1:$B$31,2,FALSE()))</f>
        <v/>
      </c>
      <c r="AM63" s="444"/>
      <c r="AN63" s="444"/>
      <c r="AO63" s="273" t="str">
        <f t="shared" si="18"/>
        <v/>
      </c>
      <c r="AP63" s="274"/>
      <c r="AQ63" s="275"/>
      <c r="AR63" s="276"/>
      <c r="AS63" s="280"/>
      <c r="AT63" s="272"/>
      <c r="AU63" s="444" t="str">
        <f>IF(AT63="","",VLOOKUP(AT63,案件コード!$A$1:$B$31,2,FALSE()))</f>
        <v/>
      </c>
      <c r="AV63" s="444"/>
      <c r="AW63" s="444"/>
      <c r="AX63" s="273" t="str">
        <f t="shared" si="19"/>
        <v/>
      </c>
      <c r="AY63" s="274"/>
      <c r="AZ63" s="275"/>
      <c r="BA63" s="276"/>
      <c r="BB63" s="280"/>
      <c r="BC63" s="272"/>
      <c r="BD63" s="444" t="str">
        <f>IF(BC63="","",VLOOKUP(BC63,案件コード!$A$1:$B$31,2,FALSE()))</f>
        <v/>
      </c>
      <c r="BE63" s="444"/>
      <c r="BF63" s="444"/>
      <c r="BG63" s="273" t="str">
        <f t="shared" si="20"/>
        <v/>
      </c>
      <c r="BH63" s="274"/>
      <c r="BI63" s="275"/>
      <c r="BJ63" s="276"/>
      <c r="BK63" s="280"/>
    </row>
    <row r="64" spans="1:63" ht="18.600000000000001" thickBot="1">
      <c r="A64" s="334">
        <f>A46</f>
        <v>45945</v>
      </c>
      <c r="B64" s="333" t="s">
        <v>291</v>
      </c>
      <c r="C64" s="456"/>
      <c r="D64" s="457"/>
      <c r="E64" s="457"/>
      <c r="F64" s="457"/>
      <c r="G64" s="458"/>
      <c r="H64" s="412">
        <f>SUM(H49:H63)</f>
        <v>0</v>
      </c>
      <c r="I64" s="91" t="s">
        <v>371</v>
      </c>
      <c r="J64" s="334">
        <f>J46</f>
        <v>45946</v>
      </c>
      <c r="K64" s="333" t="s">
        <v>291</v>
      </c>
      <c r="L64" s="459"/>
      <c r="M64" s="460"/>
      <c r="N64" s="460"/>
      <c r="O64" s="460"/>
      <c r="P64" s="461"/>
      <c r="Q64" s="412">
        <f>SUM(Q49:Q63)</f>
        <v>0</v>
      </c>
      <c r="R64" s="91" t="s">
        <v>371</v>
      </c>
      <c r="S64" s="334">
        <f>S46</f>
        <v>45947</v>
      </c>
      <c r="T64" s="333" t="s">
        <v>291</v>
      </c>
      <c r="U64" s="456"/>
      <c r="V64" s="457"/>
      <c r="W64" s="457"/>
      <c r="X64" s="457"/>
      <c r="Y64" s="458"/>
      <c r="Z64" s="412">
        <f>SUM(Z49:Z63)</f>
        <v>0</v>
      </c>
      <c r="AA64" s="91" t="s">
        <v>371</v>
      </c>
      <c r="AB64" s="334">
        <f>AB46</f>
        <v>45948</v>
      </c>
      <c r="AC64" s="333" t="s">
        <v>291</v>
      </c>
      <c r="AD64" s="462"/>
      <c r="AE64" s="463"/>
      <c r="AF64" s="463"/>
      <c r="AG64" s="463"/>
      <c r="AH64" s="464"/>
      <c r="AI64" s="412">
        <f>SUM(AI49:AI63)</f>
        <v>0</v>
      </c>
      <c r="AJ64" s="91" t="s">
        <v>371</v>
      </c>
      <c r="AK64" s="334">
        <f>AK46</f>
        <v>45949</v>
      </c>
      <c r="AL64" s="333" t="s">
        <v>291</v>
      </c>
      <c r="AM64" s="456"/>
      <c r="AN64" s="457"/>
      <c r="AO64" s="457"/>
      <c r="AP64" s="457"/>
      <c r="AQ64" s="458"/>
      <c r="AR64" s="412">
        <f>SUM(AR49:AR63)</f>
        <v>0</v>
      </c>
      <c r="AS64" s="91" t="s">
        <v>371</v>
      </c>
      <c r="AT64" s="334">
        <f>AT46</f>
        <v>45950</v>
      </c>
      <c r="AU64" s="333" t="s">
        <v>291</v>
      </c>
      <c r="AV64" s="456"/>
      <c r="AW64" s="457"/>
      <c r="AX64" s="457"/>
      <c r="AY64" s="457"/>
      <c r="AZ64" s="458"/>
      <c r="BA64" s="412">
        <f>SUM(BA49:BA63)</f>
        <v>0</v>
      </c>
      <c r="BB64" s="91" t="s">
        <v>371</v>
      </c>
      <c r="BC64" s="334">
        <f>BC46</f>
        <v>45951</v>
      </c>
      <c r="BD64" s="333" t="s">
        <v>291</v>
      </c>
      <c r="BE64" s="456"/>
      <c r="BF64" s="457"/>
      <c r="BG64" s="457"/>
      <c r="BH64" s="457"/>
      <c r="BI64" s="458"/>
      <c r="BJ64" s="412">
        <f>SUM(BJ49:BJ63)</f>
        <v>0</v>
      </c>
      <c r="BK64" s="91" t="s">
        <v>371</v>
      </c>
    </row>
    <row r="65" spans="1:63">
      <c r="A65" s="448" t="s">
        <v>14</v>
      </c>
      <c r="B65" s="449"/>
      <c r="C65" s="450" t="s">
        <v>15</v>
      </c>
      <c r="D65" s="450"/>
      <c r="E65" s="450" t="s">
        <v>16</v>
      </c>
      <c r="F65" s="451"/>
      <c r="G65" s="37"/>
      <c r="H65" s="37"/>
      <c r="I65" s="37"/>
      <c r="J65" s="448" t="s">
        <v>14</v>
      </c>
      <c r="K65" s="449"/>
      <c r="L65" s="450" t="s">
        <v>15</v>
      </c>
      <c r="M65" s="450"/>
      <c r="N65" s="450" t="s">
        <v>16</v>
      </c>
      <c r="O65" s="451"/>
      <c r="P65" s="37"/>
      <c r="Q65" s="37"/>
      <c r="R65" s="37"/>
      <c r="S65" s="448" t="s">
        <v>14</v>
      </c>
      <c r="T65" s="449"/>
      <c r="U65" s="450" t="s">
        <v>15</v>
      </c>
      <c r="V65" s="450"/>
      <c r="W65" s="450" t="s">
        <v>16</v>
      </c>
      <c r="X65" s="451"/>
      <c r="Y65" s="37"/>
      <c r="Z65" s="37"/>
      <c r="AA65" s="37"/>
      <c r="AB65" s="448" t="s">
        <v>14</v>
      </c>
      <c r="AC65" s="449"/>
      <c r="AD65" s="450" t="s">
        <v>15</v>
      </c>
      <c r="AE65" s="450"/>
      <c r="AF65" s="450" t="s">
        <v>16</v>
      </c>
      <c r="AG65" s="451"/>
      <c r="AH65" s="37"/>
      <c r="AI65" s="37"/>
      <c r="AJ65" s="37"/>
      <c r="AK65" s="448" t="s">
        <v>14</v>
      </c>
      <c r="AL65" s="449"/>
      <c r="AM65" s="450" t="s">
        <v>15</v>
      </c>
      <c r="AN65" s="450"/>
      <c r="AO65" s="450" t="s">
        <v>16</v>
      </c>
      <c r="AP65" s="451"/>
      <c r="AQ65" s="37"/>
      <c r="AR65" s="37"/>
      <c r="AS65" s="37"/>
      <c r="AT65" s="448" t="s">
        <v>14</v>
      </c>
      <c r="AU65" s="449"/>
      <c r="AV65" s="450" t="s">
        <v>15</v>
      </c>
      <c r="AW65" s="450"/>
      <c r="AX65" s="450" t="s">
        <v>16</v>
      </c>
      <c r="AY65" s="451"/>
      <c r="AZ65" s="37"/>
      <c r="BA65" s="37"/>
      <c r="BB65" s="37"/>
      <c r="BC65" s="448" t="s">
        <v>14</v>
      </c>
      <c r="BD65" s="449"/>
      <c r="BE65" s="450" t="s">
        <v>15</v>
      </c>
      <c r="BF65" s="450"/>
      <c r="BG65" s="450" t="s">
        <v>16</v>
      </c>
      <c r="BH65" s="451"/>
      <c r="BI65" s="37"/>
      <c r="BJ65" s="37"/>
      <c r="BK65" s="37"/>
    </row>
    <row r="66" spans="1:63" ht="18.600000000000001" thickBot="1">
      <c r="A66" s="445">
        <f>BC46+1</f>
        <v>45952</v>
      </c>
      <c r="B66" s="446"/>
      <c r="C66" s="249"/>
      <c r="D66" s="249"/>
      <c r="E66" s="250" t="str">
        <f>IF(C66="","",D66-C66-H66)</f>
        <v/>
      </c>
      <c r="F66" s="251" t="str">
        <f>IF(AND(E66=""),"",SUM(E69:E83))</f>
        <v/>
      </c>
      <c r="G66" s="103" t="s">
        <v>17</v>
      </c>
      <c r="H66" s="247">
        <v>4.1666666666666699E-2</v>
      </c>
      <c r="I66" s="37"/>
      <c r="J66" s="445">
        <f>A66+1</f>
        <v>45953</v>
      </c>
      <c r="K66" s="446"/>
      <c r="L66" s="249"/>
      <c r="M66" s="249"/>
      <c r="N66" s="250" t="str">
        <f>IF(L66="","",M66-L66-Q66)</f>
        <v/>
      </c>
      <c r="O66" s="251" t="str">
        <f>IF(AND(N66=""),"",SUM(N69:N83))</f>
        <v/>
      </c>
      <c r="P66" s="103" t="s">
        <v>17</v>
      </c>
      <c r="Q66" s="247">
        <v>4.1666666666666699E-2</v>
      </c>
      <c r="R66" s="37"/>
      <c r="S66" s="445">
        <f>J66+1</f>
        <v>45954</v>
      </c>
      <c r="T66" s="446"/>
      <c r="U66" s="249"/>
      <c r="V66" s="249"/>
      <c r="W66" s="250" t="str">
        <f>IF(U66="","",V66-U66-Z66)</f>
        <v/>
      </c>
      <c r="X66" s="251" t="str">
        <f>IF(AND(W66=""),"",SUM(W69:W83))</f>
        <v/>
      </c>
      <c r="Y66" s="103" t="s">
        <v>17</v>
      </c>
      <c r="Z66" s="247">
        <v>4.1666666666666699E-2</v>
      </c>
      <c r="AA66" s="37"/>
      <c r="AB66" s="445">
        <f>S66+1</f>
        <v>45955</v>
      </c>
      <c r="AC66" s="446"/>
      <c r="AD66" s="249"/>
      <c r="AE66" s="249"/>
      <c r="AF66" s="250" t="str">
        <f>IF(AD66="","",AE66-AD66-AI66)</f>
        <v/>
      </c>
      <c r="AG66" s="251" t="str">
        <f>IF(AND(AF66=""),"",SUM(AF69:AF83))</f>
        <v/>
      </c>
      <c r="AH66" s="103" t="s">
        <v>17</v>
      </c>
      <c r="AI66" s="247">
        <v>4.1666666666666699E-2</v>
      </c>
      <c r="AJ66" s="37"/>
      <c r="AK66" s="445">
        <f>AB66+1</f>
        <v>45956</v>
      </c>
      <c r="AL66" s="446"/>
      <c r="AM66" s="249"/>
      <c r="AN66" s="249"/>
      <c r="AO66" s="250" t="str">
        <f>IF(AM66="","",AN66-AM66-AR66)</f>
        <v/>
      </c>
      <c r="AP66" s="251" t="str">
        <f>IF(AND(AO66=""),"",SUM(AO69:AO83))</f>
        <v/>
      </c>
      <c r="AQ66" s="103" t="s">
        <v>17</v>
      </c>
      <c r="AR66" s="247">
        <v>4.1666666666666699E-2</v>
      </c>
      <c r="AS66" s="37"/>
      <c r="AT66" s="445">
        <f>AK66+1</f>
        <v>45957</v>
      </c>
      <c r="AU66" s="446"/>
      <c r="AV66" s="249"/>
      <c r="AW66" s="249"/>
      <c r="AX66" s="250" t="str">
        <f>IF(AV66="","",AW66-AV66-BA66)</f>
        <v/>
      </c>
      <c r="AY66" s="251" t="str">
        <f>IF(AND(AX66=""),"",SUM(AX69:AX83))</f>
        <v/>
      </c>
      <c r="AZ66" s="103" t="s">
        <v>17</v>
      </c>
      <c r="BA66" s="247">
        <v>4.1666666666666699E-2</v>
      </c>
      <c r="BB66" s="37"/>
      <c r="BC66" s="445">
        <f>AT66+1</f>
        <v>45958</v>
      </c>
      <c r="BD66" s="446"/>
      <c r="BE66" s="249"/>
      <c r="BF66" s="249"/>
      <c r="BG66" s="250" t="str">
        <f>IF(BE66="","",BF66-BE66-BJ66)</f>
        <v/>
      </c>
      <c r="BH66" s="251" t="str">
        <f>IF(AND(BG66=""),"",SUM(BG69:BG83))</f>
        <v/>
      </c>
      <c r="BI66" s="103" t="s">
        <v>17</v>
      </c>
      <c r="BJ66" s="247">
        <v>4.1666666666666699E-2</v>
      </c>
      <c r="BK66" s="37"/>
    </row>
    <row r="67" spans="1:63" ht="18.600000000000001" thickBot="1">
      <c r="A67" s="37" t="s">
        <v>36</v>
      </c>
      <c r="B67" s="104"/>
      <c r="C67" s="104"/>
      <c r="D67" s="104"/>
      <c r="E67" s="105"/>
      <c r="F67" s="106"/>
      <c r="G67" s="106"/>
      <c r="H67" s="413">
        <f>IF(COUNT(H69:H83)=0,0,COUNT(H69:H83))</f>
        <v>0</v>
      </c>
      <c r="I67" s="411" t="s">
        <v>366</v>
      </c>
      <c r="J67" s="37" t="s">
        <v>36</v>
      </c>
      <c r="K67" s="104"/>
      <c r="L67" s="104"/>
      <c r="M67" s="104"/>
      <c r="N67" s="105"/>
      <c r="O67" s="106"/>
      <c r="P67" s="106"/>
      <c r="Q67" s="413">
        <f>IF(COUNT(Q69:Q83)=0,0,COUNT(Q69:Q83))</f>
        <v>0</v>
      </c>
      <c r="R67" s="411" t="s">
        <v>366</v>
      </c>
      <c r="S67" s="37" t="s">
        <v>36</v>
      </c>
      <c r="T67" s="104"/>
      <c r="U67" s="104"/>
      <c r="V67" s="104"/>
      <c r="W67" s="105"/>
      <c r="X67" s="106"/>
      <c r="Y67" s="106"/>
      <c r="Z67" s="413">
        <f>IF(COUNT(Z69:Z83)=0,0,COUNT(Z69:Z83))</f>
        <v>0</v>
      </c>
      <c r="AA67" s="411" t="s">
        <v>366</v>
      </c>
      <c r="AB67" s="37" t="s">
        <v>36</v>
      </c>
      <c r="AC67" s="104"/>
      <c r="AD67" s="104"/>
      <c r="AE67" s="104"/>
      <c r="AF67" s="105"/>
      <c r="AG67" s="106"/>
      <c r="AH67" s="106"/>
      <c r="AI67" s="413">
        <f>IF(COUNT(AI69:AI83)=0,0,COUNT(AI69:AI83))</f>
        <v>0</v>
      </c>
      <c r="AJ67" s="411" t="s">
        <v>366</v>
      </c>
      <c r="AK67" s="37" t="s">
        <v>36</v>
      </c>
      <c r="AL67" s="104"/>
      <c r="AM67" s="104"/>
      <c r="AN67" s="104"/>
      <c r="AO67" s="105"/>
      <c r="AP67" s="106"/>
      <c r="AQ67" s="106"/>
      <c r="AR67" s="413">
        <f>IF(COUNT(AR69:AR83)=0,0,COUNT(AR69:AR83))</f>
        <v>0</v>
      </c>
      <c r="AS67" s="411" t="s">
        <v>366</v>
      </c>
      <c r="AT67" s="37" t="s">
        <v>36</v>
      </c>
      <c r="AU67" s="104"/>
      <c r="AV67" s="104"/>
      <c r="AW67" s="104"/>
      <c r="AX67" s="105"/>
      <c r="AY67" s="106"/>
      <c r="AZ67" s="106"/>
      <c r="BA67" s="413">
        <f>IF(COUNT(BA69:BA83)=0,0,COUNT(BA69:BA83))</f>
        <v>0</v>
      </c>
      <c r="BB67" s="411" t="s">
        <v>366</v>
      </c>
      <c r="BC67" s="37" t="s">
        <v>36</v>
      </c>
      <c r="BD67" s="104"/>
      <c r="BE67" s="104"/>
      <c r="BF67" s="104"/>
      <c r="BG67" s="105"/>
      <c r="BH67" s="106"/>
      <c r="BI67" s="106"/>
      <c r="BJ67" s="413">
        <f>IF(COUNT(BJ69:BJ83)=0,0,COUNT(BJ69:BJ83))</f>
        <v>0</v>
      </c>
      <c r="BK67" s="411" t="s">
        <v>366</v>
      </c>
    </row>
    <row r="68" spans="1:63">
      <c r="A68" s="265" t="s">
        <v>18</v>
      </c>
      <c r="B68" s="447" t="s">
        <v>19</v>
      </c>
      <c r="C68" s="447"/>
      <c r="D68" s="447"/>
      <c r="E68" s="266" t="s">
        <v>20</v>
      </c>
      <c r="F68" s="266" t="s">
        <v>0</v>
      </c>
      <c r="G68" s="266" t="s">
        <v>37</v>
      </c>
      <c r="H68" s="267" t="s">
        <v>21</v>
      </c>
      <c r="I68" s="268" t="s">
        <v>22</v>
      </c>
      <c r="J68" s="265" t="s">
        <v>18</v>
      </c>
      <c r="K68" s="447" t="s">
        <v>19</v>
      </c>
      <c r="L68" s="447"/>
      <c r="M68" s="447"/>
      <c r="N68" s="266" t="s">
        <v>20</v>
      </c>
      <c r="O68" s="266" t="s">
        <v>0</v>
      </c>
      <c r="P68" s="266" t="s">
        <v>37</v>
      </c>
      <c r="Q68" s="267" t="s">
        <v>21</v>
      </c>
      <c r="R68" s="268" t="s">
        <v>22</v>
      </c>
      <c r="S68" s="265" t="s">
        <v>18</v>
      </c>
      <c r="T68" s="447" t="s">
        <v>19</v>
      </c>
      <c r="U68" s="447"/>
      <c r="V68" s="447"/>
      <c r="W68" s="266" t="s">
        <v>20</v>
      </c>
      <c r="X68" s="266" t="s">
        <v>0</v>
      </c>
      <c r="Y68" s="266" t="s">
        <v>37</v>
      </c>
      <c r="Z68" s="267" t="s">
        <v>21</v>
      </c>
      <c r="AA68" s="268" t="s">
        <v>22</v>
      </c>
      <c r="AB68" s="265" t="s">
        <v>18</v>
      </c>
      <c r="AC68" s="447" t="s">
        <v>19</v>
      </c>
      <c r="AD68" s="447"/>
      <c r="AE68" s="447"/>
      <c r="AF68" s="266" t="s">
        <v>20</v>
      </c>
      <c r="AG68" s="266" t="s">
        <v>0</v>
      </c>
      <c r="AH68" s="266" t="s">
        <v>37</v>
      </c>
      <c r="AI68" s="267" t="s">
        <v>21</v>
      </c>
      <c r="AJ68" s="268" t="s">
        <v>22</v>
      </c>
      <c r="AK68" s="265" t="s">
        <v>18</v>
      </c>
      <c r="AL68" s="447" t="s">
        <v>19</v>
      </c>
      <c r="AM68" s="447"/>
      <c r="AN68" s="447"/>
      <c r="AO68" s="266" t="s">
        <v>20</v>
      </c>
      <c r="AP68" s="266" t="s">
        <v>0</v>
      </c>
      <c r="AQ68" s="266" t="s">
        <v>37</v>
      </c>
      <c r="AR68" s="267" t="s">
        <v>21</v>
      </c>
      <c r="AS68" s="268" t="s">
        <v>22</v>
      </c>
      <c r="AT68" s="265" t="s">
        <v>18</v>
      </c>
      <c r="AU68" s="447" t="s">
        <v>19</v>
      </c>
      <c r="AV68" s="447"/>
      <c r="AW68" s="447"/>
      <c r="AX68" s="266" t="s">
        <v>20</v>
      </c>
      <c r="AY68" s="266" t="s">
        <v>0</v>
      </c>
      <c r="AZ68" s="266" t="s">
        <v>37</v>
      </c>
      <c r="BA68" s="267" t="s">
        <v>21</v>
      </c>
      <c r="BB68" s="268" t="s">
        <v>22</v>
      </c>
      <c r="BC68" s="265" t="s">
        <v>18</v>
      </c>
      <c r="BD68" s="447" t="s">
        <v>19</v>
      </c>
      <c r="BE68" s="447"/>
      <c r="BF68" s="447"/>
      <c r="BG68" s="266" t="s">
        <v>20</v>
      </c>
      <c r="BH68" s="266" t="s">
        <v>0</v>
      </c>
      <c r="BI68" s="266" t="s">
        <v>37</v>
      </c>
      <c r="BJ68" s="267" t="s">
        <v>21</v>
      </c>
      <c r="BK68" s="268" t="s">
        <v>22</v>
      </c>
    </row>
    <row r="69" spans="1:63">
      <c r="A69" s="269"/>
      <c r="B69" s="443" t="str">
        <f>IF(A69="","",VLOOKUP(A69,案件コード!$A$1:$B$31,2,FALSE()))</f>
        <v/>
      </c>
      <c r="C69" s="443"/>
      <c r="D69" s="443"/>
      <c r="E69" s="102" t="str">
        <f t="shared" ref="E69:E83" si="21">IF(AND(F69="",G69=""),"",SUM(F69:G69))</f>
        <v/>
      </c>
      <c r="F69" s="245"/>
      <c r="G69" s="244"/>
      <c r="H69" s="246"/>
      <c r="I69" s="278"/>
      <c r="J69" s="269"/>
      <c r="K69" s="443" t="str">
        <f>IF(J69="","",VLOOKUP(J69,案件コード!$A$1:$B$31,2,FALSE()))</f>
        <v/>
      </c>
      <c r="L69" s="443"/>
      <c r="M69" s="443"/>
      <c r="N69" s="102" t="str">
        <f t="shared" ref="N69:N83" si="22">IF(AND(O69="",P69=""),"",SUM(O69:P69))</f>
        <v/>
      </c>
      <c r="O69" s="245"/>
      <c r="P69" s="244"/>
      <c r="Q69" s="246"/>
      <c r="R69" s="278"/>
      <c r="S69" s="269"/>
      <c r="T69" s="443" t="str">
        <f>IF(S69="","",VLOOKUP(S69,案件コード!$A$1:$B$31,2,FALSE()))</f>
        <v/>
      </c>
      <c r="U69" s="443"/>
      <c r="V69" s="443"/>
      <c r="W69" s="102" t="str">
        <f t="shared" ref="W69:W83" si="23">IF(AND(X69="",Y69=""),"",SUM(X69:Y69))</f>
        <v/>
      </c>
      <c r="X69" s="245"/>
      <c r="Y69" s="244"/>
      <c r="Z69" s="246"/>
      <c r="AA69" s="278"/>
      <c r="AB69" s="269"/>
      <c r="AC69" s="443" t="str">
        <f>IF(AB69="","",VLOOKUP(AB69,案件コード!$A$1:$B$31,2,FALSE()))</f>
        <v/>
      </c>
      <c r="AD69" s="443"/>
      <c r="AE69" s="443"/>
      <c r="AF69" s="102" t="str">
        <f t="shared" ref="AF69:AF83" si="24">IF(AND(AG69="",AH69=""),"",SUM(AG69:AH69))</f>
        <v/>
      </c>
      <c r="AG69" s="245"/>
      <c r="AH69" s="244"/>
      <c r="AI69" s="246"/>
      <c r="AJ69" s="278"/>
      <c r="AK69" s="269"/>
      <c r="AL69" s="443" t="str">
        <f>IF(AK69="","",VLOOKUP(AK69,案件コード!$A$1:$B$31,2,FALSE()))</f>
        <v/>
      </c>
      <c r="AM69" s="443"/>
      <c r="AN69" s="443"/>
      <c r="AO69" s="102" t="str">
        <f t="shared" ref="AO69:AO83" si="25">IF(AND(AP69="",AQ69=""),"",SUM(AP69:AQ69))</f>
        <v/>
      </c>
      <c r="AP69" s="245"/>
      <c r="AQ69" s="244"/>
      <c r="AR69" s="246"/>
      <c r="AS69" s="278"/>
      <c r="AT69" s="269"/>
      <c r="AU69" s="443" t="str">
        <f>IF(AT69="","",VLOOKUP(AT69,案件コード!$A$1:$B$31,2,FALSE()))</f>
        <v/>
      </c>
      <c r="AV69" s="443"/>
      <c r="AW69" s="443"/>
      <c r="AX69" s="102" t="str">
        <f t="shared" ref="AX69:AX83" si="26">IF(AND(AY69="",AZ69=""),"",SUM(AY69:AZ69))</f>
        <v/>
      </c>
      <c r="AY69" s="245"/>
      <c r="AZ69" s="244"/>
      <c r="BA69" s="246"/>
      <c r="BB69" s="278"/>
      <c r="BC69" s="269"/>
      <c r="BD69" s="443" t="str">
        <f>IF(BC69="","",VLOOKUP(BC69,案件コード!$A$1:$B$31,2,FALSE()))</f>
        <v/>
      </c>
      <c r="BE69" s="443"/>
      <c r="BF69" s="443"/>
      <c r="BG69" s="102" t="str">
        <f t="shared" ref="BG69:BG83" si="27">IF(AND(BH69="",BI69=""),"",SUM(BH69:BI69))</f>
        <v/>
      </c>
      <c r="BH69" s="245"/>
      <c r="BI69" s="244"/>
      <c r="BJ69" s="246"/>
      <c r="BK69" s="278"/>
    </row>
    <row r="70" spans="1:63">
      <c r="A70" s="269"/>
      <c r="B70" s="443" t="str">
        <f>IF(A70="","",VLOOKUP(A70,案件コード!$A$1:$B$31,2,FALSE()))</f>
        <v/>
      </c>
      <c r="C70" s="443"/>
      <c r="D70" s="443"/>
      <c r="E70" s="102" t="str">
        <f t="shared" si="21"/>
        <v/>
      </c>
      <c r="F70" s="245"/>
      <c r="G70" s="244"/>
      <c r="H70" s="246"/>
      <c r="I70" s="279"/>
      <c r="J70" s="269"/>
      <c r="K70" s="443" t="str">
        <f>IF(J70="","",VLOOKUP(J70,案件コード!$A$1:$B$31,2,FALSE()))</f>
        <v/>
      </c>
      <c r="L70" s="443"/>
      <c r="M70" s="443"/>
      <c r="N70" s="102" t="str">
        <f t="shared" si="22"/>
        <v/>
      </c>
      <c r="O70" s="245"/>
      <c r="P70" s="244"/>
      <c r="Q70" s="246"/>
      <c r="R70" s="279"/>
      <c r="S70" s="269"/>
      <c r="T70" s="443" t="str">
        <f>IF(S70="","",VLOOKUP(S70,案件コード!$A$1:$B$31,2,FALSE()))</f>
        <v/>
      </c>
      <c r="U70" s="443"/>
      <c r="V70" s="443"/>
      <c r="W70" s="102" t="str">
        <f t="shared" si="23"/>
        <v/>
      </c>
      <c r="X70" s="245"/>
      <c r="Y70" s="244"/>
      <c r="Z70" s="246"/>
      <c r="AA70" s="279"/>
      <c r="AB70" s="269"/>
      <c r="AC70" s="443" t="str">
        <f>IF(AB70="","",VLOOKUP(AB70,案件コード!$A$1:$B$31,2,FALSE()))</f>
        <v/>
      </c>
      <c r="AD70" s="443"/>
      <c r="AE70" s="443"/>
      <c r="AF70" s="102" t="str">
        <f t="shared" si="24"/>
        <v/>
      </c>
      <c r="AG70" s="245"/>
      <c r="AH70" s="244"/>
      <c r="AI70" s="246"/>
      <c r="AJ70" s="279"/>
      <c r="AK70" s="269"/>
      <c r="AL70" s="443" t="str">
        <f>IF(AK70="","",VLOOKUP(AK70,案件コード!$A$1:$B$31,2,FALSE()))</f>
        <v/>
      </c>
      <c r="AM70" s="443"/>
      <c r="AN70" s="443"/>
      <c r="AO70" s="102" t="str">
        <f t="shared" si="25"/>
        <v/>
      </c>
      <c r="AP70" s="245"/>
      <c r="AQ70" s="244"/>
      <c r="AR70" s="246"/>
      <c r="AS70" s="279"/>
      <c r="AT70" s="269"/>
      <c r="AU70" s="443" t="str">
        <f>IF(AT70="","",VLOOKUP(AT70,案件コード!$A$1:$B$31,2,FALSE()))</f>
        <v/>
      </c>
      <c r="AV70" s="443"/>
      <c r="AW70" s="443"/>
      <c r="AX70" s="102" t="str">
        <f t="shared" si="26"/>
        <v/>
      </c>
      <c r="AY70" s="245"/>
      <c r="AZ70" s="244"/>
      <c r="BA70" s="246"/>
      <c r="BB70" s="279"/>
      <c r="BC70" s="269"/>
      <c r="BD70" s="443" t="str">
        <f>IF(BC70="","",VLOOKUP(BC70,案件コード!$A$1:$B$31,2,FALSE()))</f>
        <v/>
      </c>
      <c r="BE70" s="443"/>
      <c r="BF70" s="443"/>
      <c r="BG70" s="102" t="str">
        <f t="shared" si="27"/>
        <v/>
      </c>
      <c r="BH70" s="245"/>
      <c r="BI70" s="244"/>
      <c r="BJ70" s="246"/>
      <c r="BK70" s="279"/>
    </row>
    <row r="71" spans="1:63">
      <c r="A71" s="269"/>
      <c r="B71" s="443" t="str">
        <f>IF(A71="","",VLOOKUP(A71,案件コード!$A$1:$B$31,2,FALSE()))</f>
        <v/>
      </c>
      <c r="C71" s="443"/>
      <c r="D71" s="443"/>
      <c r="E71" s="102" t="str">
        <f t="shared" si="21"/>
        <v/>
      </c>
      <c r="F71" s="245"/>
      <c r="G71" s="244"/>
      <c r="H71" s="246"/>
      <c r="I71" s="279"/>
      <c r="J71" s="269"/>
      <c r="K71" s="443" t="str">
        <f>IF(J71="","",VLOOKUP(J71,案件コード!$A$1:$B$31,2,FALSE()))</f>
        <v/>
      </c>
      <c r="L71" s="443"/>
      <c r="M71" s="443"/>
      <c r="N71" s="102" t="str">
        <f t="shared" si="22"/>
        <v/>
      </c>
      <c r="O71" s="245"/>
      <c r="P71" s="244"/>
      <c r="Q71" s="246"/>
      <c r="R71" s="279"/>
      <c r="S71" s="269"/>
      <c r="T71" s="443" t="str">
        <f>IF(S71="","",VLOOKUP(S71,案件コード!$A$1:$B$31,2,FALSE()))</f>
        <v/>
      </c>
      <c r="U71" s="443"/>
      <c r="V71" s="443"/>
      <c r="W71" s="102" t="str">
        <f t="shared" si="23"/>
        <v/>
      </c>
      <c r="X71" s="245"/>
      <c r="Y71" s="244"/>
      <c r="Z71" s="246"/>
      <c r="AA71" s="279"/>
      <c r="AB71" s="269"/>
      <c r="AC71" s="443" t="str">
        <f>IF(AB71="","",VLOOKUP(AB71,案件コード!$A$1:$B$31,2,FALSE()))</f>
        <v/>
      </c>
      <c r="AD71" s="443"/>
      <c r="AE71" s="443"/>
      <c r="AF71" s="102" t="str">
        <f t="shared" si="24"/>
        <v/>
      </c>
      <c r="AG71" s="245"/>
      <c r="AH71" s="244"/>
      <c r="AI71" s="246"/>
      <c r="AJ71" s="279"/>
      <c r="AK71" s="269"/>
      <c r="AL71" s="443" t="str">
        <f>IF(AK71="","",VLOOKUP(AK71,案件コード!$A$1:$B$31,2,FALSE()))</f>
        <v/>
      </c>
      <c r="AM71" s="443"/>
      <c r="AN71" s="443"/>
      <c r="AO71" s="102" t="str">
        <f t="shared" si="25"/>
        <v/>
      </c>
      <c r="AP71" s="245"/>
      <c r="AQ71" s="244"/>
      <c r="AR71" s="246"/>
      <c r="AS71" s="279"/>
      <c r="AT71" s="269"/>
      <c r="AU71" s="443" t="str">
        <f>IF(AT71="","",VLOOKUP(AT71,案件コード!$A$1:$B$31,2,FALSE()))</f>
        <v/>
      </c>
      <c r="AV71" s="443"/>
      <c r="AW71" s="443"/>
      <c r="AX71" s="102" t="str">
        <f t="shared" si="26"/>
        <v/>
      </c>
      <c r="AY71" s="245"/>
      <c r="AZ71" s="244"/>
      <c r="BA71" s="246"/>
      <c r="BB71" s="279"/>
      <c r="BC71" s="269"/>
      <c r="BD71" s="443" t="str">
        <f>IF(BC71="","",VLOOKUP(BC71,案件コード!$A$1:$B$31,2,FALSE()))</f>
        <v/>
      </c>
      <c r="BE71" s="443"/>
      <c r="BF71" s="443"/>
      <c r="BG71" s="102" t="str">
        <f t="shared" si="27"/>
        <v/>
      </c>
      <c r="BH71" s="245"/>
      <c r="BI71" s="244"/>
      <c r="BJ71" s="246"/>
      <c r="BK71" s="279"/>
    </row>
    <row r="72" spans="1:63">
      <c r="A72" s="269"/>
      <c r="B72" s="443" t="str">
        <f>IF(A72="","",VLOOKUP(A72,案件コード!$A$1:$B$31,2,FALSE()))</f>
        <v/>
      </c>
      <c r="C72" s="443"/>
      <c r="D72" s="443"/>
      <c r="E72" s="102" t="str">
        <f t="shared" si="21"/>
        <v/>
      </c>
      <c r="F72" s="245"/>
      <c r="G72" s="244"/>
      <c r="H72" s="246"/>
      <c r="I72" s="279"/>
      <c r="J72" s="269"/>
      <c r="K72" s="443" t="str">
        <f>IF(J72="","",VLOOKUP(J72,案件コード!$A$1:$B$31,2,FALSE()))</f>
        <v/>
      </c>
      <c r="L72" s="443"/>
      <c r="M72" s="443"/>
      <c r="N72" s="102" t="str">
        <f t="shared" si="22"/>
        <v/>
      </c>
      <c r="O72" s="245"/>
      <c r="P72" s="244"/>
      <c r="Q72" s="246"/>
      <c r="R72" s="279"/>
      <c r="S72" s="269"/>
      <c r="T72" s="443" t="str">
        <f>IF(S72="","",VLOOKUP(S72,案件コード!$A$1:$B$31,2,FALSE()))</f>
        <v/>
      </c>
      <c r="U72" s="443"/>
      <c r="V72" s="443"/>
      <c r="W72" s="102" t="str">
        <f t="shared" si="23"/>
        <v/>
      </c>
      <c r="X72" s="245"/>
      <c r="Y72" s="244"/>
      <c r="Z72" s="246"/>
      <c r="AA72" s="279"/>
      <c r="AB72" s="269"/>
      <c r="AC72" s="443" t="str">
        <f>IF(AB72="","",VLOOKUP(AB72,案件コード!$A$1:$B$31,2,FALSE()))</f>
        <v/>
      </c>
      <c r="AD72" s="443"/>
      <c r="AE72" s="443"/>
      <c r="AF72" s="102" t="str">
        <f t="shared" si="24"/>
        <v/>
      </c>
      <c r="AG72" s="245"/>
      <c r="AH72" s="244"/>
      <c r="AI72" s="246"/>
      <c r="AJ72" s="279"/>
      <c r="AK72" s="269"/>
      <c r="AL72" s="443" t="str">
        <f>IF(AK72="","",VLOOKUP(AK72,案件コード!$A$1:$B$31,2,FALSE()))</f>
        <v/>
      </c>
      <c r="AM72" s="443"/>
      <c r="AN72" s="443"/>
      <c r="AO72" s="102" t="str">
        <f t="shared" si="25"/>
        <v/>
      </c>
      <c r="AP72" s="245"/>
      <c r="AQ72" s="244"/>
      <c r="AR72" s="246"/>
      <c r="AS72" s="279"/>
      <c r="AT72" s="269"/>
      <c r="AU72" s="443" t="str">
        <f>IF(AT72="","",VLOOKUP(AT72,案件コード!$A$1:$B$31,2,FALSE()))</f>
        <v/>
      </c>
      <c r="AV72" s="443"/>
      <c r="AW72" s="443"/>
      <c r="AX72" s="102" t="str">
        <f t="shared" si="26"/>
        <v/>
      </c>
      <c r="AY72" s="245"/>
      <c r="AZ72" s="244"/>
      <c r="BA72" s="246"/>
      <c r="BB72" s="279"/>
      <c r="BC72" s="269"/>
      <c r="BD72" s="443" t="str">
        <f>IF(BC72="","",VLOOKUP(BC72,案件コード!$A$1:$B$31,2,FALSE()))</f>
        <v/>
      </c>
      <c r="BE72" s="443"/>
      <c r="BF72" s="443"/>
      <c r="BG72" s="102" t="str">
        <f t="shared" si="27"/>
        <v/>
      </c>
      <c r="BH72" s="245"/>
      <c r="BI72" s="244"/>
      <c r="BJ72" s="246"/>
      <c r="BK72" s="279"/>
    </row>
    <row r="73" spans="1:63">
      <c r="A73" s="269"/>
      <c r="B73" s="443" t="str">
        <f>IF(A73="","",VLOOKUP(A73,案件コード!$A$1:$B$31,2,FALSE()))</f>
        <v/>
      </c>
      <c r="C73" s="443"/>
      <c r="D73" s="443"/>
      <c r="E73" s="102" t="str">
        <f t="shared" si="21"/>
        <v/>
      </c>
      <c r="F73" s="245"/>
      <c r="G73" s="244"/>
      <c r="H73" s="246"/>
      <c r="I73" s="279"/>
      <c r="J73" s="269"/>
      <c r="K73" s="443" t="str">
        <f>IF(J73="","",VLOOKUP(J73,案件コード!$A$1:$B$31,2,FALSE()))</f>
        <v/>
      </c>
      <c r="L73" s="443"/>
      <c r="M73" s="443"/>
      <c r="N73" s="102" t="str">
        <f t="shared" si="22"/>
        <v/>
      </c>
      <c r="O73" s="245"/>
      <c r="P73" s="244"/>
      <c r="Q73" s="246"/>
      <c r="R73" s="279"/>
      <c r="S73" s="269"/>
      <c r="T73" s="443" t="str">
        <f>IF(S73="","",VLOOKUP(S73,案件コード!$A$1:$B$31,2,FALSE()))</f>
        <v/>
      </c>
      <c r="U73" s="443"/>
      <c r="V73" s="443"/>
      <c r="W73" s="102" t="str">
        <f t="shared" si="23"/>
        <v/>
      </c>
      <c r="X73" s="245"/>
      <c r="Y73" s="244"/>
      <c r="Z73" s="246"/>
      <c r="AA73" s="279"/>
      <c r="AB73" s="269"/>
      <c r="AC73" s="443" t="str">
        <f>IF(AB73="","",VLOOKUP(AB73,案件コード!$A$1:$B$31,2,FALSE()))</f>
        <v/>
      </c>
      <c r="AD73" s="443"/>
      <c r="AE73" s="443"/>
      <c r="AF73" s="102" t="str">
        <f t="shared" si="24"/>
        <v/>
      </c>
      <c r="AG73" s="245"/>
      <c r="AH73" s="244"/>
      <c r="AI73" s="246"/>
      <c r="AJ73" s="279"/>
      <c r="AK73" s="269"/>
      <c r="AL73" s="443" t="str">
        <f>IF(AK73="","",VLOOKUP(AK73,案件コード!$A$1:$B$31,2,FALSE()))</f>
        <v/>
      </c>
      <c r="AM73" s="443"/>
      <c r="AN73" s="443"/>
      <c r="AO73" s="102" t="str">
        <f t="shared" si="25"/>
        <v/>
      </c>
      <c r="AP73" s="245"/>
      <c r="AQ73" s="244"/>
      <c r="AR73" s="246"/>
      <c r="AS73" s="279"/>
      <c r="AT73" s="269"/>
      <c r="AU73" s="443" t="str">
        <f>IF(AT73="","",VLOOKUP(AT73,案件コード!$A$1:$B$31,2,FALSE()))</f>
        <v/>
      </c>
      <c r="AV73" s="443"/>
      <c r="AW73" s="443"/>
      <c r="AX73" s="102" t="str">
        <f t="shared" si="26"/>
        <v/>
      </c>
      <c r="AY73" s="245"/>
      <c r="AZ73" s="244"/>
      <c r="BA73" s="246"/>
      <c r="BB73" s="279"/>
      <c r="BC73" s="269"/>
      <c r="BD73" s="443" t="str">
        <f>IF(BC73="","",VLOOKUP(BC73,案件コード!$A$1:$B$31,2,FALSE()))</f>
        <v/>
      </c>
      <c r="BE73" s="443"/>
      <c r="BF73" s="443"/>
      <c r="BG73" s="102" t="str">
        <f t="shared" si="27"/>
        <v/>
      </c>
      <c r="BH73" s="245"/>
      <c r="BI73" s="244"/>
      <c r="BJ73" s="246"/>
      <c r="BK73" s="279"/>
    </row>
    <row r="74" spans="1:63">
      <c r="A74" s="269"/>
      <c r="B74" s="443" t="str">
        <f>IF(A74="","",VLOOKUP(A74,案件コード!$A$1:$B$31,2,FALSE()))</f>
        <v/>
      </c>
      <c r="C74" s="443"/>
      <c r="D74" s="443"/>
      <c r="E74" s="102" t="str">
        <f t="shared" si="21"/>
        <v/>
      </c>
      <c r="F74" s="245"/>
      <c r="G74" s="244"/>
      <c r="H74" s="246"/>
      <c r="I74" s="279"/>
      <c r="J74" s="269"/>
      <c r="K74" s="443" t="str">
        <f>IF(J74="","",VLOOKUP(J74,案件コード!$A$1:$B$31,2,FALSE()))</f>
        <v/>
      </c>
      <c r="L74" s="443"/>
      <c r="M74" s="443"/>
      <c r="N74" s="102" t="str">
        <f t="shared" si="22"/>
        <v/>
      </c>
      <c r="O74" s="245"/>
      <c r="P74" s="244"/>
      <c r="Q74" s="246"/>
      <c r="R74" s="279"/>
      <c r="S74" s="269"/>
      <c r="T74" s="443" t="str">
        <f>IF(S74="","",VLOOKUP(S74,案件コード!$A$1:$B$31,2,FALSE()))</f>
        <v/>
      </c>
      <c r="U74" s="443"/>
      <c r="V74" s="443"/>
      <c r="W74" s="102" t="str">
        <f t="shared" si="23"/>
        <v/>
      </c>
      <c r="X74" s="245"/>
      <c r="Y74" s="244"/>
      <c r="Z74" s="246"/>
      <c r="AA74" s="279"/>
      <c r="AB74" s="269"/>
      <c r="AC74" s="443" t="str">
        <f>IF(AB74="","",VLOOKUP(AB74,案件コード!$A$1:$B$31,2,FALSE()))</f>
        <v/>
      </c>
      <c r="AD74" s="443"/>
      <c r="AE74" s="443"/>
      <c r="AF74" s="102" t="str">
        <f t="shared" si="24"/>
        <v/>
      </c>
      <c r="AG74" s="245"/>
      <c r="AH74" s="244"/>
      <c r="AI74" s="246"/>
      <c r="AJ74" s="279"/>
      <c r="AK74" s="269"/>
      <c r="AL74" s="443" t="str">
        <f>IF(AK74="","",VLOOKUP(AK74,案件コード!$A$1:$B$31,2,FALSE()))</f>
        <v/>
      </c>
      <c r="AM74" s="443"/>
      <c r="AN74" s="443"/>
      <c r="AO74" s="102" t="str">
        <f t="shared" si="25"/>
        <v/>
      </c>
      <c r="AP74" s="245"/>
      <c r="AQ74" s="244"/>
      <c r="AR74" s="246"/>
      <c r="AS74" s="279"/>
      <c r="AT74" s="269"/>
      <c r="AU74" s="443" t="str">
        <f>IF(AT74="","",VLOOKUP(AT74,案件コード!$A$1:$B$31,2,FALSE()))</f>
        <v/>
      </c>
      <c r="AV74" s="443"/>
      <c r="AW74" s="443"/>
      <c r="AX74" s="102" t="str">
        <f t="shared" si="26"/>
        <v/>
      </c>
      <c r="AY74" s="245"/>
      <c r="AZ74" s="244"/>
      <c r="BA74" s="246"/>
      <c r="BB74" s="279"/>
      <c r="BC74" s="269"/>
      <c r="BD74" s="443" t="str">
        <f>IF(BC74="","",VLOOKUP(BC74,案件コード!$A$1:$B$31,2,FALSE()))</f>
        <v/>
      </c>
      <c r="BE74" s="443"/>
      <c r="BF74" s="443"/>
      <c r="BG74" s="102" t="str">
        <f t="shared" si="27"/>
        <v/>
      </c>
      <c r="BH74" s="245"/>
      <c r="BI74" s="244"/>
      <c r="BJ74" s="246"/>
      <c r="BK74" s="279"/>
    </row>
    <row r="75" spans="1:63">
      <c r="A75" s="269"/>
      <c r="B75" s="443" t="str">
        <f>IF(A75="","",VLOOKUP(A75,案件コード!$A$1:$B$31,2,FALSE()))</f>
        <v/>
      </c>
      <c r="C75" s="443"/>
      <c r="D75" s="443"/>
      <c r="E75" s="102" t="str">
        <f t="shared" si="21"/>
        <v/>
      </c>
      <c r="F75" s="245"/>
      <c r="G75" s="244"/>
      <c r="H75" s="246"/>
      <c r="I75" s="279"/>
      <c r="J75" s="269"/>
      <c r="K75" s="443" t="str">
        <f>IF(J75="","",VLOOKUP(J75,案件コード!$A$1:$B$31,2,FALSE()))</f>
        <v/>
      </c>
      <c r="L75" s="443"/>
      <c r="M75" s="443"/>
      <c r="N75" s="102" t="str">
        <f t="shared" si="22"/>
        <v/>
      </c>
      <c r="O75" s="245"/>
      <c r="P75" s="244"/>
      <c r="Q75" s="246"/>
      <c r="R75" s="279"/>
      <c r="S75" s="269"/>
      <c r="T75" s="443" t="str">
        <f>IF(S75="","",VLOOKUP(S75,案件コード!$A$1:$B$31,2,FALSE()))</f>
        <v/>
      </c>
      <c r="U75" s="443"/>
      <c r="V75" s="443"/>
      <c r="W75" s="102" t="str">
        <f t="shared" si="23"/>
        <v/>
      </c>
      <c r="X75" s="245"/>
      <c r="Y75" s="244"/>
      <c r="Z75" s="246"/>
      <c r="AA75" s="279"/>
      <c r="AB75" s="269"/>
      <c r="AC75" s="443" t="str">
        <f>IF(AB75="","",VLOOKUP(AB75,案件コード!$A$1:$B$31,2,FALSE()))</f>
        <v/>
      </c>
      <c r="AD75" s="443"/>
      <c r="AE75" s="443"/>
      <c r="AF75" s="102" t="str">
        <f t="shared" si="24"/>
        <v/>
      </c>
      <c r="AG75" s="245"/>
      <c r="AH75" s="244"/>
      <c r="AI75" s="246"/>
      <c r="AJ75" s="279"/>
      <c r="AK75" s="269"/>
      <c r="AL75" s="443" t="str">
        <f>IF(AK75="","",VLOOKUP(AK75,案件コード!$A$1:$B$31,2,FALSE()))</f>
        <v/>
      </c>
      <c r="AM75" s="443"/>
      <c r="AN75" s="443"/>
      <c r="AO75" s="102" t="str">
        <f t="shared" si="25"/>
        <v/>
      </c>
      <c r="AP75" s="245"/>
      <c r="AQ75" s="244"/>
      <c r="AR75" s="246"/>
      <c r="AS75" s="279"/>
      <c r="AT75" s="269"/>
      <c r="AU75" s="443" t="str">
        <f>IF(AT75="","",VLOOKUP(AT75,案件コード!$A$1:$B$31,2,FALSE()))</f>
        <v/>
      </c>
      <c r="AV75" s="443"/>
      <c r="AW75" s="443"/>
      <c r="AX75" s="102" t="str">
        <f t="shared" si="26"/>
        <v/>
      </c>
      <c r="AY75" s="245"/>
      <c r="AZ75" s="244"/>
      <c r="BA75" s="246"/>
      <c r="BB75" s="279"/>
      <c r="BC75" s="269"/>
      <c r="BD75" s="443" t="str">
        <f>IF(BC75="","",VLOOKUP(BC75,案件コード!$A$1:$B$31,2,FALSE()))</f>
        <v/>
      </c>
      <c r="BE75" s="443"/>
      <c r="BF75" s="443"/>
      <c r="BG75" s="102" t="str">
        <f t="shared" si="27"/>
        <v/>
      </c>
      <c r="BH75" s="245"/>
      <c r="BI75" s="244"/>
      <c r="BJ75" s="246"/>
      <c r="BK75" s="279"/>
    </row>
    <row r="76" spans="1:63">
      <c r="A76" s="269"/>
      <c r="B76" s="443" t="str">
        <f>IF(A76="","",VLOOKUP(A76,案件コード!$A$1:$B$31,2,FALSE()))</f>
        <v/>
      </c>
      <c r="C76" s="443"/>
      <c r="D76" s="443"/>
      <c r="E76" s="102" t="str">
        <f t="shared" si="21"/>
        <v/>
      </c>
      <c r="F76" s="245"/>
      <c r="G76" s="244"/>
      <c r="H76" s="246"/>
      <c r="I76" s="279"/>
      <c r="J76" s="269"/>
      <c r="K76" s="443" t="str">
        <f>IF(J76="","",VLOOKUP(J76,案件コード!$A$1:$B$31,2,FALSE()))</f>
        <v/>
      </c>
      <c r="L76" s="443"/>
      <c r="M76" s="443"/>
      <c r="N76" s="102" t="str">
        <f t="shared" si="22"/>
        <v/>
      </c>
      <c r="O76" s="245"/>
      <c r="P76" s="244"/>
      <c r="Q76" s="246"/>
      <c r="R76" s="279"/>
      <c r="S76" s="269"/>
      <c r="T76" s="443" t="str">
        <f>IF(S76="","",VLOOKUP(S76,案件コード!$A$1:$B$31,2,FALSE()))</f>
        <v/>
      </c>
      <c r="U76" s="443"/>
      <c r="V76" s="443"/>
      <c r="W76" s="102" t="str">
        <f t="shared" si="23"/>
        <v/>
      </c>
      <c r="X76" s="245"/>
      <c r="Y76" s="244"/>
      <c r="Z76" s="246"/>
      <c r="AA76" s="279"/>
      <c r="AB76" s="269"/>
      <c r="AC76" s="443" t="str">
        <f>IF(AB76="","",VLOOKUP(AB76,案件コード!$A$1:$B$31,2,FALSE()))</f>
        <v/>
      </c>
      <c r="AD76" s="443"/>
      <c r="AE76" s="443"/>
      <c r="AF76" s="102" t="str">
        <f t="shared" si="24"/>
        <v/>
      </c>
      <c r="AG76" s="245"/>
      <c r="AH76" s="244"/>
      <c r="AI76" s="246"/>
      <c r="AJ76" s="279"/>
      <c r="AK76" s="269"/>
      <c r="AL76" s="443" t="str">
        <f>IF(AK76="","",VLOOKUP(AK76,案件コード!$A$1:$B$31,2,FALSE()))</f>
        <v/>
      </c>
      <c r="AM76" s="443"/>
      <c r="AN76" s="443"/>
      <c r="AO76" s="102" t="str">
        <f t="shared" si="25"/>
        <v/>
      </c>
      <c r="AP76" s="245"/>
      <c r="AQ76" s="244"/>
      <c r="AR76" s="246"/>
      <c r="AS76" s="279"/>
      <c r="AT76" s="269"/>
      <c r="AU76" s="443" t="str">
        <f>IF(AT76="","",VLOOKUP(AT76,案件コード!$A$1:$B$31,2,FALSE()))</f>
        <v/>
      </c>
      <c r="AV76" s="443"/>
      <c r="AW76" s="443"/>
      <c r="AX76" s="102" t="str">
        <f t="shared" si="26"/>
        <v/>
      </c>
      <c r="AY76" s="245"/>
      <c r="AZ76" s="244"/>
      <c r="BA76" s="246"/>
      <c r="BB76" s="279"/>
      <c r="BC76" s="269"/>
      <c r="BD76" s="443" t="str">
        <f>IF(BC76="","",VLOOKUP(BC76,案件コード!$A$1:$B$31,2,FALSE()))</f>
        <v/>
      </c>
      <c r="BE76" s="443"/>
      <c r="BF76" s="443"/>
      <c r="BG76" s="102" t="str">
        <f t="shared" si="27"/>
        <v/>
      </c>
      <c r="BH76" s="245"/>
      <c r="BI76" s="244"/>
      <c r="BJ76" s="246"/>
      <c r="BK76" s="279"/>
    </row>
    <row r="77" spans="1:63">
      <c r="A77" s="269"/>
      <c r="B77" s="443" t="str">
        <f>IF(A77="","",VLOOKUP(A77,案件コード!$A$1:$B$31,2,FALSE()))</f>
        <v/>
      </c>
      <c r="C77" s="443"/>
      <c r="D77" s="443"/>
      <c r="E77" s="102" t="str">
        <f t="shared" si="21"/>
        <v/>
      </c>
      <c r="F77" s="245"/>
      <c r="G77" s="244"/>
      <c r="H77" s="246"/>
      <c r="I77" s="279"/>
      <c r="J77" s="269"/>
      <c r="K77" s="443" t="str">
        <f>IF(J77="","",VLOOKUP(J77,案件コード!$A$1:$B$31,2,FALSE()))</f>
        <v/>
      </c>
      <c r="L77" s="443"/>
      <c r="M77" s="443"/>
      <c r="N77" s="102" t="str">
        <f t="shared" si="22"/>
        <v/>
      </c>
      <c r="O77" s="245"/>
      <c r="P77" s="244"/>
      <c r="Q77" s="246"/>
      <c r="R77" s="279"/>
      <c r="S77" s="269"/>
      <c r="T77" s="443" t="str">
        <f>IF(S77="","",VLOOKUP(S77,案件コード!$A$1:$B$31,2,FALSE()))</f>
        <v/>
      </c>
      <c r="U77" s="443"/>
      <c r="V77" s="443"/>
      <c r="W77" s="102" t="str">
        <f t="shared" si="23"/>
        <v/>
      </c>
      <c r="X77" s="245"/>
      <c r="Y77" s="244"/>
      <c r="Z77" s="246"/>
      <c r="AA77" s="279"/>
      <c r="AB77" s="269"/>
      <c r="AC77" s="443" t="str">
        <f>IF(AB77="","",VLOOKUP(AB77,案件コード!$A$1:$B$31,2,FALSE()))</f>
        <v/>
      </c>
      <c r="AD77" s="443"/>
      <c r="AE77" s="443"/>
      <c r="AF77" s="102" t="str">
        <f t="shared" si="24"/>
        <v/>
      </c>
      <c r="AG77" s="245"/>
      <c r="AH77" s="244"/>
      <c r="AI77" s="246"/>
      <c r="AJ77" s="279"/>
      <c r="AK77" s="269"/>
      <c r="AL77" s="443" t="str">
        <f>IF(AK77="","",VLOOKUP(AK77,案件コード!$A$1:$B$31,2,FALSE()))</f>
        <v/>
      </c>
      <c r="AM77" s="443"/>
      <c r="AN77" s="443"/>
      <c r="AO77" s="102" t="str">
        <f t="shared" si="25"/>
        <v/>
      </c>
      <c r="AP77" s="245"/>
      <c r="AQ77" s="244"/>
      <c r="AR77" s="246"/>
      <c r="AS77" s="279"/>
      <c r="AT77" s="269"/>
      <c r="AU77" s="443" t="str">
        <f>IF(AT77="","",VLOOKUP(AT77,案件コード!$A$1:$B$31,2,FALSE()))</f>
        <v/>
      </c>
      <c r="AV77" s="443"/>
      <c r="AW77" s="443"/>
      <c r="AX77" s="102" t="str">
        <f t="shared" si="26"/>
        <v/>
      </c>
      <c r="AY77" s="245"/>
      <c r="AZ77" s="244"/>
      <c r="BA77" s="246"/>
      <c r="BB77" s="279"/>
      <c r="BC77" s="269"/>
      <c r="BD77" s="443" t="str">
        <f>IF(BC77="","",VLOOKUP(BC77,案件コード!$A$1:$B$31,2,FALSE()))</f>
        <v/>
      </c>
      <c r="BE77" s="443"/>
      <c r="BF77" s="443"/>
      <c r="BG77" s="102" t="str">
        <f t="shared" si="27"/>
        <v/>
      </c>
      <c r="BH77" s="245"/>
      <c r="BI77" s="244"/>
      <c r="BJ77" s="246"/>
      <c r="BK77" s="279"/>
    </row>
    <row r="78" spans="1:63">
      <c r="A78" s="269"/>
      <c r="B78" s="443" t="str">
        <f>IF(A78="","",VLOOKUP(A78,案件コード!$A$1:$B$31,2,FALSE()))</f>
        <v/>
      </c>
      <c r="C78" s="443"/>
      <c r="D78" s="443"/>
      <c r="E78" s="102" t="str">
        <f t="shared" si="21"/>
        <v/>
      </c>
      <c r="F78" s="245"/>
      <c r="G78" s="244"/>
      <c r="H78" s="246"/>
      <c r="I78" s="279"/>
      <c r="J78" s="269"/>
      <c r="K78" s="443" t="str">
        <f>IF(J78="","",VLOOKUP(J78,案件コード!$A$1:$B$31,2,FALSE()))</f>
        <v/>
      </c>
      <c r="L78" s="443"/>
      <c r="M78" s="443"/>
      <c r="N78" s="102" t="str">
        <f t="shared" si="22"/>
        <v/>
      </c>
      <c r="O78" s="245"/>
      <c r="P78" s="244"/>
      <c r="Q78" s="246"/>
      <c r="R78" s="279"/>
      <c r="S78" s="269"/>
      <c r="T78" s="443" t="str">
        <f>IF(S78="","",VLOOKUP(S78,案件コード!$A$1:$B$31,2,FALSE()))</f>
        <v/>
      </c>
      <c r="U78" s="443"/>
      <c r="V78" s="443"/>
      <c r="W78" s="102" t="str">
        <f t="shared" si="23"/>
        <v/>
      </c>
      <c r="X78" s="245"/>
      <c r="Y78" s="244"/>
      <c r="Z78" s="246"/>
      <c r="AA78" s="279"/>
      <c r="AB78" s="269"/>
      <c r="AC78" s="443" t="str">
        <f>IF(AB78="","",VLOOKUP(AB78,案件コード!$A$1:$B$31,2,FALSE()))</f>
        <v/>
      </c>
      <c r="AD78" s="443"/>
      <c r="AE78" s="443"/>
      <c r="AF78" s="102" t="str">
        <f t="shared" si="24"/>
        <v/>
      </c>
      <c r="AG78" s="245"/>
      <c r="AH78" s="244"/>
      <c r="AI78" s="246"/>
      <c r="AJ78" s="279"/>
      <c r="AK78" s="269"/>
      <c r="AL78" s="443" t="str">
        <f>IF(AK78="","",VLOOKUP(AK78,案件コード!$A$1:$B$31,2,FALSE()))</f>
        <v/>
      </c>
      <c r="AM78" s="443"/>
      <c r="AN78" s="443"/>
      <c r="AO78" s="102" t="str">
        <f t="shared" si="25"/>
        <v/>
      </c>
      <c r="AP78" s="245"/>
      <c r="AQ78" s="244"/>
      <c r="AR78" s="246"/>
      <c r="AS78" s="279"/>
      <c r="AT78" s="269"/>
      <c r="AU78" s="443" t="str">
        <f>IF(AT78="","",VLOOKUP(AT78,案件コード!$A$1:$B$31,2,FALSE()))</f>
        <v/>
      </c>
      <c r="AV78" s="443"/>
      <c r="AW78" s="443"/>
      <c r="AX78" s="102" t="str">
        <f t="shared" si="26"/>
        <v/>
      </c>
      <c r="AY78" s="245"/>
      <c r="AZ78" s="244"/>
      <c r="BA78" s="246"/>
      <c r="BB78" s="279"/>
      <c r="BC78" s="269"/>
      <c r="BD78" s="443" t="str">
        <f>IF(BC78="","",VLOOKUP(BC78,案件コード!$A$1:$B$31,2,FALSE()))</f>
        <v/>
      </c>
      <c r="BE78" s="443"/>
      <c r="BF78" s="443"/>
      <c r="BG78" s="102" t="str">
        <f t="shared" si="27"/>
        <v/>
      </c>
      <c r="BH78" s="245"/>
      <c r="BI78" s="244"/>
      <c r="BJ78" s="246"/>
      <c r="BK78" s="279"/>
    </row>
    <row r="79" spans="1:63">
      <c r="A79" s="269"/>
      <c r="B79" s="443" t="str">
        <f>IF(A79="","",VLOOKUP(A79,案件コード!$A$1:$B$31,2,FALSE()))</f>
        <v/>
      </c>
      <c r="C79" s="443"/>
      <c r="D79" s="443"/>
      <c r="E79" s="102" t="str">
        <f t="shared" si="21"/>
        <v/>
      </c>
      <c r="F79" s="245"/>
      <c r="G79" s="244"/>
      <c r="H79" s="246"/>
      <c r="I79" s="279"/>
      <c r="J79" s="269"/>
      <c r="K79" s="443" t="str">
        <f>IF(J79="","",VLOOKUP(J79,案件コード!$A$1:$B$31,2,FALSE()))</f>
        <v/>
      </c>
      <c r="L79" s="443"/>
      <c r="M79" s="443"/>
      <c r="N79" s="102" t="str">
        <f t="shared" si="22"/>
        <v/>
      </c>
      <c r="O79" s="245"/>
      <c r="P79" s="244"/>
      <c r="Q79" s="246"/>
      <c r="R79" s="279"/>
      <c r="S79" s="269"/>
      <c r="T79" s="443" t="str">
        <f>IF(S79="","",VLOOKUP(S79,案件コード!$A$1:$B$31,2,FALSE()))</f>
        <v/>
      </c>
      <c r="U79" s="443"/>
      <c r="V79" s="443"/>
      <c r="W79" s="102" t="str">
        <f t="shared" si="23"/>
        <v/>
      </c>
      <c r="X79" s="245"/>
      <c r="Y79" s="244"/>
      <c r="Z79" s="246"/>
      <c r="AA79" s="279"/>
      <c r="AB79" s="269"/>
      <c r="AC79" s="443" t="str">
        <f>IF(AB79="","",VLOOKUP(AB79,案件コード!$A$1:$B$31,2,FALSE()))</f>
        <v/>
      </c>
      <c r="AD79" s="443"/>
      <c r="AE79" s="443"/>
      <c r="AF79" s="102" t="str">
        <f t="shared" si="24"/>
        <v/>
      </c>
      <c r="AG79" s="245"/>
      <c r="AH79" s="244"/>
      <c r="AI79" s="246"/>
      <c r="AJ79" s="279"/>
      <c r="AK79" s="269"/>
      <c r="AL79" s="443" t="str">
        <f>IF(AK79="","",VLOOKUP(AK79,案件コード!$A$1:$B$31,2,FALSE()))</f>
        <v/>
      </c>
      <c r="AM79" s="443"/>
      <c r="AN79" s="443"/>
      <c r="AO79" s="102" t="str">
        <f t="shared" si="25"/>
        <v/>
      </c>
      <c r="AP79" s="245"/>
      <c r="AQ79" s="244"/>
      <c r="AR79" s="246"/>
      <c r="AS79" s="279"/>
      <c r="AT79" s="269"/>
      <c r="AU79" s="443" t="str">
        <f>IF(AT79="","",VLOOKUP(AT79,案件コード!$A$1:$B$31,2,FALSE()))</f>
        <v/>
      </c>
      <c r="AV79" s="443"/>
      <c r="AW79" s="443"/>
      <c r="AX79" s="102" t="str">
        <f t="shared" si="26"/>
        <v/>
      </c>
      <c r="AY79" s="245"/>
      <c r="AZ79" s="244"/>
      <c r="BA79" s="246"/>
      <c r="BB79" s="279"/>
      <c r="BC79" s="269"/>
      <c r="BD79" s="443" t="str">
        <f>IF(BC79="","",VLOOKUP(BC79,案件コード!$A$1:$B$31,2,FALSE()))</f>
        <v/>
      </c>
      <c r="BE79" s="443"/>
      <c r="BF79" s="443"/>
      <c r="BG79" s="102" t="str">
        <f t="shared" si="27"/>
        <v/>
      </c>
      <c r="BH79" s="245"/>
      <c r="BI79" s="244"/>
      <c r="BJ79" s="246"/>
      <c r="BK79" s="279"/>
    </row>
    <row r="80" spans="1:63">
      <c r="A80" s="269"/>
      <c r="B80" s="443" t="str">
        <f>IF(A80="","",VLOOKUP(A80,案件コード!$A$1:$B$31,2,FALSE()))</f>
        <v/>
      </c>
      <c r="C80" s="443"/>
      <c r="D80" s="443"/>
      <c r="E80" s="102" t="str">
        <f t="shared" si="21"/>
        <v/>
      </c>
      <c r="F80" s="245"/>
      <c r="G80" s="244"/>
      <c r="H80" s="246"/>
      <c r="I80" s="279"/>
      <c r="J80" s="269"/>
      <c r="K80" s="443" t="str">
        <f>IF(J80="","",VLOOKUP(J80,案件コード!$A$1:$B$31,2,FALSE()))</f>
        <v/>
      </c>
      <c r="L80" s="443"/>
      <c r="M80" s="443"/>
      <c r="N80" s="102" t="str">
        <f t="shared" si="22"/>
        <v/>
      </c>
      <c r="O80" s="245"/>
      <c r="P80" s="244"/>
      <c r="Q80" s="246"/>
      <c r="R80" s="279"/>
      <c r="S80" s="269"/>
      <c r="T80" s="443" t="str">
        <f>IF(S80="","",VLOOKUP(S80,案件コード!$A$1:$B$31,2,FALSE()))</f>
        <v/>
      </c>
      <c r="U80" s="443"/>
      <c r="V80" s="443"/>
      <c r="W80" s="102" t="str">
        <f t="shared" si="23"/>
        <v/>
      </c>
      <c r="X80" s="245"/>
      <c r="Y80" s="244"/>
      <c r="Z80" s="246"/>
      <c r="AA80" s="279"/>
      <c r="AB80" s="269"/>
      <c r="AC80" s="443" t="str">
        <f>IF(AB80="","",VLOOKUP(AB80,案件コード!$A$1:$B$31,2,FALSE()))</f>
        <v/>
      </c>
      <c r="AD80" s="443"/>
      <c r="AE80" s="443"/>
      <c r="AF80" s="102" t="str">
        <f t="shared" si="24"/>
        <v/>
      </c>
      <c r="AG80" s="245"/>
      <c r="AH80" s="244"/>
      <c r="AI80" s="246"/>
      <c r="AJ80" s="279"/>
      <c r="AK80" s="269"/>
      <c r="AL80" s="443" t="str">
        <f>IF(AK80="","",VLOOKUP(AK80,案件コード!$A$1:$B$31,2,FALSE()))</f>
        <v/>
      </c>
      <c r="AM80" s="443"/>
      <c r="AN80" s="443"/>
      <c r="AO80" s="102" t="str">
        <f t="shared" si="25"/>
        <v/>
      </c>
      <c r="AP80" s="245"/>
      <c r="AQ80" s="244"/>
      <c r="AR80" s="246"/>
      <c r="AS80" s="279"/>
      <c r="AT80" s="269"/>
      <c r="AU80" s="443" t="str">
        <f>IF(AT80="","",VLOOKUP(AT80,案件コード!$A$1:$B$31,2,FALSE()))</f>
        <v/>
      </c>
      <c r="AV80" s="443"/>
      <c r="AW80" s="443"/>
      <c r="AX80" s="102" t="str">
        <f t="shared" si="26"/>
        <v/>
      </c>
      <c r="AY80" s="245"/>
      <c r="AZ80" s="244"/>
      <c r="BA80" s="246"/>
      <c r="BB80" s="279"/>
      <c r="BC80" s="269"/>
      <c r="BD80" s="443" t="str">
        <f>IF(BC80="","",VLOOKUP(BC80,案件コード!$A$1:$B$31,2,FALSE()))</f>
        <v/>
      </c>
      <c r="BE80" s="443"/>
      <c r="BF80" s="443"/>
      <c r="BG80" s="102" t="str">
        <f t="shared" si="27"/>
        <v/>
      </c>
      <c r="BH80" s="245"/>
      <c r="BI80" s="244"/>
      <c r="BJ80" s="246"/>
      <c r="BK80" s="279"/>
    </row>
    <row r="81" spans="1:63">
      <c r="A81" s="269"/>
      <c r="B81" s="443" t="str">
        <f>IF(A81="","",VLOOKUP(A81,案件コード!$A$1:$B$31,2,FALSE()))</f>
        <v/>
      </c>
      <c r="C81" s="443"/>
      <c r="D81" s="443"/>
      <c r="E81" s="102" t="str">
        <f t="shared" si="21"/>
        <v/>
      </c>
      <c r="F81" s="245"/>
      <c r="G81" s="244"/>
      <c r="H81" s="246"/>
      <c r="I81" s="279"/>
      <c r="J81" s="269"/>
      <c r="K81" s="443" t="str">
        <f>IF(J81="","",VLOOKUP(J81,案件コード!$A$1:$B$31,2,FALSE()))</f>
        <v/>
      </c>
      <c r="L81" s="443"/>
      <c r="M81" s="443"/>
      <c r="N81" s="102" t="str">
        <f t="shared" si="22"/>
        <v/>
      </c>
      <c r="O81" s="245"/>
      <c r="P81" s="244"/>
      <c r="Q81" s="246"/>
      <c r="R81" s="279"/>
      <c r="S81" s="269"/>
      <c r="T81" s="443" t="str">
        <f>IF(S81="","",VLOOKUP(S81,案件コード!$A$1:$B$31,2,FALSE()))</f>
        <v/>
      </c>
      <c r="U81" s="443"/>
      <c r="V81" s="443"/>
      <c r="W81" s="102" t="str">
        <f t="shared" si="23"/>
        <v/>
      </c>
      <c r="X81" s="245"/>
      <c r="Y81" s="244"/>
      <c r="Z81" s="246"/>
      <c r="AA81" s="279"/>
      <c r="AB81" s="269"/>
      <c r="AC81" s="443" t="str">
        <f>IF(AB81="","",VLOOKUP(AB81,案件コード!$A$1:$B$31,2,FALSE()))</f>
        <v/>
      </c>
      <c r="AD81" s="443"/>
      <c r="AE81" s="443"/>
      <c r="AF81" s="102" t="str">
        <f t="shared" si="24"/>
        <v/>
      </c>
      <c r="AG81" s="245"/>
      <c r="AH81" s="244"/>
      <c r="AI81" s="246"/>
      <c r="AJ81" s="279"/>
      <c r="AK81" s="269"/>
      <c r="AL81" s="443" t="str">
        <f>IF(AK81="","",VLOOKUP(AK81,案件コード!$A$1:$B$31,2,FALSE()))</f>
        <v/>
      </c>
      <c r="AM81" s="443"/>
      <c r="AN81" s="443"/>
      <c r="AO81" s="102" t="str">
        <f t="shared" si="25"/>
        <v/>
      </c>
      <c r="AP81" s="245"/>
      <c r="AQ81" s="244"/>
      <c r="AR81" s="246"/>
      <c r="AS81" s="279"/>
      <c r="AT81" s="269"/>
      <c r="AU81" s="443" t="str">
        <f>IF(AT81="","",VLOOKUP(AT81,案件コード!$A$1:$B$31,2,FALSE()))</f>
        <v/>
      </c>
      <c r="AV81" s="443"/>
      <c r="AW81" s="443"/>
      <c r="AX81" s="102" t="str">
        <f t="shared" si="26"/>
        <v/>
      </c>
      <c r="AY81" s="245"/>
      <c r="AZ81" s="244"/>
      <c r="BA81" s="246"/>
      <c r="BB81" s="279"/>
      <c r="BC81" s="269"/>
      <c r="BD81" s="443" t="str">
        <f>IF(BC81="","",VLOOKUP(BC81,案件コード!$A$1:$B$31,2,FALSE()))</f>
        <v/>
      </c>
      <c r="BE81" s="443"/>
      <c r="BF81" s="443"/>
      <c r="BG81" s="102" t="str">
        <f t="shared" si="27"/>
        <v/>
      </c>
      <c r="BH81" s="245"/>
      <c r="BI81" s="244"/>
      <c r="BJ81" s="246"/>
      <c r="BK81" s="279"/>
    </row>
    <row r="82" spans="1:63">
      <c r="A82" s="269"/>
      <c r="B82" s="443" t="str">
        <f>IF(A82="","",VLOOKUP(A82,案件コード!$A$1:$B$31,2,FALSE()))</f>
        <v/>
      </c>
      <c r="C82" s="443"/>
      <c r="D82" s="443"/>
      <c r="E82" s="102" t="str">
        <f t="shared" si="21"/>
        <v/>
      </c>
      <c r="F82" s="245"/>
      <c r="G82" s="244"/>
      <c r="H82" s="246"/>
      <c r="I82" s="279"/>
      <c r="J82" s="269"/>
      <c r="K82" s="443" t="str">
        <f>IF(J82="","",VLOOKUP(J82,案件コード!$A$1:$B$31,2,FALSE()))</f>
        <v/>
      </c>
      <c r="L82" s="443"/>
      <c r="M82" s="443"/>
      <c r="N82" s="102" t="str">
        <f t="shared" si="22"/>
        <v/>
      </c>
      <c r="O82" s="245"/>
      <c r="P82" s="244"/>
      <c r="Q82" s="246"/>
      <c r="R82" s="279"/>
      <c r="S82" s="269"/>
      <c r="T82" s="443" t="str">
        <f>IF(S82="","",VLOOKUP(S82,案件コード!$A$1:$B$31,2,FALSE()))</f>
        <v/>
      </c>
      <c r="U82" s="443"/>
      <c r="V82" s="443"/>
      <c r="W82" s="102" t="str">
        <f t="shared" si="23"/>
        <v/>
      </c>
      <c r="X82" s="245"/>
      <c r="Y82" s="244"/>
      <c r="Z82" s="246"/>
      <c r="AA82" s="279"/>
      <c r="AB82" s="269"/>
      <c r="AC82" s="443" t="str">
        <f>IF(AB82="","",VLOOKUP(AB82,案件コード!$A$1:$B$31,2,FALSE()))</f>
        <v/>
      </c>
      <c r="AD82" s="443"/>
      <c r="AE82" s="443"/>
      <c r="AF82" s="102" t="str">
        <f t="shared" si="24"/>
        <v/>
      </c>
      <c r="AG82" s="245"/>
      <c r="AH82" s="244"/>
      <c r="AI82" s="246"/>
      <c r="AJ82" s="279"/>
      <c r="AK82" s="269"/>
      <c r="AL82" s="443" t="str">
        <f>IF(AK82="","",VLOOKUP(AK82,案件コード!$A$1:$B$31,2,FALSE()))</f>
        <v/>
      </c>
      <c r="AM82" s="443"/>
      <c r="AN82" s="443"/>
      <c r="AO82" s="102" t="str">
        <f t="shared" si="25"/>
        <v/>
      </c>
      <c r="AP82" s="245"/>
      <c r="AQ82" s="244"/>
      <c r="AR82" s="246"/>
      <c r="AS82" s="279"/>
      <c r="AT82" s="269"/>
      <c r="AU82" s="443" t="str">
        <f>IF(AT82="","",VLOOKUP(AT82,案件コード!$A$1:$B$31,2,FALSE()))</f>
        <v/>
      </c>
      <c r="AV82" s="443"/>
      <c r="AW82" s="443"/>
      <c r="AX82" s="102" t="str">
        <f t="shared" si="26"/>
        <v/>
      </c>
      <c r="AY82" s="245"/>
      <c r="AZ82" s="244"/>
      <c r="BA82" s="246"/>
      <c r="BB82" s="279"/>
      <c r="BC82" s="269"/>
      <c r="BD82" s="443" t="str">
        <f>IF(BC82="","",VLOOKUP(BC82,案件コード!$A$1:$B$31,2,FALSE()))</f>
        <v/>
      </c>
      <c r="BE82" s="443"/>
      <c r="BF82" s="443"/>
      <c r="BG82" s="102" t="str">
        <f t="shared" si="27"/>
        <v/>
      </c>
      <c r="BH82" s="245"/>
      <c r="BI82" s="244"/>
      <c r="BJ82" s="246"/>
      <c r="BK82" s="279"/>
    </row>
    <row r="83" spans="1:63" ht="18.600000000000001" thickBot="1">
      <c r="A83" s="272"/>
      <c r="B83" s="444" t="str">
        <f>IF(A83="","",VLOOKUP(A83,案件コード!$A$1:$B$31,2,FALSE()))</f>
        <v/>
      </c>
      <c r="C83" s="444"/>
      <c r="D83" s="444"/>
      <c r="E83" s="273" t="str">
        <f t="shared" si="21"/>
        <v/>
      </c>
      <c r="F83" s="274"/>
      <c r="G83" s="275"/>
      <c r="H83" s="276"/>
      <c r="I83" s="280"/>
      <c r="J83" s="272"/>
      <c r="K83" s="444" t="str">
        <f>IF(J83="","",VLOOKUP(J83,案件コード!$A$1:$B$31,2,FALSE()))</f>
        <v/>
      </c>
      <c r="L83" s="444"/>
      <c r="M83" s="444"/>
      <c r="N83" s="273" t="str">
        <f t="shared" si="22"/>
        <v/>
      </c>
      <c r="O83" s="274"/>
      <c r="P83" s="275"/>
      <c r="Q83" s="276"/>
      <c r="R83" s="280"/>
      <c r="S83" s="272"/>
      <c r="T83" s="444" t="str">
        <f>IF(S83="","",VLOOKUP(S83,案件コード!$A$1:$B$31,2,FALSE()))</f>
        <v/>
      </c>
      <c r="U83" s="444"/>
      <c r="V83" s="444"/>
      <c r="W83" s="273" t="str">
        <f t="shared" si="23"/>
        <v/>
      </c>
      <c r="X83" s="274"/>
      <c r="Y83" s="275"/>
      <c r="Z83" s="276"/>
      <c r="AA83" s="280"/>
      <c r="AB83" s="272"/>
      <c r="AC83" s="444" t="str">
        <f>IF(AB83="","",VLOOKUP(AB83,案件コード!$A$1:$B$31,2,FALSE()))</f>
        <v/>
      </c>
      <c r="AD83" s="444"/>
      <c r="AE83" s="444"/>
      <c r="AF83" s="273" t="str">
        <f t="shared" si="24"/>
        <v/>
      </c>
      <c r="AG83" s="274"/>
      <c r="AH83" s="275"/>
      <c r="AI83" s="276"/>
      <c r="AJ83" s="280"/>
      <c r="AK83" s="272"/>
      <c r="AL83" s="444" t="str">
        <f>IF(AK83="","",VLOOKUP(AK83,案件コード!$A$1:$B$31,2,FALSE()))</f>
        <v/>
      </c>
      <c r="AM83" s="444"/>
      <c r="AN83" s="444"/>
      <c r="AO83" s="273" t="str">
        <f t="shared" si="25"/>
        <v/>
      </c>
      <c r="AP83" s="274"/>
      <c r="AQ83" s="275"/>
      <c r="AR83" s="276"/>
      <c r="AS83" s="280"/>
      <c r="AT83" s="272"/>
      <c r="AU83" s="444" t="str">
        <f>IF(AT83="","",VLOOKUP(AT83,案件コード!$A$1:$B$31,2,FALSE()))</f>
        <v/>
      </c>
      <c r="AV83" s="444"/>
      <c r="AW83" s="444"/>
      <c r="AX83" s="273" t="str">
        <f t="shared" si="26"/>
        <v/>
      </c>
      <c r="AY83" s="274"/>
      <c r="AZ83" s="275"/>
      <c r="BA83" s="276"/>
      <c r="BB83" s="280"/>
      <c r="BC83" s="272"/>
      <c r="BD83" s="444" t="str">
        <f>IF(BC83="","",VLOOKUP(BC83,案件コード!$A$1:$B$31,2,FALSE()))</f>
        <v/>
      </c>
      <c r="BE83" s="444"/>
      <c r="BF83" s="444"/>
      <c r="BG83" s="273" t="str">
        <f t="shared" si="27"/>
        <v/>
      </c>
      <c r="BH83" s="274"/>
      <c r="BI83" s="275"/>
      <c r="BJ83" s="276"/>
      <c r="BK83" s="280"/>
    </row>
    <row r="84" spans="1:63" ht="18.600000000000001" thickBot="1">
      <c r="A84" s="334">
        <f>A66</f>
        <v>45952</v>
      </c>
      <c r="B84" s="333" t="s">
        <v>291</v>
      </c>
      <c r="C84" s="456"/>
      <c r="D84" s="457"/>
      <c r="E84" s="457"/>
      <c r="F84" s="457"/>
      <c r="G84" s="458"/>
      <c r="H84" s="412">
        <f>SUM(H69:H83)</f>
        <v>0</v>
      </c>
      <c r="I84" s="91" t="s">
        <v>371</v>
      </c>
      <c r="J84" s="334">
        <f>J66</f>
        <v>45953</v>
      </c>
      <c r="K84" s="333" t="s">
        <v>291</v>
      </c>
      <c r="L84" s="456"/>
      <c r="M84" s="457"/>
      <c r="N84" s="457"/>
      <c r="O84" s="457"/>
      <c r="P84" s="458"/>
      <c r="Q84" s="412">
        <f>SUM(Q69:Q83)</f>
        <v>0</v>
      </c>
      <c r="R84" s="91" t="s">
        <v>371</v>
      </c>
      <c r="S84" s="334">
        <f>S66</f>
        <v>45954</v>
      </c>
      <c r="T84" s="333" t="s">
        <v>291</v>
      </c>
      <c r="U84" s="456"/>
      <c r="V84" s="457"/>
      <c r="W84" s="457"/>
      <c r="X84" s="457"/>
      <c r="Y84" s="458"/>
      <c r="Z84" s="412">
        <f>SUM(Z69:Z83)</f>
        <v>0</v>
      </c>
      <c r="AA84" s="91" t="s">
        <v>371</v>
      </c>
      <c r="AB84" s="334">
        <f>AB66</f>
        <v>45955</v>
      </c>
      <c r="AC84" s="333" t="s">
        <v>291</v>
      </c>
      <c r="AD84" s="456"/>
      <c r="AE84" s="457"/>
      <c r="AF84" s="457"/>
      <c r="AG84" s="457"/>
      <c r="AH84" s="458"/>
      <c r="AI84" s="412">
        <f>SUM(AI69:AI83)</f>
        <v>0</v>
      </c>
      <c r="AJ84" s="91" t="s">
        <v>371</v>
      </c>
      <c r="AK84" s="334">
        <f>AK66</f>
        <v>45956</v>
      </c>
      <c r="AL84" s="333" t="s">
        <v>291</v>
      </c>
      <c r="AM84" s="456"/>
      <c r="AN84" s="457"/>
      <c r="AO84" s="457"/>
      <c r="AP84" s="457"/>
      <c r="AQ84" s="458"/>
      <c r="AR84" s="412">
        <f>SUM(AR69:AR83)</f>
        <v>0</v>
      </c>
      <c r="AS84" s="91" t="s">
        <v>371</v>
      </c>
      <c r="AT84" s="334">
        <f>AT66</f>
        <v>45957</v>
      </c>
      <c r="AU84" s="333" t="s">
        <v>291</v>
      </c>
      <c r="AV84" s="456"/>
      <c r="AW84" s="457"/>
      <c r="AX84" s="457"/>
      <c r="AY84" s="457"/>
      <c r="AZ84" s="458"/>
      <c r="BA84" s="412">
        <f>SUM(BA69:BA83)</f>
        <v>0</v>
      </c>
      <c r="BB84" s="91" t="s">
        <v>371</v>
      </c>
      <c r="BC84" s="334">
        <f>BC66</f>
        <v>45958</v>
      </c>
      <c r="BD84" s="333" t="s">
        <v>291</v>
      </c>
      <c r="BE84" s="456"/>
      <c r="BF84" s="457"/>
      <c r="BG84" s="457"/>
      <c r="BH84" s="457"/>
      <c r="BI84" s="458"/>
      <c r="BJ84" s="412">
        <f>SUM(BJ69:BJ83)</f>
        <v>0</v>
      </c>
      <c r="BK84" s="91" t="s">
        <v>371</v>
      </c>
    </row>
    <row r="85" spans="1:63">
      <c r="A85" s="448" t="s">
        <v>14</v>
      </c>
      <c r="B85" s="449"/>
      <c r="C85" s="450" t="s">
        <v>15</v>
      </c>
      <c r="D85" s="450"/>
      <c r="E85" s="450" t="s">
        <v>16</v>
      </c>
      <c r="F85" s="451"/>
      <c r="G85" s="37"/>
      <c r="H85" s="37"/>
      <c r="I85" s="37"/>
      <c r="J85" s="448" t="s">
        <v>14</v>
      </c>
      <c r="K85" s="449"/>
      <c r="L85" s="450" t="s">
        <v>15</v>
      </c>
      <c r="M85" s="450"/>
      <c r="N85" s="450" t="s">
        <v>16</v>
      </c>
      <c r="O85" s="451"/>
      <c r="P85" s="37"/>
      <c r="Q85" s="37"/>
      <c r="R85" s="37"/>
      <c r="S85" s="448" t="s">
        <v>14</v>
      </c>
      <c r="T85" s="449"/>
      <c r="U85" s="450" t="s">
        <v>15</v>
      </c>
      <c r="V85" s="450"/>
      <c r="W85" s="450" t="s">
        <v>16</v>
      </c>
      <c r="X85" s="451"/>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445">
        <f>IF(DAY(DATE($A$1,$B$1,29))=29,BC66+1,"")</f>
        <v>45959</v>
      </c>
      <c r="B86" s="446"/>
      <c r="C86" s="249"/>
      <c r="D86" s="249"/>
      <c r="E86" s="250" t="str">
        <f>IF(C86="","",D86-C86-H86)</f>
        <v/>
      </c>
      <c r="F86" s="251" t="str">
        <f>IF(AND(E86=""),"",SUM(E89:E103))</f>
        <v/>
      </c>
      <c r="G86" s="103" t="s">
        <v>17</v>
      </c>
      <c r="H86" s="247">
        <v>4.1666666666666699E-2</v>
      </c>
      <c r="I86" s="37"/>
      <c r="J86" s="445">
        <f>IF(DAY(DATE($A$1,$B$1,30))=30,A86+1,"")</f>
        <v>45960</v>
      </c>
      <c r="K86" s="446"/>
      <c r="L86" s="249"/>
      <c r="M86" s="249"/>
      <c r="N86" s="250" t="str">
        <f>IF(L86="","",M86-L86-Q86)</f>
        <v/>
      </c>
      <c r="O86" s="251" t="str">
        <f>IF(AND(N86=""),"",SUM(N89:N103))</f>
        <v/>
      </c>
      <c r="P86" s="103" t="s">
        <v>17</v>
      </c>
      <c r="Q86" s="247">
        <v>4.1666666666666699E-2</v>
      </c>
      <c r="R86" s="37"/>
      <c r="S86" s="445">
        <f>IF(DAY(DATE($A$1,$B$1,31))=31,J86+1,"")</f>
        <v>45961</v>
      </c>
      <c r="T86" s="446"/>
      <c r="U86" s="249"/>
      <c r="V86" s="249"/>
      <c r="W86" s="250" t="str">
        <f>IF(U86="","",V86-U86-Z86)</f>
        <v/>
      </c>
      <c r="X86" s="251" t="str">
        <f>IF(AND(W86=""),"",SUM(W89:W103))</f>
        <v/>
      </c>
      <c r="Y86" s="103" t="s">
        <v>17</v>
      </c>
      <c r="Z86" s="247">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4"/>
      <c r="C87" s="104"/>
      <c r="D87" s="104"/>
      <c r="E87" s="105"/>
      <c r="F87" s="106"/>
      <c r="G87" s="106"/>
      <c r="H87" s="413">
        <f>IF(COUNT(H89:H103)=0,0,COUNT(H89:H103))</f>
        <v>0</v>
      </c>
      <c r="I87" s="411" t="s">
        <v>366</v>
      </c>
      <c r="J87" s="37" t="s">
        <v>36</v>
      </c>
      <c r="K87" s="104"/>
      <c r="L87" s="104"/>
      <c r="M87" s="104"/>
      <c r="N87" s="105"/>
      <c r="O87" s="106"/>
      <c r="P87" s="106"/>
      <c r="Q87" s="413">
        <f>IF(COUNT(Q89:Q103)=0,0,COUNT(Q89:Q103))</f>
        <v>0</v>
      </c>
      <c r="R87" s="411" t="s">
        <v>366</v>
      </c>
      <c r="S87" s="37" t="s">
        <v>36</v>
      </c>
      <c r="T87" s="104"/>
      <c r="U87" s="104"/>
      <c r="V87" s="104"/>
      <c r="W87" s="105"/>
      <c r="X87" s="106"/>
      <c r="Y87" s="106"/>
      <c r="Z87" s="413">
        <f>IF(COUNT(Z89:Z103)=0,0,COUNT(Z89:Z103))</f>
        <v>0</v>
      </c>
      <c r="AA87" s="411" t="s">
        <v>366</v>
      </c>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65" t="s">
        <v>18</v>
      </c>
      <c r="B88" s="447" t="s">
        <v>19</v>
      </c>
      <c r="C88" s="447"/>
      <c r="D88" s="447"/>
      <c r="E88" s="266" t="s">
        <v>20</v>
      </c>
      <c r="F88" s="266" t="s">
        <v>0</v>
      </c>
      <c r="G88" s="266" t="s">
        <v>37</v>
      </c>
      <c r="H88" s="267" t="s">
        <v>21</v>
      </c>
      <c r="I88" s="268" t="s">
        <v>22</v>
      </c>
      <c r="J88" s="265" t="s">
        <v>18</v>
      </c>
      <c r="K88" s="447" t="s">
        <v>19</v>
      </c>
      <c r="L88" s="447"/>
      <c r="M88" s="447"/>
      <c r="N88" s="266" t="s">
        <v>20</v>
      </c>
      <c r="O88" s="266" t="s">
        <v>0</v>
      </c>
      <c r="P88" s="266" t="s">
        <v>37</v>
      </c>
      <c r="Q88" s="267" t="s">
        <v>21</v>
      </c>
      <c r="R88" s="268" t="s">
        <v>22</v>
      </c>
      <c r="S88" s="265" t="s">
        <v>18</v>
      </c>
      <c r="T88" s="447" t="s">
        <v>19</v>
      </c>
      <c r="U88" s="447"/>
      <c r="V88" s="447"/>
      <c r="W88" s="266" t="s">
        <v>20</v>
      </c>
      <c r="X88" s="266" t="s">
        <v>0</v>
      </c>
      <c r="Y88" s="266" t="s">
        <v>37</v>
      </c>
      <c r="Z88" s="267" t="s">
        <v>21</v>
      </c>
      <c r="AA88" s="268"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69"/>
      <c r="B89" s="443" t="str">
        <f>IF(A89="","",VLOOKUP(A89,案件コード!$A$1:$B$31,2,FALSE()))</f>
        <v/>
      </c>
      <c r="C89" s="443"/>
      <c r="D89" s="443"/>
      <c r="E89" s="102" t="str">
        <f t="shared" ref="E89:E103" si="28">IF(AND(F89="",G89=""),"",SUM(F89:G89))</f>
        <v/>
      </c>
      <c r="F89" s="245"/>
      <c r="G89" s="244"/>
      <c r="H89" s="246"/>
      <c r="I89" s="278"/>
      <c r="J89" s="269"/>
      <c r="K89" s="443" t="str">
        <f>IF(J89="","",VLOOKUP(J89,案件コード!$A$1:$B$31,2,FALSE()))</f>
        <v/>
      </c>
      <c r="L89" s="443"/>
      <c r="M89" s="443"/>
      <c r="N89" s="102" t="str">
        <f t="shared" ref="N89:N103" si="29">IF(AND(O89="",P89=""),"",SUM(O89:P89))</f>
        <v/>
      </c>
      <c r="O89" s="245"/>
      <c r="P89" s="244"/>
      <c r="Q89" s="246"/>
      <c r="R89" s="278"/>
      <c r="S89" s="269"/>
      <c r="T89" s="443" t="str">
        <f>IF(S89="","",VLOOKUP(S89,案件コード!$A$1:$B$31,2,FALSE()))</f>
        <v/>
      </c>
      <c r="U89" s="443"/>
      <c r="V89" s="443"/>
      <c r="W89" s="102" t="str">
        <f t="shared" ref="W89:W103" si="30">IF(AND(X89="",Y89=""),"",SUM(X89:Y89))</f>
        <v/>
      </c>
      <c r="X89" s="245"/>
      <c r="Y89" s="244"/>
      <c r="Z89" s="246"/>
      <c r="AA89" s="278"/>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69"/>
      <c r="B90" s="443" t="str">
        <f>IF(A90="","",VLOOKUP(A90,案件コード!$A$1:$B$31,2,FALSE()))</f>
        <v/>
      </c>
      <c r="C90" s="443"/>
      <c r="D90" s="443"/>
      <c r="E90" s="102" t="str">
        <f t="shared" si="28"/>
        <v/>
      </c>
      <c r="F90" s="245"/>
      <c r="G90" s="244"/>
      <c r="H90" s="246"/>
      <c r="I90" s="279"/>
      <c r="J90" s="269"/>
      <c r="K90" s="443" t="str">
        <f>IF(J90="","",VLOOKUP(J90,案件コード!$A$1:$B$31,2,FALSE()))</f>
        <v/>
      </c>
      <c r="L90" s="443"/>
      <c r="M90" s="443"/>
      <c r="N90" s="102" t="str">
        <f t="shared" si="29"/>
        <v/>
      </c>
      <c r="O90" s="245"/>
      <c r="P90" s="244"/>
      <c r="Q90" s="246"/>
      <c r="R90" s="279"/>
      <c r="S90" s="269"/>
      <c r="T90" s="443" t="str">
        <f>IF(S90="","",VLOOKUP(S90,案件コード!$A$1:$B$31,2,FALSE()))</f>
        <v/>
      </c>
      <c r="U90" s="443"/>
      <c r="V90" s="443"/>
      <c r="W90" s="102" t="str">
        <f t="shared" si="30"/>
        <v/>
      </c>
      <c r="X90" s="245"/>
      <c r="Y90" s="244"/>
      <c r="Z90" s="246"/>
      <c r="AA90" s="279"/>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69"/>
      <c r="B91" s="443" t="str">
        <f>IF(A91="","",VLOOKUP(A91,案件コード!$A$1:$B$31,2,FALSE()))</f>
        <v/>
      </c>
      <c r="C91" s="443"/>
      <c r="D91" s="443"/>
      <c r="E91" s="102" t="str">
        <f t="shared" si="28"/>
        <v/>
      </c>
      <c r="F91" s="245"/>
      <c r="G91" s="244"/>
      <c r="H91" s="246"/>
      <c r="I91" s="279"/>
      <c r="J91" s="269"/>
      <c r="K91" s="443" t="str">
        <f>IF(J91="","",VLOOKUP(J91,案件コード!$A$1:$B$31,2,FALSE()))</f>
        <v/>
      </c>
      <c r="L91" s="443"/>
      <c r="M91" s="443"/>
      <c r="N91" s="102" t="str">
        <f t="shared" si="29"/>
        <v/>
      </c>
      <c r="O91" s="245"/>
      <c r="P91" s="244"/>
      <c r="Q91" s="246"/>
      <c r="R91" s="279"/>
      <c r="S91" s="269"/>
      <c r="T91" s="443" t="str">
        <f>IF(S91="","",VLOOKUP(S91,案件コード!$A$1:$B$31,2,FALSE()))</f>
        <v/>
      </c>
      <c r="U91" s="443"/>
      <c r="V91" s="443"/>
      <c r="W91" s="102" t="str">
        <f t="shared" si="30"/>
        <v/>
      </c>
      <c r="X91" s="245"/>
      <c r="Y91" s="244"/>
      <c r="Z91" s="246"/>
      <c r="AA91" s="279"/>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69"/>
      <c r="B92" s="443" t="str">
        <f>IF(A92="","",VLOOKUP(A92,案件コード!$A$1:$B$31,2,FALSE()))</f>
        <v/>
      </c>
      <c r="C92" s="443"/>
      <c r="D92" s="443"/>
      <c r="E92" s="102" t="str">
        <f t="shared" si="28"/>
        <v/>
      </c>
      <c r="F92" s="245"/>
      <c r="G92" s="244"/>
      <c r="H92" s="246"/>
      <c r="I92" s="279"/>
      <c r="J92" s="269"/>
      <c r="K92" s="443" t="str">
        <f>IF(J92="","",VLOOKUP(J92,案件コード!$A$1:$B$31,2,FALSE()))</f>
        <v/>
      </c>
      <c r="L92" s="443"/>
      <c r="M92" s="443"/>
      <c r="N92" s="102" t="str">
        <f t="shared" si="29"/>
        <v/>
      </c>
      <c r="O92" s="245"/>
      <c r="P92" s="244"/>
      <c r="Q92" s="246"/>
      <c r="R92" s="279"/>
      <c r="S92" s="269"/>
      <c r="T92" s="443" t="str">
        <f>IF(S92="","",VLOOKUP(S92,案件コード!$A$1:$B$31,2,FALSE()))</f>
        <v/>
      </c>
      <c r="U92" s="443"/>
      <c r="V92" s="443"/>
      <c r="W92" s="102" t="str">
        <f t="shared" si="30"/>
        <v/>
      </c>
      <c r="X92" s="245"/>
      <c r="Y92" s="244"/>
      <c r="Z92" s="246"/>
      <c r="AA92" s="279"/>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69"/>
      <c r="B93" s="443" t="str">
        <f>IF(A93="","",VLOOKUP(A93,案件コード!$A$1:$B$31,2,FALSE()))</f>
        <v/>
      </c>
      <c r="C93" s="443"/>
      <c r="D93" s="443"/>
      <c r="E93" s="102" t="str">
        <f t="shared" si="28"/>
        <v/>
      </c>
      <c r="F93" s="245"/>
      <c r="G93" s="244"/>
      <c r="H93" s="246"/>
      <c r="I93" s="279"/>
      <c r="J93" s="269"/>
      <c r="K93" s="443" t="str">
        <f>IF(J93="","",VLOOKUP(J93,案件コード!$A$1:$B$31,2,FALSE()))</f>
        <v/>
      </c>
      <c r="L93" s="443"/>
      <c r="M93" s="443"/>
      <c r="N93" s="102" t="str">
        <f t="shared" si="29"/>
        <v/>
      </c>
      <c r="O93" s="245"/>
      <c r="P93" s="244"/>
      <c r="Q93" s="246"/>
      <c r="R93" s="279"/>
      <c r="S93" s="269"/>
      <c r="T93" s="443" t="str">
        <f>IF(S93="","",VLOOKUP(S93,案件コード!$A$1:$B$31,2,FALSE()))</f>
        <v/>
      </c>
      <c r="U93" s="443"/>
      <c r="V93" s="443"/>
      <c r="W93" s="102" t="str">
        <f t="shared" si="30"/>
        <v/>
      </c>
      <c r="X93" s="245"/>
      <c r="Y93" s="244"/>
      <c r="Z93" s="246"/>
      <c r="AA93" s="279"/>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69"/>
      <c r="B94" s="443" t="str">
        <f>IF(A94="","",VLOOKUP(A94,案件コード!$A$1:$B$31,2,FALSE()))</f>
        <v/>
      </c>
      <c r="C94" s="443"/>
      <c r="D94" s="443"/>
      <c r="E94" s="102" t="str">
        <f t="shared" si="28"/>
        <v/>
      </c>
      <c r="F94" s="245"/>
      <c r="G94" s="244"/>
      <c r="H94" s="246"/>
      <c r="I94" s="279"/>
      <c r="J94" s="269"/>
      <c r="K94" s="443" t="str">
        <f>IF(J94="","",VLOOKUP(J94,案件コード!$A$1:$B$31,2,FALSE()))</f>
        <v/>
      </c>
      <c r="L94" s="443"/>
      <c r="M94" s="443"/>
      <c r="N94" s="102" t="str">
        <f t="shared" si="29"/>
        <v/>
      </c>
      <c r="O94" s="245"/>
      <c r="P94" s="244"/>
      <c r="Q94" s="246"/>
      <c r="R94" s="279"/>
      <c r="S94" s="269"/>
      <c r="T94" s="443" t="str">
        <f>IF(S94="","",VLOOKUP(S94,案件コード!$A$1:$B$31,2,FALSE()))</f>
        <v/>
      </c>
      <c r="U94" s="443"/>
      <c r="V94" s="443"/>
      <c r="W94" s="102" t="str">
        <f t="shared" si="30"/>
        <v/>
      </c>
      <c r="X94" s="245"/>
      <c r="Y94" s="244"/>
      <c r="Z94" s="246"/>
      <c r="AA94" s="279"/>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69"/>
      <c r="B95" s="443" t="str">
        <f>IF(A95="","",VLOOKUP(A95,案件コード!$A$1:$B$31,2,FALSE()))</f>
        <v/>
      </c>
      <c r="C95" s="443"/>
      <c r="D95" s="443"/>
      <c r="E95" s="102" t="str">
        <f t="shared" si="28"/>
        <v/>
      </c>
      <c r="F95" s="245"/>
      <c r="G95" s="244"/>
      <c r="H95" s="246"/>
      <c r="I95" s="279"/>
      <c r="J95" s="269"/>
      <c r="K95" s="443" t="str">
        <f>IF(J95="","",VLOOKUP(J95,案件コード!$A$1:$B$31,2,FALSE()))</f>
        <v/>
      </c>
      <c r="L95" s="443"/>
      <c r="M95" s="443"/>
      <c r="N95" s="102" t="str">
        <f t="shared" si="29"/>
        <v/>
      </c>
      <c r="O95" s="245"/>
      <c r="P95" s="244"/>
      <c r="Q95" s="246"/>
      <c r="R95" s="279"/>
      <c r="S95" s="269"/>
      <c r="T95" s="443" t="str">
        <f>IF(S95="","",VLOOKUP(S95,案件コード!$A$1:$B$31,2,FALSE()))</f>
        <v/>
      </c>
      <c r="U95" s="443"/>
      <c r="V95" s="443"/>
      <c r="W95" s="102" t="str">
        <f t="shared" si="30"/>
        <v/>
      </c>
      <c r="X95" s="245"/>
      <c r="Y95" s="244"/>
      <c r="Z95" s="246"/>
      <c r="AA95" s="279"/>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69"/>
      <c r="B96" s="443" t="str">
        <f>IF(A96="","",VLOOKUP(A96,案件コード!$A$1:$B$31,2,FALSE()))</f>
        <v/>
      </c>
      <c r="C96" s="443"/>
      <c r="D96" s="443"/>
      <c r="E96" s="102" t="str">
        <f t="shared" si="28"/>
        <v/>
      </c>
      <c r="F96" s="245"/>
      <c r="G96" s="244"/>
      <c r="H96" s="246"/>
      <c r="I96" s="279"/>
      <c r="J96" s="269"/>
      <c r="K96" s="443" t="str">
        <f>IF(J96="","",VLOOKUP(J96,案件コード!$A$1:$B$31,2,FALSE()))</f>
        <v/>
      </c>
      <c r="L96" s="443"/>
      <c r="M96" s="443"/>
      <c r="N96" s="102" t="str">
        <f t="shared" si="29"/>
        <v/>
      </c>
      <c r="O96" s="245"/>
      <c r="P96" s="244"/>
      <c r="Q96" s="246"/>
      <c r="R96" s="279"/>
      <c r="S96" s="269"/>
      <c r="T96" s="443" t="str">
        <f>IF(S96="","",VLOOKUP(S96,案件コード!$A$1:$B$31,2,FALSE()))</f>
        <v/>
      </c>
      <c r="U96" s="443"/>
      <c r="V96" s="443"/>
      <c r="W96" s="102" t="str">
        <f t="shared" si="30"/>
        <v/>
      </c>
      <c r="X96" s="245"/>
      <c r="Y96" s="244"/>
      <c r="Z96" s="246"/>
      <c r="AA96" s="279"/>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69"/>
      <c r="B97" s="443" t="str">
        <f>IF(A97="","",VLOOKUP(A97,案件コード!$A$1:$B$31,2,FALSE()))</f>
        <v/>
      </c>
      <c r="C97" s="443"/>
      <c r="D97" s="443"/>
      <c r="E97" s="102" t="str">
        <f t="shared" si="28"/>
        <v/>
      </c>
      <c r="F97" s="245"/>
      <c r="G97" s="244"/>
      <c r="H97" s="246"/>
      <c r="I97" s="279"/>
      <c r="J97" s="269"/>
      <c r="K97" s="443" t="str">
        <f>IF(J97="","",VLOOKUP(J97,案件コード!$A$1:$B$31,2,FALSE()))</f>
        <v/>
      </c>
      <c r="L97" s="443"/>
      <c r="M97" s="443"/>
      <c r="N97" s="102" t="str">
        <f t="shared" si="29"/>
        <v/>
      </c>
      <c r="O97" s="245"/>
      <c r="P97" s="244"/>
      <c r="Q97" s="246"/>
      <c r="R97" s="279"/>
      <c r="S97" s="269"/>
      <c r="T97" s="443" t="str">
        <f>IF(S97="","",VLOOKUP(S97,案件コード!$A$1:$B$31,2,FALSE()))</f>
        <v/>
      </c>
      <c r="U97" s="443"/>
      <c r="V97" s="443"/>
      <c r="W97" s="102" t="str">
        <f t="shared" si="30"/>
        <v/>
      </c>
      <c r="X97" s="245"/>
      <c r="Y97" s="244"/>
      <c r="Z97" s="246"/>
      <c r="AA97" s="279"/>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69"/>
      <c r="B98" s="443" t="str">
        <f>IF(A98="","",VLOOKUP(A98,案件コード!$A$1:$B$31,2,FALSE()))</f>
        <v/>
      </c>
      <c r="C98" s="443"/>
      <c r="D98" s="443"/>
      <c r="E98" s="102" t="str">
        <f t="shared" si="28"/>
        <v/>
      </c>
      <c r="F98" s="245"/>
      <c r="G98" s="244"/>
      <c r="H98" s="246"/>
      <c r="I98" s="279"/>
      <c r="J98" s="269"/>
      <c r="K98" s="443" t="str">
        <f>IF(J98="","",VLOOKUP(J98,案件コード!$A$1:$B$31,2,FALSE()))</f>
        <v/>
      </c>
      <c r="L98" s="443"/>
      <c r="M98" s="443"/>
      <c r="N98" s="102" t="str">
        <f t="shared" si="29"/>
        <v/>
      </c>
      <c r="O98" s="245"/>
      <c r="P98" s="244"/>
      <c r="Q98" s="246"/>
      <c r="R98" s="279"/>
      <c r="S98" s="269"/>
      <c r="T98" s="443" t="str">
        <f>IF(S98="","",VLOOKUP(S98,案件コード!$A$1:$B$31,2,FALSE()))</f>
        <v/>
      </c>
      <c r="U98" s="443"/>
      <c r="V98" s="443"/>
      <c r="W98" s="102" t="str">
        <f t="shared" si="30"/>
        <v/>
      </c>
      <c r="X98" s="245"/>
      <c r="Y98" s="244"/>
      <c r="Z98" s="246"/>
      <c r="AA98" s="279"/>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69"/>
      <c r="B99" s="443" t="str">
        <f>IF(A99="","",VLOOKUP(A99,案件コード!$A$1:$B$31,2,FALSE()))</f>
        <v/>
      </c>
      <c r="C99" s="443"/>
      <c r="D99" s="443"/>
      <c r="E99" s="102" t="str">
        <f t="shared" si="28"/>
        <v/>
      </c>
      <c r="F99" s="245"/>
      <c r="G99" s="244"/>
      <c r="H99" s="246"/>
      <c r="I99" s="279"/>
      <c r="J99" s="269"/>
      <c r="K99" s="443" t="str">
        <f>IF(J99="","",VLOOKUP(J99,案件コード!$A$1:$B$31,2,FALSE()))</f>
        <v/>
      </c>
      <c r="L99" s="443"/>
      <c r="M99" s="443"/>
      <c r="N99" s="102" t="str">
        <f t="shared" si="29"/>
        <v/>
      </c>
      <c r="O99" s="245"/>
      <c r="P99" s="244"/>
      <c r="Q99" s="246"/>
      <c r="R99" s="279"/>
      <c r="S99" s="269"/>
      <c r="T99" s="443" t="str">
        <f>IF(S99="","",VLOOKUP(S99,案件コード!$A$1:$B$31,2,FALSE()))</f>
        <v/>
      </c>
      <c r="U99" s="443"/>
      <c r="V99" s="443"/>
      <c r="W99" s="102" t="str">
        <f t="shared" si="30"/>
        <v/>
      </c>
      <c r="X99" s="245"/>
      <c r="Y99" s="244"/>
      <c r="Z99" s="246"/>
      <c r="AA99" s="279"/>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69"/>
      <c r="B100" s="443" t="str">
        <f>IF(A100="","",VLOOKUP(A100,案件コード!$A$1:$B$31,2,FALSE()))</f>
        <v/>
      </c>
      <c r="C100" s="443"/>
      <c r="D100" s="443"/>
      <c r="E100" s="102" t="str">
        <f t="shared" si="28"/>
        <v/>
      </c>
      <c r="F100" s="245"/>
      <c r="G100" s="244"/>
      <c r="H100" s="246"/>
      <c r="I100" s="279"/>
      <c r="J100" s="269"/>
      <c r="K100" s="443" t="str">
        <f>IF(J100="","",VLOOKUP(J100,案件コード!$A$1:$B$31,2,FALSE()))</f>
        <v/>
      </c>
      <c r="L100" s="443"/>
      <c r="M100" s="443"/>
      <c r="N100" s="102" t="str">
        <f t="shared" si="29"/>
        <v/>
      </c>
      <c r="O100" s="245"/>
      <c r="P100" s="244"/>
      <c r="Q100" s="246"/>
      <c r="R100" s="279"/>
      <c r="S100" s="269"/>
      <c r="T100" s="443" t="str">
        <f>IF(S100="","",VLOOKUP(S100,案件コード!$A$1:$B$31,2,FALSE()))</f>
        <v/>
      </c>
      <c r="U100" s="443"/>
      <c r="V100" s="443"/>
      <c r="W100" s="102" t="str">
        <f t="shared" si="30"/>
        <v/>
      </c>
      <c r="X100" s="245"/>
      <c r="Y100" s="244"/>
      <c r="Z100" s="246"/>
      <c r="AA100" s="279"/>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69"/>
      <c r="B101" s="443" t="str">
        <f>IF(A101="","",VLOOKUP(A101,案件コード!$A$1:$B$31,2,FALSE()))</f>
        <v/>
      </c>
      <c r="C101" s="443"/>
      <c r="D101" s="443"/>
      <c r="E101" s="102" t="str">
        <f t="shared" si="28"/>
        <v/>
      </c>
      <c r="F101" s="245"/>
      <c r="G101" s="244"/>
      <c r="H101" s="246"/>
      <c r="I101" s="279"/>
      <c r="J101" s="269"/>
      <c r="K101" s="443" t="str">
        <f>IF(J101="","",VLOOKUP(J101,案件コード!$A$1:$B$31,2,FALSE()))</f>
        <v/>
      </c>
      <c r="L101" s="443"/>
      <c r="M101" s="443"/>
      <c r="N101" s="102" t="str">
        <f t="shared" si="29"/>
        <v/>
      </c>
      <c r="O101" s="245"/>
      <c r="P101" s="244"/>
      <c r="Q101" s="246"/>
      <c r="R101" s="279"/>
      <c r="S101" s="269"/>
      <c r="T101" s="443" t="str">
        <f>IF(S101="","",VLOOKUP(S101,案件コード!$A$1:$B$31,2,FALSE()))</f>
        <v/>
      </c>
      <c r="U101" s="443"/>
      <c r="V101" s="443"/>
      <c r="W101" s="102" t="str">
        <f t="shared" si="30"/>
        <v/>
      </c>
      <c r="X101" s="245"/>
      <c r="Y101" s="244"/>
      <c r="Z101" s="246"/>
      <c r="AA101" s="279"/>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69"/>
      <c r="B102" s="443" t="str">
        <f>IF(A102="","",VLOOKUP(A102,案件コード!$A$1:$B$31,2,FALSE()))</f>
        <v/>
      </c>
      <c r="C102" s="443"/>
      <c r="D102" s="443"/>
      <c r="E102" s="102" t="str">
        <f t="shared" si="28"/>
        <v/>
      </c>
      <c r="F102" s="245"/>
      <c r="G102" s="244"/>
      <c r="H102" s="246"/>
      <c r="I102" s="279"/>
      <c r="J102" s="269"/>
      <c r="K102" s="443" t="str">
        <f>IF(J102="","",VLOOKUP(J102,案件コード!$A$1:$B$31,2,FALSE()))</f>
        <v/>
      </c>
      <c r="L102" s="443"/>
      <c r="M102" s="443"/>
      <c r="N102" s="102" t="str">
        <f t="shared" si="29"/>
        <v/>
      </c>
      <c r="O102" s="245"/>
      <c r="P102" s="244"/>
      <c r="Q102" s="246"/>
      <c r="R102" s="279"/>
      <c r="S102" s="269"/>
      <c r="T102" s="443" t="str">
        <f>IF(S102="","",VLOOKUP(S102,案件コード!$A$1:$B$31,2,FALSE()))</f>
        <v/>
      </c>
      <c r="U102" s="443"/>
      <c r="V102" s="443"/>
      <c r="W102" s="102" t="str">
        <f t="shared" si="30"/>
        <v/>
      </c>
      <c r="X102" s="245"/>
      <c r="Y102" s="244"/>
      <c r="Z102" s="246"/>
      <c r="AA102" s="279"/>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2"/>
      <c r="B103" s="444" t="str">
        <f>IF(A103="","",VLOOKUP(A103,案件コード!$A$1:$B$31,2,FALSE()))</f>
        <v/>
      </c>
      <c r="C103" s="444"/>
      <c r="D103" s="444"/>
      <c r="E103" s="273" t="str">
        <f t="shared" si="28"/>
        <v/>
      </c>
      <c r="F103" s="274"/>
      <c r="G103" s="275"/>
      <c r="H103" s="276"/>
      <c r="I103" s="280"/>
      <c r="J103" s="272"/>
      <c r="K103" s="444" t="str">
        <f>IF(J103="","",VLOOKUP(J103,案件コード!$A$1:$B$31,2,FALSE()))</f>
        <v/>
      </c>
      <c r="L103" s="444"/>
      <c r="M103" s="444"/>
      <c r="N103" s="273" t="str">
        <f t="shared" si="29"/>
        <v/>
      </c>
      <c r="O103" s="274"/>
      <c r="P103" s="275"/>
      <c r="Q103" s="276"/>
      <c r="R103" s="280"/>
      <c r="S103" s="272"/>
      <c r="T103" s="444" t="str">
        <f>IF(S103="","",VLOOKUP(S103,案件コード!$A$1:$B$31,2,FALSE()))</f>
        <v/>
      </c>
      <c r="U103" s="444"/>
      <c r="V103" s="444"/>
      <c r="W103" s="273" t="str">
        <f t="shared" si="30"/>
        <v/>
      </c>
      <c r="X103" s="274"/>
      <c r="Y103" s="275"/>
      <c r="Z103" s="276"/>
      <c r="AA103" s="280"/>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34">
        <f>A86</f>
        <v>45959</v>
      </c>
      <c r="B104" s="333" t="s">
        <v>291</v>
      </c>
      <c r="C104" s="456"/>
      <c r="D104" s="457"/>
      <c r="E104" s="457"/>
      <c r="F104" s="457"/>
      <c r="G104" s="458"/>
      <c r="H104" s="412">
        <f>SUM(H89:H103)</f>
        <v>0</v>
      </c>
      <c r="I104" s="91" t="s">
        <v>371</v>
      </c>
      <c r="J104" s="334">
        <f>J86</f>
        <v>45960</v>
      </c>
      <c r="K104" s="333" t="s">
        <v>291</v>
      </c>
      <c r="L104" s="456"/>
      <c r="M104" s="457"/>
      <c r="N104" s="457"/>
      <c r="O104" s="457"/>
      <c r="P104" s="458"/>
      <c r="Q104" s="412">
        <f>SUM(Q89:Q103)</f>
        <v>0</v>
      </c>
      <c r="R104" s="91" t="s">
        <v>371</v>
      </c>
      <c r="S104" s="334">
        <f>S86</f>
        <v>45961</v>
      </c>
      <c r="T104" s="333" t="s">
        <v>291</v>
      </c>
      <c r="U104" s="456"/>
      <c r="V104" s="457"/>
      <c r="W104" s="457"/>
      <c r="X104" s="457"/>
      <c r="Y104" s="458"/>
      <c r="Z104" s="412">
        <f>SUM(Z89:Z103)</f>
        <v>0</v>
      </c>
      <c r="AA104" s="91" t="s">
        <v>371</v>
      </c>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7" t="s">
        <v>163</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87</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102</v>
      </c>
      <c r="B106" s="100">
        <v>0</v>
      </c>
      <c r="C106" s="100">
        <v>1</v>
      </c>
      <c r="D106" s="100">
        <v>2</v>
      </c>
      <c r="E106" s="100">
        <v>3</v>
      </c>
      <c r="F106" s="100">
        <v>4</v>
      </c>
      <c r="G106" s="100">
        <v>5</v>
      </c>
      <c r="H106" s="100">
        <v>6</v>
      </c>
      <c r="I106" s="100">
        <v>7</v>
      </c>
      <c r="J106" s="100">
        <v>8</v>
      </c>
      <c r="K106" s="318">
        <v>9</v>
      </c>
      <c r="L106" s="336">
        <v>10</v>
      </c>
      <c r="M106" s="100">
        <v>11</v>
      </c>
      <c r="N106" s="100">
        <v>12</v>
      </c>
      <c r="O106" s="100">
        <v>13</v>
      </c>
      <c r="P106" s="100">
        <v>14</v>
      </c>
      <c r="Q106" s="100">
        <v>15</v>
      </c>
      <c r="R106" s="100">
        <v>16</v>
      </c>
      <c r="S106" s="100">
        <v>17</v>
      </c>
      <c r="T106" s="100">
        <v>18</v>
      </c>
      <c r="U106" s="100">
        <v>19</v>
      </c>
      <c r="V106" s="100">
        <v>20</v>
      </c>
      <c r="W106" s="100">
        <v>21</v>
      </c>
      <c r="X106" s="100">
        <v>22</v>
      </c>
      <c r="Y106" s="100">
        <v>23</v>
      </c>
      <c r="Z106" s="100">
        <v>24</v>
      </c>
      <c r="AA106" s="100">
        <v>25</v>
      </c>
      <c r="AB106" s="100">
        <v>26</v>
      </c>
      <c r="AC106" s="100">
        <v>27</v>
      </c>
      <c r="AD106" s="100">
        <v>28</v>
      </c>
      <c r="AE106" s="336">
        <v>29</v>
      </c>
      <c r="AF106" s="100">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101</v>
      </c>
      <c r="B107" s="112" t="str">
        <f>IF(B106="","",VLOOKUP(B106,案件コード!$A$1:$B$31,2,FALSE()))</f>
        <v>管理/会議/自習など雑務</v>
      </c>
      <c r="C107" s="112" t="str">
        <f>IF(C106="","",VLOOKUP(C106,案件コード!$A$1:$B$31,2,FALSE()))</f>
        <v>Webデザイン</v>
      </c>
      <c r="D107" s="112" t="str">
        <f>IF(D106="","",VLOOKUP(D106,案件コード!$A$1:$B$31,2,FALSE()))</f>
        <v>Webサイト構築</v>
      </c>
      <c r="E107" s="112" t="str">
        <f>IF(E106="","",VLOOKUP(E106,案件コード!$A$1:$B$31,2,FALSE()))</f>
        <v>プログラミング</v>
      </c>
      <c r="F107" s="112" t="str">
        <f>IF(F106="","",VLOOKUP(F106,案件コード!$A$1:$B$31,2,FALSE()))</f>
        <v>Webマーケティング</v>
      </c>
      <c r="G107" s="112">
        <f>IF(G106="","",VLOOKUP(G106,案件コード!$A$1:$B$31,2,FALSE()))</f>
        <v>0</v>
      </c>
      <c r="H107" s="112">
        <f>IF(H106="","",VLOOKUP(H106,案件コード!$A$1:$B$31,2,FALSE()))</f>
        <v>0</v>
      </c>
      <c r="I107" s="112">
        <f>IF(I106="","",VLOOKUP(I106,案件コード!$A$1:$B$31,2,FALSE()))</f>
        <v>0</v>
      </c>
      <c r="J107" s="112">
        <f>IF(J106="","",VLOOKUP(J106,案件コード!$A$1:$B$31,2,FALSE()))</f>
        <v>0</v>
      </c>
      <c r="K107" s="108">
        <f>IF(K106="","",VLOOKUP(K106,案件コード!$A$1:$B$31,2,FALSE()))</f>
        <v>0</v>
      </c>
      <c r="L107" s="336">
        <f>IF(L106="","",VLOOKUP(L106,案件コード!$A$1:$B$31,2,FALSE()))</f>
        <v>0</v>
      </c>
      <c r="M107" s="336">
        <f>IF(M106="","",VLOOKUP(M106,案件コード!$A$1:$B$31,2,FALSE()))</f>
        <v>0</v>
      </c>
      <c r="N107" s="336">
        <f>IF(N106="","",VLOOKUP(N106,案件コード!$A$1:$B$31,2,FALSE()))</f>
        <v>0</v>
      </c>
      <c r="O107" s="336">
        <f>IF(O106="","",VLOOKUP(O106,案件コード!$A$1:$B$31,2,FALSE()))</f>
        <v>0</v>
      </c>
      <c r="P107" s="336">
        <f>IF(P106="","",VLOOKUP(P106,案件コード!$A$1:$B$31,2,FALSE()))</f>
        <v>0</v>
      </c>
      <c r="Q107" s="336">
        <f>IF(Q106="","",VLOOKUP(Q106,案件コード!$A$1:$B$31,2,FALSE()))</f>
        <v>0</v>
      </c>
      <c r="R107" s="336">
        <f>IF(R106="","",VLOOKUP(R106,案件コード!$A$1:$B$31,2,FALSE()))</f>
        <v>0</v>
      </c>
      <c r="S107" s="336">
        <f>IF(S106="","",VLOOKUP(S106,案件コード!$A$1:$B$31,2,FALSE()))</f>
        <v>0</v>
      </c>
      <c r="T107" s="336">
        <f>IF(T106="","",VLOOKUP(T106,案件コード!$A$1:$B$31,2,FALSE()))</f>
        <v>0</v>
      </c>
      <c r="U107" s="336">
        <f>IF(U106="","",VLOOKUP(U106,案件コード!$A$1:$B$31,2,FALSE()))</f>
        <v>0</v>
      </c>
      <c r="V107" s="336">
        <f>IF(V106="","",VLOOKUP(V106,案件コード!$A$1:$B$31,2,FALSE()))</f>
        <v>0</v>
      </c>
      <c r="W107" s="336">
        <f>IF(W106="","",VLOOKUP(W106,案件コード!$A$1:$B$31,2,FALSE()))</f>
        <v>0</v>
      </c>
      <c r="X107" s="336">
        <f>IF(X106="","",VLOOKUP(X106,案件コード!$A$1:$B$31,2,FALSE()))</f>
        <v>0</v>
      </c>
      <c r="Y107" s="336">
        <f>IF(Y106="","",VLOOKUP(Y106,案件コード!$A$1:$B$31,2,FALSE()))</f>
        <v>0</v>
      </c>
      <c r="Z107" s="336">
        <f>IF(Z106="","",VLOOKUP(Z106,案件コード!$A$1:$B$31,2,FALSE()))</f>
        <v>0</v>
      </c>
      <c r="AA107" s="336">
        <f>IF(AA106="","",VLOOKUP(AA106,案件コード!$A$1:$B$31,2,FALSE()))</f>
        <v>0</v>
      </c>
      <c r="AB107" s="336">
        <f>IF(AB106="","",VLOOKUP(AB106,案件コード!$A$1:$B$31,2,FALSE()))</f>
        <v>0</v>
      </c>
      <c r="AC107" s="336">
        <f>IF(AC106="","",VLOOKUP(AC106,案件コード!$A$1:$B$31,2,FALSE()))</f>
        <v>0</v>
      </c>
      <c r="AD107" s="336">
        <f>IF(AD106="","",VLOOKUP(AD106,案件コード!$A$1:$B$31,2,FALSE()))</f>
        <v>0</v>
      </c>
      <c r="AE107" s="336">
        <f>IF(AE106="","",VLOOKUP(AE106,案件コード!$A$1:$B$31,2,FALSE()))</f>
        <v>0</v>
      </c>
      <c r="AF107" s="100">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09"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C108" s="110"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D108" s="110"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0"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v>
      </c>
      <c r="F108" s="110"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G108" s="110"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0"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0"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1"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2"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2"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2"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2"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2"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2"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2"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2"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2"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2"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2"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2"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2"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2"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2"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2"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2"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2"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2"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2"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2"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0"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3"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4"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4"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4"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80000</v>
      </c>
      <c r="F109" s="114"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8000</v>
      </c>
      <c r="G109" s="114"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4"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4"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4"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5"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5"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5"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5"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5"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5"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5"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5"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5"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5"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5"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5"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5"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5"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5"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5"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5"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5"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5"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5"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5"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0"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302</v>
      </c>
      <c r="B110" s="2"/>
      <c r="C110" s="2"/>
      <c r="D110" s="2"/>
      <c r="E110" s="2"/>
      <c r="F110" s="2"/>
      <c r="G110" s="2"/>
      <c r="H110" s="2"/>
      <c r="I110" s="2"/>
      <c r="J110" s="2"/>
      <c r="K110" s="2"/>
      <c r="W110" s="3" t="s">
        <v>373</v>
      </c>
    </row>
    <row r="111" spans="1:63" ht="18.600000000000001" thickBot="1">
      <c r="A111" s="4" t="s">
        <v>162</v>
      </c>
      <c r="H111" s="5" t="s">
        <v>100</v>
      </c>
      <c r="I111" s="161" t="s">
        <v>93</v>
      </c>
      <c r="J111" s="159" t="s">
        <v>92</v>
      </c>
      <c r="K111" s="160" t="s">
        <v>91</v>
      </c>
      <c r="M111" s="5" t="s">
        <v>84</v>
      </c>
      <c r="N111" s="161" t="s">
        <v>96</v>
      </c>
      <c r="O111" s="159" t="s">
        <v>94</v>
      </c>
      <c r="P111" s="160" t="s">
        <v>95</v>
      </c>
      <c r="R111" s="406" t="s">
        <v>369</v>
      </c>
      <c r="S111" s="409">
        <f>IF(SUM(H7,Q7,Z7,AI7,AR7,BA7,BJ7,H27,Q27,Z27,AI27,AR27,BA27,BJ27,H47,Q47,Z47,AI47,AR47,BA47,BJ47,H67,Q67,Z67,AI67,AR67,BA67,BJ67,H87,Q87,Z87)=0,0,SUM(H7,Q7,Z7,AI7,AR7,BA7,BJ7,H27,Q27,Z27,AI27,AR27,BA27,BJ27,H47,Q47,Z47,AI47,AR47,BA47,BJ47,H67,Q67,Z67,AI67,AR67,BA67,BJ67,H87,Q87,Z87))</f>
        <v>2</v>
      </c>
      <c r="T111" s="2" t="s">
        <v>366</v>
      </c>
      <c r="V111" s="406" t="s">
        <v>370</v>
      </c>
      <c r="W111" s="407"/>
      <c r="X111" s="2" t="s">
        <v>366</v>
      </c>
    </row>
    <row r="112" spans="1:63">
      <c r="A112" s="7"/>
      <c r="B112" t="s">
        <v>86</v>
      </c>
      <c r="G112" t="s">
        <v>235</v>
      </c>
      <c r="H112" t="s">
        <v>236</v>
      </c>
      <c r="I112" s="162"/>
      <c r="J112" t="s">
        <v>257</v>
      </c>
      <c r="K112" s="162"/>
      <c r="M112" s="2"/>
      <c r="N112" s="162"/>
      <c r="O112" s="162"/>
      <c r="P112" s="162"/>
    </row>
    <row r="113" spans="1:10" ht="18.600000000000001" thickBot="1">
      <c r="B113" s="3" t="s">
        <v>161</v>
      </c>
      <c r="G113" t="s">
        <v>99</v>
      </c>
      <c r="H113" t="s">
        <v>256</v>
      </c>
      <c r="I113" t="s">
        <v>97</v>
      </c>
      <c r="J113" t="s">
        <v>98</v>
      </c>
    </row>
    <row r="114" spans="1:10" ht="18.600000000000001" thickBot="1">
      <c r="A114" s="11" t="s">
        <v>85</v>
      </c>
      <c r="B114" s="442" t="s">
        <v>80</v>
      </c>
      <c r="C114" s="442"/>
      <c r="D114" s="442"/>
      <c r="E114" s="442"/>
      <c r="F114" s="442"/>
      <c r="G114" s="12" t="s">
        <v>81</v>
      </c>
      <c r="H114" s="12" t="s">
        <v>82</v>
      </c>
      <c r="I114" s="12" t="s">
        <v>83</v>
      </c>
      <c r="J114" s="13" t="s">
        <v>84</v>
      </c>
    </row>
    <row r="115" spans="1:10">
      <c r="A115" s="14">
        <v>1</v>
      </c>
      <c r="B115" s="424" t="s">
        <v>377</v>
      </c>
      <c r="C115" s="424"/>
      <c r="D115" s="424"/>
      <c r="E115" s="424"/>
      <c r="F115" s="424"/>
      <c r="G115" s="23"/>
      <c r="H115" s="23"/>
      <c r="I115" s="26" t="s">
        <v>92</v>
      </c>
      <c r="J115" s="27" t="s">
        <v>96</v>
      </c>
    </row>
    <row r="116" spans="1:10">
      <c r="A116" s="15">
        <v>2</v>
      </c>
      <c r="B116" s="438" t="s">
        <v>378</v>
      </c>
      <c r="C116" s="438"/>
      <c r="D116" s="438"/>
      <c r="E116" s="438"/>
      <c r="F116" s="438"/>
      <c r="G116" s="24"/>
      <c r="H116" s="23"/>
      <c r="I116" s="28" t="s">
        <v>91</v>
      </c>
      <c r="J116" s="29" t="s">
        <v>95</v>
      </c>
    </row>
    <row r="117" spans="1:10">
      <c r="A117" s="15">
        <v>3</v>
      </c>
      <c r="B117" s="438" t="s">
        <v>379</v>
      </c>
      <c r="C117" s="438"/>
      <c r="D117" s="438"/>
      <c r="E117" s="438"/>
      <c r="F117" s="438"/>
      <c r="G117" s="24"/>
      <c r="H117" s="23"/>
      <c r="I117" s="28" t="s">
        <v>93</v>
      </c>
      <c r="J117" s="29" t="s">
        <v>94</v>
      </c>
    </row>
    <row r="118" spans="1:10">
      <c r="A118" s="15">
        <v>4</v>
      </c>
      <c r="B118" s="438"/>
      <c r="C118" s="438"/>
      <c r="D118" s="438"/>
      <c r="E118" s="438"/>
      <c r="F118" s="438"/>
      <c r="G118" s="24"/>
      <c r="H118" s="24"/>
      <c r="I118" s="28"/>
      <c r="J118" s="29"/>
    </row>
    <row r="119" spans="1:10">
      <c r="A119" s="15">
        <v>5</v>
      </c>
      <c r="B119" s="438"/>
      <c r="C119" s="438"/>
      <c r="D119" s="438"/>
      <c r="E119" s="438"/>
      <c r="F119" s="438"/>
      <c r="G119" s="24"/>
      <c r="H119" s="24"/>
      <c r="I119" s="28"/>
      <c r="J119" s="29"/>
    </row>
    <row r="120" spans="1:10">
      <c r="A120" s="15">
        <v>6</v>
      </c>
      <c r="B120" s="438"/>
      <c r="C120" s="438"/>
      <c r="D120" s="438"/>
      <c r="E120" s="438"/>
      <c r="F120" s="438"/>
      <c r="G120" s="24"/>
      <c r="H120" s="24"/>
      <c r="I120" s="28"/>
      <c r="J120" s="29"/>
    </row>
    <row r="121" spans="1:10">
      <c r="A121" s="15">
        <v>7</v>
      </c>
      <c r="B121" s="438"/>
      <c r="C121" s="438"/>
      <c r="D121" s="438"/>
      <c r="E121" s="438"/>
      <c r="F121" s="438"/>
      <c r="G121" s="24"/>
      <c r="H121" s="24"/>
      <c r="I121" s="28"/>
      <c r="J121" s="29"/>
    </row>
    <row r="122" spans="1:10">
      <c r="A122" s="15">
        <v>8</v>
      </c>
      <c r="B122" s="438"/>
      <c r="C122" s="438"/>
      <c r="D122" s="438"/>
      <c r="E122" s="438"/>
      <c r="F122" s="438"/>
      <c r="G122" s="24"/>
      <c r="H122" s="24"/>
      <c r="I122" s="28"/>
      <c r="J122" s="29"/>
    </row>
    <row r="123" spans="1:10">
      <c r="A123" s="15">
        <v>9</v>
      </c>
      <c r="B123" s="438"/>
      <c r="C123" s="438"/>
      <c r="D123" s="438"/>
      <c r="E123" s="438"/>
      <c r="F123" s="438"/>
      <c r="G123" s="24"/>
      <c r="H123" s="24"/>
      <c r="I123" s="28"/>
      <c r="J123" s="29"/>
    </row>
    <row r="124" spans="1:10">
      <c r="A124" s="15">
        <v>10</v>
      </c>
      <c r="B124" s="438"/>
      <c r="C124" s="438"/>
      <c r="D124" s="438"/>
      <c r="E124" s="438"/>
      <c r="F124" s="438"/>
      <c r="G124" s="24"/>
      <c r="H124" s="24"/>
      <c r="I124" s="28"/>
      <c r="J124" s="29"/>
    </row>
    <row r="125" spans="1:10">
      <c r="A125" s="15">
        <v>11</v>
      </c>
      <c r="B125" s="438"/>
      <c r="C125" s="438"/>
      <c r="D125" s="438"/>
      <c r="E125" s="438"/>
      <c r="F125" s="438"/>
      <c r="G125" s="24"/>
      <c r="H125" s="24"/>
      <c r="I125" s="28"/>
      <c r="J125" s="29"/>
    </row>
    <row r="126" spans="1:10">
      <c r="A126" s="15">
        <v>12</v>
      </c>
      <c r="B126" s="438"/>
      <c r="C126" s="438"/>
      <c r="D126" s="438"/>
      <c r="E126" s="438"/>
      <c r="F126" s="438"/>
      <c r="G126" s="24"/>
      <c r="H126" s="24"/>
      <c r="I126" s="28"/>
      <c r="J126" s="29"/>
    </row>
    <row r="127" spans="1:10">
      <c r="A127" s="15">
        <v>13</v>
      </c>
      <c r="B127" s="438"/>
      <c r="C127" s="438"/>
      <c r="D127" s="438"/>
      <c r="E127" s="438"/>
      <c r="F127" s="438"/>
      <c r="G127" s="24"/>
      <c r="H127" s="24"/>
      <c r="I127" s="28"/>
      <c r="J127" s="29"/>
    </row>
    <row r="128" spans="1:10">
      <c r="A128" s="15">
        <v>14</v>
      </c>
      <c r="B128" s="438"/>
      <c r="C128" s="438"/>
      <c r="D128" s="438"/>
      <c r="E128" s="438"/>
      <c r="F128" s="438"/>
      <c r="G128" s="24"/>
      <c r="H128" s="24"/>
      <c r="I128" s="28"/>
      <c r="J128" s="29"/>
    </row>
    <row r="129" spans="1:10">
      <c r="A129" s="15">
        <v>15</v>
      </c>
      <c r="B129" s="438"/>
      <c r="C129" s="438"/>
      <c r="D129" s="438"/>
      <c r="E129" s="438"/>
      <c r="F129" s="438"/>
      <c r="G129" s="24"/>
      <c r="H129" s="24"/>
      <c r="I129" s="28"/>
      <c r="J129" s="29"/>
    </row>
    <row r="130" spans="1:10">
      <c r="A130" s="15">
        <v>16</v>
      </c>
      <c r="B130" s="438"/>
      <c r="C130" s="438"/>
      <c r="D130" s="438"/>
      <c r="E130" s="438"/>
      <c r="F130" s="438"/>
      <c r="G130" s="24"/>
      <c r="H130" s="24"/>
      <c r="I130" s="28"/>
      <c r="J130" s="29"/>
    </row>
    <row r="131" spans="1:10">
      <c r="A131" s="15">
        <v>17</v>
      </c>
      <c r="B131" s="438"/>
      <c r="C131" s="438"/>
      <c r="D131" s="438"/>
      <c r="E131" s="438"/>
      <c r="F131" s="438"/>
      <c r="G131" s="24"/>
      <c r="H131" s="24"/>
      <c r="I131" s="28"/>
      <c r="J131" s="29"/>
    </row>
    <row r="132" spans="1:10">
      <c r="A132" s="15">
        <v>18</v>
      </c>
      <c r="B132" s="438"/>
      <c r="C132" s="438"/>
      <c r="D132" s="438"/>
      <c r="E132" s="438"/>
      <c r="F132" s="438"/>
      <c r="G132" s="24"/>
      <c r="H132" s="24"/>
      <c r="I132" s="28"/>
      <c r="J132" s="29"/>
    </row>
    <row r="133" spans="1:10">
      <c r="A133" s="15">
        <v>19</v>
      </c>
      <c r="B133" s="438"/>
      <c r="C133" s="438"/>
      <c r="D133" s="438"/>
      <c r="E133" s="438"/>
      <c r="F133" s="438"/>
      <c r="G133" s="24"/>
      <c r="H133" s="24"/>
      <c r="I133" s="28"/>
      <c r="J133" s="29"/>
    </row>
    <row r="134" spans="1:10">
      <c r="A134" s="15">
        <v>20</v>
      </c>
      <c r="B134" s="438"/>
      <c r="C134" s="438"/>
      <c r="D134" s="438"/>
      <c r="E134" s="438"/>
      <c r="F134" s="438"/>
      <c r="G134" s="24"/>
      <c r="H134" s="24"/>
      <c r="I134" s="28"/>
      <c r="J134" s="29"/>
    </row>
    <row r="135" spans="1:10">
      <c r="A135" s="15">
        <v>21</v>
      </c>
      <c r="B135" s="438"/>
      <c r="C135" s="438"/>
      <c r="D135" s="438"/>
      <c r="E135" s="438"/>
      <c r="F135" s="438"/>
      <c r="G135" s="24"/>
      <c r="H135" s="24"/>
      <c r="I135" s="28"/>
      <c r="J135" s="29"/>
    </row>
    <row r="136" spans="1:10">
      <c r="A136" s="15">
        <v>22</v>
      </c>
      <c r="B136" s="438"/>
      <c r="C136" s="438"/>
      <c r="D136" s="438"/>
      <c r="E136" s="438"/>
      <c r="F136" s="438"/>
      <c r="G136" s="24"/>
      <c r="H136" s="24"/>
      <c r="I136" s="28"/>
      <c r="J136" s="29"/>
    </row>
    <row r="137" spans="1:10">
      <c r="A137" s="15">
        <v>23</v>
      </c>
      <c r="B137" s="438"/>
      <c r="C137" s="438"/>
      <c r="D137" s="438"/>
      <c r="E137" s="438"/>
      <c r="F137" s="438"/>
      <c r="G137" s="24"/>
      <c r="H137" s="24"/>
      <c r="I137" s="28"/>
      <c r="J137" s="29"/>
    </row>
    <row r="138" spans="1:10">
      <c r="A138" s="15">
        <v>24</v>
      </c>
      <c r="B138" s="438"/>
      <c r="C138" s="438"/>
      <c r="D138" s="438"/>
      <c r="E138" s="438"/>
      <c r="F138" s="438"/>
      <c r="G138" s="24"/>
      <c r="H138" s="24"/>
      <c r="I138" s="28"/>
      <c r="J138" s="29"/>
    </row>
    <row r="139" spans="1:10">
      <c r="A139" s="15">
        <v>25</v>
      </c>
      <c r="B139" s="438"/>
      <c r="C139" s="438"/>
      <c r="D139" s="438"/>
      <c r="E139" s="438"/>
      <c r="F139" s="438"/>
      <c r="G139" s="24"/>
      <c r="H139" s="24"/>
      <c r="I139" s="28"/>
      <c r="J139" s="29"/>
    </row>
    <row r="140" spans="1:10">
      <c r="A140" s="15">
        <v>26</v>
      </c>
      <c r="B140" s="438"/>
      <c r="C140" s="438"/>
      <c r="D140" s="438"/>
      <c r="E140" s="438"/>
      <c r="F140" s="438"/>
      <c r="G140" s="24"/>
      <c r="H140" s="24"/>
      <c r="I140" s="28"/>
      <c r="J140" s="29"/>
    </row>
    <row r="141" spans="1:10">
      <c r="A141" s="15">
        <v>27</v>
      </c>
      <c r="B141" s="438"/>
      <c r="C141" s="438"/>
      <c r="D141" s="438"/>
      <c r="E141" s="438"/>
      <c r="F141" s="438"/>
      <c r="G141" s="24"/>
      <c r="H141" s="24"/>
      <c r="I141" s="28"/>
      <c r="J141" s="29"/>
    </row>
    <row r="142" spans="1:10">
      <c r="A142" s="15">
        <v>28</v>
      </c>
      <c r="B142" s="438"/>
      <c r="C142" s="438"/>
      <c r="D142" s="438"/>
      <c r="E142" s="438"/>
      <c r="F142" s="438"/>
      <c r="G142" s="24"/>
      <c r="H142" s="24"/>
      <c r="I142" s="28"/>
      <c r="J142" s="29"/>
    </row>
    <row r="143" spans="1:10">
      <c r="A143" s="15">
        <v>29</v>
      </c>
      <c r="B143" s="438"/>
      <c r="C143" s="438"/>
      <c r="D143" s="438"/>
      <c r="E143" s="438"/>
      <c r="F143" s="438"/>
      <c r="G143" s="24"/>
      <c r="H143" s="24"/>
      <c r="I143" s="28"/>
      <c r="J143" s="29"/>
    </row>
    <row r="144" spans="1:10">
      <c r="A144" s="15">
        <v>30</v>
      </c>
      <c r="B144" s="438"/>
      <c r="C144" s="438"/>
      <c r="D144" s="438"/>
      <c r="E144" s="438"/>
      <c r="F144" s="438"/>
      <c r="G144" s="24"/>
      <c r="H144" s="24"/>
      <c r="I144" s="28"/>
      <c r="J144" s="29"/>
    </row>
    <row r="145" spans="1:10">
      <c r="A145" s="15">
        <v>31</v>
      </c>
      <c r="B145" s="438"/>
      <c r="C145" s="438"/>
      <c r="D145" s="438"/>
      <c r="E145" s="438"/>
      <c r="F145" s="438"/>
      <c r="G145" s="24"/>
      <c r="H145" s="24"/>
      <c r="I145" s="28"/>
      <c r="J145" s="29"/>
    </row>
    <row r="146" spans="1:10">
      <c r="A146" s="15">
        <v>32</v>
      </c>
      <c r="B146" s="438"/>
      <c r="C146" s="438"/>
      <c r="D146" s="438"/>
      <c r="E146" s="438"/>
      <c r="F146" s="438"/>
      <c r="G146" s="24"/>
      <c r="H146" s="24"/>
      <c r="I146" s="28"/>
      <c r="J146" s="29"/>
    </row>
    <row r="147" spans="1:10">
      <c r="A147" s="15">
        <v>33</v>
      </c>
      <c r="B147" s="438"/>
      <c r="C147" s="438"/>
      <c r="D147" s="438"/>
      <c r="E147" s="438"/>
      <c r="F147" s="438"/>
      <c r="G147" s="24"/>
      <c r="H147" s="24"/>
      <c r="I147" s="28"/>
      <c r="J147" s="29"/>
    </row>
    <row r="148" spans="1:10">
      <c r="A148" s="15">
        <v>34</v>
      </c>
      <c r="B148" s="438"/>
      <c r="C148" s="438"/>
      <c r="D148" s="438"/>
      <c r="E148" s="438"/>
      <c r="F148" s="438"/>
      <c r="G148" s="24"/>
      <c r="H148" s="24"/>
      <c r="I148" s="28"/>
      <c r="J148" s="29"/>
    </row>
    <row r="149" spans="1:10">
      <c r="A149" s="15">
        <v>35</v>
      </c>
      <c r="B149" s="438"/>
      <c r="C149" s="438"/>
      <c r="D149" s="438"/>
      <c r="E149" s="438"/>
      <c r="F149" s="438"/>
      <c r="G149" s="24"/>
      <c r="H149" s="24"/>
      <c r="I149" s="28"/>
      <c r="J149" s="29"/>
    </row>
    <row r="150" spans="1:10">
      <c r="A150" s="15">
        <v>36</v>
      </c>
      <c r="B150" s="438"/>
      <c r="C150" s="438"/>
      <c r="D150" s="438"/>
      <c r="E150" s="438"/>
      <c r="F150" s="438"/>
      <c r="G150" s="24"/>
      <c r="H150" s="24"/>
      <c r="I150" s="28"/>
      <c r="J150" s="29"/>
    </row>
    <row r="151" spans="1:10">
      <c r="A151" s="15">
        <v>37</v>
      </c>
      <c r="B151" s="438"/>
      <c r="C151" s="438"/>
      <c r="D151" s="438"/>
      <c r="E151" s="438"/>
      <c r="F151" s="438"/>
      <c r="G151" s="24"/>
      <c r="H151" s="24"/>
      <c r="I151" s="28"/>
      <c r="J151" s="29"/>
    </row>
    <row r="152" spans="1:10">
      <c r="A152" s="15">
        <v>38</v>
      </c>
      <c r="B152" s="438"/>
      <c r="C152" s="438"/>
      <c r="D152" s="438"/>
      <c r="E152" s="438"/>
      <c r="F152" s="438"/>
      <c r="G152" s="24"/>
      <c r="H152" s="24"/>
      <c r="I152" s="28"/>
      <c r="J152" s="29"/>
    </row>
    <row r="153" spans="1:10">
      <c r="A153" s="15">
        <v>39</v>
      </c>
      <c r="B153" s="438"/>
      <c r="C153" s="438"/>
      <c r="D153" s="438"/>
      <c r="E153" s="438"/>
      <c r="F153" s="438"/>
      <c r="G153" s="24"/>
      <c r="H153" s="24"/>
      <c r="I153" s="28"/>
      <c r="J153" s="29"/>
    </row>
    <row r="154" spans="1:10">
      <c r="A154" s="15">
        <v>40</v>
      </c>
      <c r="B154" s="438"/>
      <c r="C154" s="438"/>
      <c r="D154" s="438"/>
      <c r="E154" s="438"/>
      <c r="F154" s="438"/>
      <c r="G154" s="24"/>
      <c r="H154" s="24"/>
      <c r="I154" s="28"/>
      <c r="J154" s="29"/>
    </row>
    <row r="155" spans="1:10">
      <c r="A155" s="15">
        <v>41</v>
      </c>
      <c r="B155" s="438"/>
      <c r="C155" s="438"/>
      <c r="D155" s="438"/>
      <c r="E155" s="438"/>
      <c r="F155" s="438"/>
      <c r="G155" s="24"/>
      <c r="H155" s="24"/>
      <c r="I155" s="28"/>
      <c r="J155" s="29"/>
    </row>
    <row r="156" spans="1:10">
      <c r="A156" s="15">
        <v>42</v>
      </c>
      <c r="B156" s="438"/>
      <c r="C156" s="438"/>
      <c r="D156" s="438"/>
      <c r="E156" s="438"/>
      <c r="F156" s="438"/>
      <c r="G156" s="24"/>
      <c r="H156" s="24"/>
      <c r="I156" s="28"/>
      <c r="J156" s="29"/>
    </row>
    <row r="157" spans="1:10">
      <c r="A157" s="15">
        <v>43</v>
      </c>
      <c r="B157" s="438"/>
      <c r="C157" s="438"/>
      <c r="D157" s="438"/>
      <c r="E157" s="438"/>
      <c r="F157" s="438"/>
      <c r="G157" s="24"/>
      <c r="H157" s="24"/>
      <c r="I157" s="28"/>
      <c r="J157" s="29"/>
    </row>
    <row r="158" spans="1:10">
      <c r="A158" s="15">
        <v>44</v>
      </c>
      <c r="B158" s="438"/>
      <c r="C158" s="438"/>
      <c r="D158" s="438"/>
      <c r="E158" s="438"/>
      <c r="F158" s="438"/>
      <c r="G158" s="24"/>
      <c r="H158" s="24"/>
      <c r="I158" s="28"/>
      <c r="J158" s="29"/>
    </row>
    <row r="159" spans="1:10">
      <c r="A159" s="15">
        <v>45</v>
      </c>
      <c r="B159" s="438"/>
      <c r="C159" s="438"/>
      <c r="D159" s="438"/>
      <c r="E159" s="438"/>
      <c r="F159" s="438"/>
      <c r="G159" s="24"/>
      <c r="H159" s="24"/>
      <c r="I159" s="28"/>
      <c r="J159" s="29"/>
    </row>
    <row r="160" spans="1:10">
      <c r="A160" s="15">
        <v>46</v>
      </c>
      <c r="B160" s="438"/>
      <c r="C160" s="438"/>
      <c r="D160" s="438"/>
      <c r="E160" s="438"/>
      <c r="F160" s="438"/>
      <c r="G160" s="24"/>
      <c r="H160" s="24"/>
      <c r="I160" s="28"/>
      <c r="J160" s="29"/>
    </row>
    <row r="161" spans="1:10">
      <c r="A161" s="15">
        <v>47</v>
      </c>
      <c r="B161" s="438"/>
      <c r="C161" s="438"/>
      <c r="D161" s="438"/>
      <c r="E161" s="438"/>
      <c r="F161" s="438"/>
      <c r="G161" s="24"/>
      <c r="H161" s="24"/>
      <c r="I161" s="28"/>
      <c r="J161" s="29"/>
    </row>
    <row r="162" spans="1:10">
      <c r="A162" s="15">
        <v>48</v>
      </c>
      <c r="B162" s="438"/>
      <c r="C162" s="438"/>
      <c r="D162" s="438"/>
      <c r="E162" s="438"/>
      <c r="F162" s="438"/>
      <c r="G162" s="24"/>
      <c r="H162" s="24"/>
      <c r="I162" s="28"/>
      <c r="J162" s="29"/>
    </row>
    <row r="163" spans="1:10">
      <c r="A163" s="15">
        <v>49</v>
      </c>
      <c r="B163" s="438"/>
      <c r="C163" s="438"/>
      <c r="D163" s="438"/>
      <c r="E163" s="438"/>
      <c r="F163" s="438"/>
      <c r="G163" s="24"/>
      <c r="H163" s="24"/>
      <c r="I163" s="28"/>
      <c r="J163" s="29"/>
    </row>
    <row r="164" spans="1:10" ht="18.600000000000001" thickBot="1">
      <c r="A164" s="16">
        <v>50</v>
      </c>
      <c r="B164" s="439"/>
      <c r="C164" s="439"/>
      <c r="D164" s="439"/>
      <c r="E164" s="439"/>
      <c r="F164" s="439"/>
      <c r="G164" s="25"/>
      <c r="H164" s="25"/>
      <c r="I164" s="30"/>
      <c r="J164" s="31"/>
    </row>
  </sheetData>
  <autoFilter ref="G114:J114" xr:uid="{00000000-0001-0000-0300-000000000000}"/>
  <mergeCells count="705">
    <mergeCell ref="C1:D1"/>
    <mergeCell ref="F1:G1"/>
    <mergeCell ref="BI2:BJ2"/>
    <mergeCell ref="A5:B5"/>
    <mergeCell ref="C5:D5"/>
    <mergeCell ref="E5:F5"/>
    <mergeCell ref="J5:K5"/>
    <mergeCell ref="L5:M5"/>
    <mergeCell ref="N5:O5"/>
    <mergeCell ref="S5:T5"/>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AT25:AU25"/>
    <mergeCell ref="AV25:AW25"/>
    <mergeCell ref="AX25:AY25"/>
    <mergeCell ref="BC25:BD25"/>
    <mergeCell ref="BE25:BF25"/>
    <mergeCell ref="BG25:BH25"/>
    <mergeCell ref="AB25:AC25"/>
    <mergeCell ref="AD25:AE25"/>
    <mergeCell ref="AF25:AG25"/>
    <mergeCell ref="AK25:AL25"/>
    <mergeCell ref="AM25:AN25"/>
    <mergeCell ref="AO25:AP25"/>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AT65:AU65"/>
    <mergeCell ref="AV65:AW65"/>
    <mergeCell ref="AX65:AY65"/>
    <mergeCell ref="BC65:BD65"/>
    <mergeCell ref="BE65:BF65"/>
    <mergeCell ref="BG65:BH65"/>
    <mergeCell ref="AB65:AC65"/>
    <mergeCell ref="AD65:AE65"/>
    <mergeCell ref="AF65:AG65"/>
    <mergeCell ref="AK65:AL65"/>
    <mergeCell ref="AM65:AN65"/>
    <mergeCell ref="AO65:AP65"/>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92:D92"/>
    <mergeCell ref="K92:M92"/>
    <mergeCell ref="T92:V92"/>
    <mergeCell ref="B93:D93"/>
    <mergeCell ref="K93:M93"/>
    <mergeCell ref="T93:V93"/>
    <mergeCell ref="B90:D90"/>
    <mergeCell ref="K90:M90"/>
    <mergeCell ref="T90:V90"/>
    <mergeCell ref="B91:D91"/>
    <mergeCell ref="K91:M91"/>
    <mergeCell ref="T91:V91"/>
    <mergeCell ref="B96:D96"/>
    <mergeCell ref="K96:M96"/>
    <mergeCell ref="T96:V96"/>
    <mergeCell ref="B97:D97"/>
    <mergeCell ref="K97:M97"/>
    <mergeCell ref="T97:V97"/>
    <mergeCell ref="B94:D94"/>
    <mergeCell ref="K94:M94"/>
    <mergeCell ref="T94:V94"/>
    <mergeCell ref="B95:D95"/>
    <mergeCell ref="K95:M95"/>
    <mergeCell ref="T95:V95"/>
    <mergeCell ref="B100:D100"/>
    <mergeCell ref="K100:M100"/>
    <mergeCell ref="T100:V100"/>
    <mergeCell ref="B101:D101"/>
    <mergeCell ref="K101:M101"/>
    <mergeCell ref="T101:V101"/>
    <mergeCell ref="B98:D98"/>
    <mergeCell ref="K98:M98"/>
    <mergeCell ref="T98:V98"/>
    <mergeCell ref="B99:D99"/>
    <mergeCell ref="K99:M99"/>
    <mergeCell ref="T99:V99"/>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23:F123"/>
    <mergeCell ref="B124:F124"/>
    <mergeCell ref="B125:F125"/>
    <mergeCell ref="B126:F126"/>
    <mergeCell ref="B127:F127"/>
    <mergeCell ref="B128:F128"/>
    <mergeCell ref="B117:F117"/>
    <mergeCell ref="B118:F118"/>
    <mergeCell ref="B119:F119"/>
    <mergeCell ref="B120:F120"/>
    <mergeCell ref="B121:F121"/>
    <mergeCell ref="B122:F122"/>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59:F159"/>
    <mergeCell ref="B160:F160"/>
    <mergeCell ref="B161:F161"/>
    <mergeCell ref="B162:F162"/>
    <mergeCell ref="B163:F163"/>
    <mergeCell ref="B164:F164"/>
    <mergeCell ref="B153:F153"/>
    <mergeCell ref="B154:F154"/>
    <mergeCell ref="B155:F155"/>
    <mergeCell ref="B156:F156"/>
    <mergeCell ref="B157:F157"/>
    <mergeCell ref="B158:F158"/>
  </mergeCells>
  <phoneticPr fontId="5"/>
  <conditionalFormatting sqref="E9:E23">
    <cfRule type="cellIs" dxfId="67" priority="1" operator="equal">
      <formula>0</formula>
    </cfRule>
    <cfRule type="cellIs" dxfId="66" priority="2" operator="equal">
      <formula>0</formula>
    </cfRule>
  </conditionalFormatting>
  <conditionalFormatting sqref="E29:E43">
    <cfRule type="cellIs" dxfId="65" priority="3" operator="equal">
      <formula>0</formula>
    </cfRule>
    <cfRule type="cellIs" dxfId="64" priority="4" operator="equal">
      <formula>0</formula>
    </cfRule>
  </conditionalFormatting>
  <conditionalFormatting sqref="E49:E63">
    <cfRule type="cellIs" dxfId="63" priority="5" operator="equal">
      <formula>0</formula>
    </cfRule>
    <cfRule type="cellIs" dxfId="62" priority="6" operator="equal">
      <formula>0</formula>
    </cfRule>
  </conditionalFormatting>
  <conditionalFormatting sqref="E69:E83">
    <cfRule type="cellIs" dxfId="61" priority="7" operator="equal">
      <formula>0</formula>
    </cfRule>
    <cfRule type="cellIs" dxfId="60" priority="8" operator="equal">
      <formula>0</formula>
    </cfRule>
  </conditionalFormatting>
  <conditionalFormatting sqref="E89:E103">
    <cfRule type="cellIs" dxfId="59" priority="9" operator="equal">
      <formula>0</formula>
    </cfRule>
    <cfRule type="cellIs" dxfId="58" priority="10" operator="equal">
      <formula>0</formula>
    </cfRule>
  </conditionalFormatting>
  <conditionalFormatting sqref="N9:N23">
    <cfRule type="cellIs" dxfId="57" priority="11" operator="equal">
      <formula>0</formula>
    </cfRule>
    <cfRule type="cellIs" dxfId="56" priority="12" operator="equal">
      <formula>0</formula>
    </cfRule>
  </conditionalFormatting>
  <conditionalFormatting sqref="N29:N43">
    <cfRule type="cellIs" dxfId="55" priority="13" operator="equal">
      <formula>0</formula>
    </cfRule>
    <cfRule type="cellIs" dxfId="54" priority="14" operator="equal">
      <formula>0</formula>
    </cfRule>
  </conditionalFormatting>
  <conditionalFormatting sqref="N49:N63">
    <cfRule type="cellIs" dxfId="53" priority="15" operator="equal">
      <formula>0</formula>
    </cfRule>
    <cfRule type="cellIs" dxfId="52" priority="16" operator="equal">
      <formula>0</formula>
    </cfRule>
  </conditionalFormatting>
  <conditionalFormatting sqref="N69:N83">
    <cfRule type="cellIs" dxfId="51" priority="17" operator="equal">
      <formula>0</formula>
    </cfRule>
    <cfRule type="cellIs" dxfId="50" priority="18" operator="equal">
      <formula>0</formula>
    </cfRule>
  </conditionalFormatting>
  <conditionalFormatting sqref="N89:N103">
    <cfRule type="cellIs" dxfId="49" priority="19" operator="equal">
      <formula>0</formula>
    </cfRule>
    <cfRule type="cellIs" dxfId="48" priority="20" operator="equal">
      <formula>0</formula>
    </cfRule>
  </conditionalFormatting>
  <conditionalFormatting sqref="W9:W23">
    <cfRule type="cellIs" dxfId="47" priority="21" operator="equal">
      <formula>0</formula>
    </cfRule>
    <cfRule type="cellIs" dxfId="46" priority="22" operator="equal">
      <formula>0</formula>
    </cfRule>
  </conditionalFormatting>
  <conditionalFormatting sqref="W29:W43">
    <cfRule type="cellIs" dxfId="45" priority="23" operator="equal">
      <formula>0</formula>
    </cfRule>
    <cfRule type="cellIs" dxfId="44" priority="24" operator="equal">
      <formula>0</formula>
    </cfRule>
  </conditionalFormatting>
  <conditionalFormatting sqref="W49:W63">
    <cfRule type="cellIs" dxfId="43" priority="25" operator="equal">
      <formula>0</formula>
    </cfRule>
    <cfRule type="cellIs" dxfId="42" priority="26" operator="equal">
      <formula>0</formula>
    </cfRule>
  </conditionalFormatting>
  <conditionalFormatting sqref="W69:W83">
    <cfRule type="cellIs" dxfId="41" priority="27" operator="equal">
      <formula>0</formula>
    </cfRule>
    <cfRule type="cellIs" dxfId="40" priority="28" operator="equal">
      <formula>0</formula>
    </cfRule>
  </conditionalFormatting>
  <conditionalFormatting sqref="W89:W103">
    <cfRule type="cellIs" dxfId="39" priority="29" operator="equal">
      <formula>0</formula>
    </cfRule>
    <cfRule type="cellIs" dxfId="38" priority="30" operator="equal">
      <formula>0</formula>
    </cfRule>
  </conditionalFormatting>
  <conditionalFormatting sqref="AF9:AF23">
    <cfRule type="cellIs" dxfId="37" priority="31" operator="equal">
      <formula>0</formula>
    </cfRule>
    <cfRule type="cellIs" dxfId="36" priority="32" operator="equal">
      <formula>0</formula>
    </cfRule>
  </conditionalFormatting>
  <conditionalFormatting sqref="AF29:AF43">
    <cfRule type="cellIs" dxfId="35" priority="33" operator="equal">
      <formula>0</formula>
    </cfRule>
    <cfRule type="cellIs" dxfId="34" priority="34" operator="equal">
      <formula>0</formula>
    </cfRule>
  </conditionalFormatting>
  <conditionalFormatting sqref="AF49:AF63">
    <cfRule type="cellIs" dxfId="33" priority="35" operator="equal">
      <formula>0</formula>
    </cfRule>
    <cfRule type="cellIs" dxfId="32" priority="36" operator="equal">
      <formula>0</formula>
    </cfRule>
  </conditionalFormatting>
  <conditionalFormatting sqref="AF69:AF83">
    <cfRule type="cellIs" dxfId="31" priority="37" operator="equal">
      <formula>0</formula>
    </cfRule>
    <cfRule type="cellIs" dxfId="30" priority="38" operator="equal">
      <formula>0</formula>
    </cfRule>
  </conditionalFormatting>
  <conditionalFormatting sqref="AO9:AO23">
    <cfRule type="cellIs" dxfId="29" priority="39" operator="equal">
      <formula>0</formula>
    </cfRule>
    <cfRule type="cellIs" dxfId="28" priority="40" operator="equal">
      <formula>0</formula>
    </cfRule>
  </conditionalFormatting>
  <conditionalFormatting sqref="AO29:AO43">
    <cfRule type="cellIs" dxfId="27" priority="41" operator="equal">
      <formula>0</formula>
    </cfRule>
    <cfRule type="cellIs" dxfId="26" priority="42" operator="equal">
      <formula>0</formula>
    </cfRule>
  </conditionalFormatting>
  <conditionalFormatting sqref="AO49:AO63">
    <cfRule type="cellIs" dxfId="25" priority="43" operator="equal">
      <formula>0</formula>
    </cfRule>
    <cfRule type="cellIs" dxfId="24" priority="44" operator="equal">
      <formula>0</formula>
    </cfRule>
  </conditionalFormatting>
  <conditionalFormatting sqref="AO69:AO83">
    <cfRule type="cellIs" dxfId="23" priority="45" operator="equal">
      <formula>0</formula>
    </cfRule>
    <cfRule type="cellIs" dxfId="22" priority="46" operator="equal">
      <formula>0</formula>
    </cfRule>
  </conditionalFormatting>
  <conditionalFormatting sqref="AX9:AX23">
    <cfRule type="cellIs" dxfId="21" priority="47" operator="equal">
      <formula>0</formula>
    </cfRule>
    <cfRule type="cellIs" dxfId="20" priority="48" operator="equal">
      <formula>0</formula>
    </cfRule>
  </conditionalFormatting>
  <conditionalFormatting sqref="AX29:AX43">
    <cfRule type="cellIs" dxfId="19" priority="49" operator="equal">
      <formula>0</formula>
    </cfRule>
    <cfRule type="cellIs" dxfId="18" priority="50" operator="equal">
      <formula>0</formula>
    </cfRule>
  </conditionalFormatting>
  <conditionalFormatting sqref="AX49:AX63">
    <cfRule type="cellIs" dxfId="17" priority="51" operator="equal">
      <formula>0</formula>
    </cfRule>
    <cfRule type="cellIs" dxfId="16" priority="52" operator="equal">
      <formula>0</formula>
    </cfRule>
  </conditionalFormatting>
  <conditionalFormatting sqref="AX69:AX83">
    <cfRule type="cellIs" dxfId="15" priority="53" operator="equal">
      <formula>0</formula>
    </cfRule>
    <cfRule type="cellIs" dxfId="14" priority="54" operator="equal">
      <formula>0</formula>
    </cfRule>
  </conditionalFormatting>
  <conditionalFormatting sqref="BG9:BG23">
    <cfRule type="cellIs" dxfId="13" priority="55" operator="equal">
      <formula>0</formula>
    </cfRule>
    <cfRule type="cellIs" dxfId="12" priority="56" operator="equal">
      <formula>0</formula>
    </cfRule>
  </conditionalFormatting>
  <conditionalFormatting sqref="BG29:BG43">
    <cfRule type="cellIs" dxfId="11" priority="57" operator="equal">
      <formula>0</formula>
    </cfRule>
    <cfRule type="cellIs" dxfId="10" priority="58" operator="equal">
      <formula>0</formula>
    </cfRule>
  </conditionalFormatting>
  <conditionalFormatting sqref="BG49:BG63">
    <cfRule type="cellIs" dxfId="9" priority="59" operator="equal">
      <formula>0</formula>
    </cfRule>
    <cfRule type="cellIs" dxfId="8" priority="60" operator="equal">
      <formula>0</formula>
    </cfRule>
  </conditionalFormatting>
  <conditionalFormatting sqref="BG69:BG83">
    <cfRule type="cellIs" dxfId="7" priority="61" operator="equal">
      <formula>0</formula>
    </cfRule>
    <cfRule type="cellIs" dxfId="6" priority="62" operator="equal">
      <formula>0</formula>
    </cfRule>
  </conditionalFormatting>
  <conditionalFormatting sqref="I115:I164">
    <cfRule type="cellIs" dxfId="5" priority="63" operator="equal">
      <formula>$K$111</formula>
    </cfRule>
    <cfRule type="cellIs" dxfId="4" priority="64" operator="equal">
      <formula>$J$111</formula>
    </cfRule>
    <cfRule type="cellIs" dxfId="3" priority="65" operator="equal">
      <formula>$I$111</formula>
    </cfRule>
  </conditionalFormatting>
  <conditionalFormatting sqref="J115:J164">
    <cfRule type="cellIs" dxfId="2" priority="66" operator="equal">
      <formula>$P$111</formula>
    </cfRule>
    <cfRule type="cellIs" dxfId="1" priority="67" operator="equal">
      <formula>$O$111</formula>
    </cfRule>
    <cfRule type="cellIs" dxfId="0" priority="68" operator="equal">
      <formula>$N$111</formula>
    </cfRule>
  </conditionalFormatting>
  <dataValidations count="2">
    <dataValidation type="list" allowBlank="1" showInputMessage="1" showErrorMessage="1" sqref="J115:J164" xr:uid="{9F7C0EE7-8E2C-467A-8A07-B6FCA894E3D3}">
      <formula1>$N$111:$P$111</formula1>
    </dataValidation>
    <dataValidation type="list" allowBlank="1" showInputMessage="1" showErrorMessage="1" sqref="I115:I164" xr:uid="{576E8D50-2E36-4C3A-A317-64A68ED29C7C}">
      <formula1>$I$111:$K$111</formula1>
    </dataValidation>
  </dataValidations>
  <hyperlinks>
    <hyperlink ref="L1" location="ダッシュボード!A2" display="▶ダッシュボードへ" xr:uid="{2C713E09-0355-4C3F-BAE0-8E3F6DCAF37F}"/>
  </hyperlink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DocSecurity>0</DocSecurity>
  <ScaleCrop>false</ScaleCrop>
  <HeadingPairs>
    <vt:vector size="2" baseType="variant">
      <vt:variant>
        <vt:lpstr>ワークシート</vt:lpstr>
      </vt:variant>
      <vt:variant>
        <vt:i4>9</vt:i4>
      </vt:variant>
    </vt:vector>
  </HeadingPairs>
  <TitlesOfParts>
    <vt:vector size="9" baseType="lpstr">
      <vt:lpstr>マニュアル</vt:lpstr>
      <vt:lpstr>業務メモ</vt:lpstr>
      <vt:lpstr>業務メモ_Webデザイン</vt:lpstr>
      <vt:lpstr>売上工数管理</vt:lpstr>
      <vt:lpstr>体調管理</vt:lpstr>
      <vt:lpstr>案件コード</vt:lpstr>
      <vt:lpstr>基本データ</vt:lpstr>
      <vt:lpstr>ダッシュボード</vt:lpstr>
      <vt:lpstr>2025_10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
  <dcterms:created xsi:type="dcterms:W3CDTF">2025-09-14T04:43:50Z</dcterms:created>
  <dcterms:modified xsi:type="dcterms:W3CDTF">2025-10-04T08:18:57Z</dcterms:modified>
  <dc:language/>
</cp:coreProperties>
</file>
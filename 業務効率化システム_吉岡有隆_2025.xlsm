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filterPrivacy="1" updateLinks="always" codeName="ThisWorkbook" defaultThemeVersion="202300"/>
  <xr:revisionPtr revIDLastSave="0" documentId="13_ncr:1_{EC94C27A-3681-4A7F-877B-31F146C94A45}" xr6:coauthVersionLast="47" xr6:coauthVersionMax="47" xr10:uidLastSave="{00000000-0000-0000-0000-000000000000}"/>
  <bookViews>
    <workbookView xWindow="-108" yWindow="-108" windowWidth="23256" windowHeight="12456" tabRatio="500" xr2:uid="{00000000-000D-0000-FFFF-FFFF00000000}"/>
  </bookViews>
  <sheets>
    <sheet name="マニュアル" sheetId="10" r:id="rId1"/>
    <sheet name="業務メモ" sheetId="2" r:id="rId2"/>
    <sheet name="業務メモ_Webデザイン" sheetId="11" r:id="rId3"/>
    <sheet name="売上工数管理" sheetId="7" r:id="rId4"/>
    <sheet name="案件コード" sheetId="3" r:id="rId5"/>
    <sheet name="基本データ" sheetId="4" r:id="rId6"/>
    <sheet name="ダッシュボード" sheetId="9" r:id="rId7"/>
    <sheet name="2025_09" sheetId="19" r:id="rId8"/>
  </sheets>
  <definedNames>
    <definedName name="_xlnm._FilterDatabase" localSheetId="7" hidden="1">'2025_09'!$G$114:$J$114</definedName>
    <definedName name="_xlnm._FilterDatabase" localSheetId="6" hidden="1">ダッシュボード!$C$40:$C$46</definedName>
    <definedName name="_xlnm._FilterDatabase" localSheetId="5" hidden="1">基本データ!$G$114:$J$114</definedName>
    <definedName name="_xlpm.addrsAny" hidden="1" xlm="1">#NAME?</definedName>
    <definedName name="_xlpm.addrsBlank" hidden="1" xlm="1">#NAME?</definedName>
    <definedName name="_xlpm.arr" hidden="1" xlm="1">#NAME?</definedName>
    <definedName name="_xlpm.base" hidden="1" xlm="1">#NAME?</definedName>
    <definedName name="_xlpm.cnt" hidden="1" xlm="1">#NAME?</definedName>
    <definedName name="_xlpm.code" hidden="1" xlm="1">#NAME?</definedName>
    <definedName name="_xlpm.d" hidden="1" xlm="1">#NAME?</definedName>
    <definedName name="_xlpm.d0" hidden="1" xlm="1">#NAME?</definedName>
    <definedName name="_xlpm.data" hidden="1" xlm="1">#NAME?</definedName>
    <definedName name="_xlpm.dts" hidden="1" xlm="1">#NAME?</definedName>
    <definedName name="_xlpm.du" hidden="1" xlm="1">#NAME?</definedName>
    <definedName name="_xlpm.due" hidden="1" xlm="1">#NAME?</definedName>
    <definedName name="_xlpm.e" hidden="1" xlm="1">#NAME?</definedName>
    <definedName name="_xlpm.filt" hidden="1" xlm="1">#NAME?</definedName>
    <definedName name="_xlpm.firstAny" hidden="1" xlm="1">#NAME?</definedName>
    <definedName name="_xlpm.firstBlank" hidden="1" xlm="1">#NAME?</definedName>
    <definedName name="_xlpm.flatAny" hidden="1" xlm="1">#NAME?</definedName>
    <definedName name="_xlpm.flatBlank" hidden="1" xlm="1">#NAME?</definedName>
    <definedName name="_xlpm.hdr" hidden="1" xlm="1">#NAME?</definedName>
    <definedName name="_xlpm.hit" hidden="1" xlm="1">#NAME?</definedName>
    <definedName name="_xlpm.idx" hidden="1" xlm="1">#NAME?</definedName>
    <definedName name="_xlpm.im" hidden="1" xlm="1">#NAME?</definedName>
    <definedName name="_xlpm.imp" hidden="1" xlm="1">#NAME?</definedName>
    <definedName name="_xlpm.imps" hidden="1" xlm="1">#NAME?</definedName>
    <definedName name="_xlpm.isDue" hidden="1" xlm="1">#NAME?</definedName>
    <definedName name="_xlpm.k" hidden="1" xlm="1">#NAME?</definedName>
    <definedName name="_xlpm.keys" hidden="1" xlm="1">#NAME?</definedName>
    <definedName name="_xlpm.m" hidden="1" xlm="1">#NAME?</definedName>
    <definedName name="_xlpm.mask" hidden="1" xlm="1">#NAME?</definedName>
    <definedName name="_xlpm.maskBlank" hidden="1" xlm="1">#NAME?</definedName>
    <definedName name="_xlpm.mDate" hidden="1" xlm="1">#NAME?</definedName>
    <definedName name="_xlpm.mText" hidden="1" xlm="1">#NAME?</definedName>
    <definedName name="_xlpm.mx" hidden="1" xlm="1">#NAME?</definedName>
    <definedName name="_xlpm.my" hidden="1" xlm="1">#NAME?</definedName>
    <definedName name="_xlpm.n" hidden="1" xlm="1">#NAME?</definedName>
    <definedName name="_xlpm.names" hidden="1" xlm="1">#NAME?</definedName>
    <definedName name="_xlpm.namesT" hidden="1" xlm="1">#NAME?</definedName>
    <definedName name="_xlpm.norm" hidden="1" xlm="1">#NAME?</definedName>
    <definedName name="_xlpm.ord" hidden="1" xlm="1">#NAME?</definedName>
    <definedName name="_xlpm.prio" hidden="1" xlm="1">#NAME?</definedName>
    <definedName name="_xlpm.r" hidden="1" xlm="1">#NAME?</definedName>
    <definedName name="_xlpm.raw" hidden="1" xlm="1">#NAME?</definedName>
    <definedName name="_xlpm.recent" hidden="1" xlm="1">#NAME?</definedName>
    <definedName name="_xlpm.rng" hidden="1" xlm="1">#NAME?</definedName>
    <definedName name="_xlpm.rngR" hidden="1" xlm="1">#NAME?</definedName>
    <definedName name="_xlpm.rowvals" hidden="1" xlm="1">#NAME?</definedName>
    <definedName name="_xlpm.s" hidden="1" xlm="1">#NAME?</definedName>
    <definedName name="_xlpm.sE" hidden="1" xlm="1">#NAME?</definedName>
    <definedName name="_xlpm.sF" hidden="1" xlm="1">#NAME?</definedName>
    <definedName name="_xlpm.sG" hidden="1" xlm="1">#NAME?</definedName>
    <definedName name="_xlpm.sH" hidden="1" xlm="1">#NAME?</definedName>
    <definedName name="_xlpm.sI" hidden="1" xlm="1">#NAME?</definedName>
    <definedName name="_xlpm.sJ" hidden="1" xlm="1">#NAME?</definedName>
    <definedName name="_xlpm.sK" hidden="1" xlm="1">#NAME?</definedName>
    <definedName name="_xlpm.sL" hidden="1" xlm="1">#NAME?</definedName>
    <definedName name="_xlpm.sM" hidden="1" xlm="1">#NAME?</definedName>
    <definedName name="_xlpm.sn" hidden="1" xlm="1">#NAME?</definedName>
    <definedName name="_xlpm.sname" hidden="1" xlm="1">#NAME?</definedName>
    <definedName name="_xlpm.sO" hidden="1" xlm="1">#NAME?</definedName>
    <definedName name="_xlpm.sorted" hidden="1" xlm="1">#NAME?</definedName>
    <definedName name="_xlpm.st" hidden="1" xlm="1">#NAME?</definedName>
    <definedName name="_xlpm.stats" hidden="1" xlm="1">#NAME?</definedName>
    <definedName name="_xlpm.sums" hidden="1" xlm="1">#NAME?</definedName>
    <definedName name="_xlpm.sumv" hidden="1" xlm="1">#NAME?</definedName>
    <definedName name="_xlpm.tgt" hidden="1" xlm="1">#NAME?</definedName>
    <definedName name="_xlpm.tgtfmt" hidden="1" xlm="1">#NAME?</definedName>
    <definedName name="_xlpm.this" hidden="1" xlm="1">#NAME?</definedName>
    <definedName name="_xlpm.tn" hidden="1" xlm="1">#NAME?</definedName>
    <definedName name="_xlpm.top" hidden="1" xlm="1">#NAME?</definedName>
    <definedName name="_xlpm.topnames" hidden="1" xlm="1">#NAME?</definedName>
    <definedName name="_xlpm.v" hidden="1" xlm="1">#NAME?</definedName>
    <definedName name="_xlpm.vals" hidden="1" xlm="1">#NAME?</definedName>
    <definedName name="_xlpm.valsT" hidden="1" xlm="1">#NAME?</definedName>
    <definedName name="_xlpm.y" hidden="1" xlm="1">#NAME?</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K109" i="19" l="1" a="1"/>
  <c r="K109" i="19" s="1"/>
  <c r="J109" i="19" a="1"/>
  <c r="J109" i="19" s="1"/>
  <c r="I109" i="19" a="1"/>
  <c r="I109" i="19" s="1"/>
  <c r="H109" i="19" a="1"/>
  <c r="H109" i="19" s="1"/>
  <c r="G109" i="19" a="1"/>
  <c r="G109" i="19" s="1"/>
  <c r="F109" i="19" a="1"/>
  <c r="F109" i="19" s="1"/>
  <c r="E109" i="19" a="1"/>
  <c r="E109" i="19" s="1"/>
  <c r="D109" i="19" a="1"/>
  <c r="D109" i="19" s="1"/>
  <c r="C109" i="19" a="1"/>
  <c r="C109" i="19" s="1"/>
  <c r="B109" i="19" a="1"/>
  <c r="B109" i="19" s="1"/>
  <c r="B108" i="19" a="1"/>
  <c r="B108" i="19" s="1"/>
  <c r="L107" i="19"/>
  <c r="K107" i="19"/>
  <c r="J107" i="19"/>
  <c r="I107" i="19"/>
  <c r="H107" i="19"/>
  <c r="G107" i="19"/>
  <c r="F107" i="19"/>
  <c r="E107" i="19"/>
  <c r="D107" i="19"/>
  <c r="C107" i="19"/>
  <c r="B107" i="19"/>
  <c r="Z104" i="19"/>
  <c r="Q104" i="19"/>
  <c r="H104" i="19"/>
  <c r="W103" i="19"/>
  <c r="T103" i="19"/>
  <c r="N103" i="19"/>
  <c r="K103" i="19"/>
  <c r="E103" i="19"/>
  <c r="B103" i="19"/>
  <c r="W102" i="19"/>
  <c r="T102" i="19"/>
  <c r="N102" i="19"/>
  <c r="K102" i="19"/>
  <c r="E102" i="19"/>
  <c r="B102" i="19"/>
  <c r="W101" i="19"/>
  <c r="T101" i="19"/>
  <c r="N101" i="19"/>
  <c r="K101" i="19"/>
  <c r="E101" i="19"/>
  <c r="B101" i="19"/>
  <c r="W100" i="19"/>
  <c r="T100" i="19"/>
  <c r="N100" i="19"/>
  <c r="K100" i="19"/>
  <c r="E100" i="19"/>
  <c r="B100" i="19"/>
  <c r="W99" i="19"/>
  <c r="T99" i="19"/>
  <c r="N99" i="19"/>
  <c r="K99" i="19"/>
  <c r="E99" i="19"/>
  <c r="B99" i="19"/>
  <c r="W98" i="19"/>
  <c r="T98" i="19"/>
  <c r="N98" i="19"/>
  <c r="K98" i="19"/>
  <c r="E98" i="19"/>
  <c r="B98" i="19"/>
  <c r="W97" i="19"/>
  <c r="T97" i="19"/>
  <c r="N97" i="19"/>
  <c r="K97" i="19"/>
  <c r="E97" i="19"/>
  <c r="B97" i="19"/>
  <c r="W96" i="19"/>
  <c r="T96" i="19"/>
  <c r="N96" i="19"/>
  <c r="K96" i="19"/>
  <c r="E96" i="19"/>
  <c r="B96" i="19"/>
  <c r="W95" i="19"/>
  <c r="T95" i="19"/>
  <c r="N95" i="19"/>
  <c r="K95" i="19"/>
  <c r="E95" i="19"/>
  <c r="B95" i="19"/>
  <c r="W94" i="19"/>
  <c r="T94" i="19"/>
  <c r="N94" i="19"/>
  <c r="K94" i="19"/>
  <c r="E94" i="19"/>
  <c r="B94" i="19"/>
  <c r="W93" i="19"/>
  <c r="T93" i="19"/>
  <c r="N93" i="19"/>
  <c r="K93" i="19"/>
  <c r="E93" i="19"/>
  <c r="B93" i="19"/>
  <c r="W92" i="19"/>
  <c r="T92" i="19"/>
  <c r="N92" i="19"/>
  <c r="K92" i="19"/>
  <c r="E92" i="19"/>
  <c r="B92" i="19"/>
  <c r="W91" i="19"/>
  <c r="T91" i="19"/>
  <c r="N91" i="19"/>
  <c r="K91" i="19"/>
  <c r="E91" i="19"/>
  <c r="B91" i="19"/>
  <c r="W90" i="19"/>
  <c r="T90" i="19"/>
  <c r="N90" i="19"/>
  <c r="K90" i="19"/>
  <c r="E90" i="19"/>
  <c r="B90" i="19"/>
  <c r="W89" i="19"/>
  <c r="T89" i="19"/>
  <c r="N89" i="19"/>
  <c r="K89" i="19"/>
  <c r="E89" i="19"/>
  <c r="B89" i="19"/>
  <c r="W86" i="19"/>
  <c r="X86" i="19" s="1"/>
  <c r="AI3" i="19" s="1"/>
  <c r="S86" i="19"/>
  <c r="O86" i="19"/>
  <c r="AH3" i="19" s="1"/>
  <c r="N86" i="19"/>
  <c r="E86" i="19"/>
  <c r="F86" i="19" s="1"/>
  <c r="AG3" i="19" s="1"/>
  <c r="BJ84" i="19"/>
  <c r="BA84" i="19"/>
  <c r="AR84" i="19"/>
  <c r="AI84" i="19"/>
  <c r="Z84" i="19"/>
  <c r="Q84" i="19"/>
  <c r="H84" i="19"/>
  <c r="BG83" i="19"/>
  <c r="BD83" i="19"/>
  <c r="AX83" i="19"/>
  <c r="AU83" i="19"/>
  <c r="AO83" i="19"/>
  <c r="AL83" i="19"/>
  <c r="AF83" i="19"/>
  <c r="AC83" i="19"/>
  <c r="W83" i="19"/>
  <c r="T83" i="19"/>
  <c r="N83" i="19"/>
  <c r="K83" i="19"/>
  <c r="E83" i="19"/>
  <c r="B83" i="19"/>
  <c r="BG82" i="19"/>
  <c r="BD82" i="19"/>
  <c r="AX82" i="19"/>
  <c r="AU82" i="19"/>
  <c r="AO82" i="19"/>
  <c r="AL82" i="19"/>
  <c r="AF82" i="19"/>
  <c r="AC82" i="19"/>
  <c r="W82" i="19"/>
  <c r="T82" i="19"/>
  <c r="N82" i="19"/>
  <c r="K82" i="19"/>
  <c r="E82" i="19"/>
  <c r="B82" i="19"/>
  <c r="BG81" i="19"/>
  <c r="BD81" i="19"/>
  <c r="AX81" i="19"/>
  <c r="AU81" i="19"/>
  <c r="AO81" i="19"/>
  <c r="AL81" i="19"/>
  <c r="AF81" i="19"/>
  <c r="AC81" i="19"/>
  <c r="W81" i="19"/>
  <c r="T81" i="19"/>
  <c r="N81" i="19"/>
  <c r="K81" i="19"/>
  <c r="E81" i="19"/>
  <c r="B81" i="19"/>
  <c r="BG80" i="19"/>
  <c r="BD80" i="19"/>
  <c r="AX80" i="19"/>
  <c r="AU80" i="19"/>
  <c r="AO80" i="19"/>
  <c r="AL80" i="19"/>
  <c r="AF80" i="19"/>
  <c r="AC80" i="19"/>
  <c r="W80" i="19"/>
  <c r="T80" i="19"/>
  <c r="N80" i="19"/>
  <c r="K80" i="19"/>
  <c r="E80" i="19"/>
  <c r="B80" i="19"/>
  <c r="BG79" i="19"/>
  <c r="BD79" i="19"/>
  <c r="AX79" i="19"/>
  <c r="AU79" i="19"/>
  <c r="AO79" i="19"/>
  <c r="AL79" i="19"/>
  <c r="AF79" i="19"/>
  <c r="AC79" i="19"/>
  <c r="W79" i="19"/>
  <c r="T79" i="19"/>
  <c r="N79" i="19"/>
  <c r="K79" i="19"/>
  <c r="E79" i="19"/>
  <c r="B79" i="19"/>
  <c r="BG78" i="19"/>
  <c r="BD78" i="19"/>
  <c r="AX78" i="19"/>
  <c r="AU78" i="19"/>
  <c r="AO78" i="19"/>
  <c r="AL78" i="19"/>
  <c r="AF78" i="19"/>
  <c r="AC78" i="19"/>
  <c r="W78" i="19"/>
  <c r="T78" i="19"/>
  <c r="N78" i="19"/>
  <c r="K78" i="19"/>
  <c r="E78" i="19"/>
  <c r="B78" i="19"/>
  <c r="BG77" i="19"/>
  <c r="BD77" i="19"/>
  <c r="AX77" i="19"/>
  <c r="AU77" i="19"/>
  <c r="AO77" i="19"/>
  <c r="AL77" i="19"/>
  <c r="AF77" i="19"/>
  <c r="AC77" i="19"/>
  <c r="W77" i="19"/>
  <c r="T77" i="19"/>
  <c r="N77" i="19"/>
  <c r="K77" i="19"/>
  <c r="E77" i="19"/>
  <c r="B77" i="19"/>
  <c r="BG76" i="19"/>
  <c r="BD76" i="19"/>
  <c r="AX76" i="19"/>
  <c r="AU76" i="19"/>
  <c r="AO76" i="19"/>
  <c r="AL76" i="19"/>
  <c r="AF76" i="19"/>
  <c r="AC76" i="19"/>
  <c r="W76" i="19"/>
  <c r="T76" i="19"/>
  <c r="N76" i="19"/>
  <c r="K76" i="19"/>
  <c r="E76" i="19"/>
  <c r="B76" i="19"/>
  <c r="BG75" i="19"/>
  <c r="BD75" i="19"/>
  <c r="AX75" i="19"/>
  <c r="AU75" i="19"/>
  <c r="AO75" i="19"/>
  <c r="AL75" i="19"/>
  <c r="AF75" i="19"/>
  <c r="AC75" i="19"/>
  <c r="W75" i="19"/>
  <c r="T75" i="19"/>
  <c r="N75" i="19"/>
  <c r="K75" i="19"/>
  <c r="E75" i="19"/>
  <c r="B75" i="19"/>
  <c r="BG74" i="19"/>
  <c r="BD74" i="19"/>
  <c r="AX74" i="19"/>
  <c r="AU74" i="19"/>
  <c r="AO74" i="19"/>
  <c r="AL74" i="19"/>
  <c r="AF74" i="19"/>
  <c r="AC74" i="19"/>
  <c r="W74" i="19"/>
  <c r="T74" i="19"/>
  <c r="N74" i="19"/>
  <c r="K74" i="19"/>
  <c r="E74" i="19"/>
  <c r="B74" i="19"/>
  <c r="BG73" i="19"/>
  <c r="BD73" i="19"/>
  <c r="AX73" i="19"/>
  <c r="AU73" i="19"/>
  <c r="AO73" i="19"/>
  <c r="AL73" i="19"/>
  <c r="AF73" i="19"/>
  <c r="AC73" i="19"/>
  <c r="W73" i="19"/>
  <c r="T73" i="19"/>
  <c r="N73" i="19"/>
  <c r="K73" i="19"/>
  <c r="E73" i="19"/>
  <c r="B73" i="19"/>
  <c r="BG72" i="19"/>
  <c r="BD72" i="19"/>
  <c r="AX72" i="19"/>
  <c r="AU72" i="19"/>
  <c r="AO72" i="19"/>
  <c r="AL72" i="19"/>
  <c r="AF72" i="19"/>
  <c r="AC72" i="19"/>
  <c r="W72" i="19"/>
  <c r="T72" i="19"/>
  <c r="N72" i="19"/>
  <c r="K72" i="19"/>
  <c r="E72" i="19"/>
  <c r="B72" i="19"/>
  <c r="BG71" i="19"/>
  <c r="BD71" i="19"/>
  <c r="AX71" i="19"/>
  <c r="AU71" i="19"/>
  <c r="AO71" i="19"/>
  <c r="AL71" i="19"/>
  <c r="AF71" i="19"/>
  <c r="AC71" i="19"/>
  <c r="W71" i="19"/>
  <c r="T71" i="19"/>
  <c r="N71" i="19"/>
  <c r="K71" i="19"/>
  <c r="E71" i="19"/>
  <c r="B71" i="19"/>
  <c r="BG70" i="19"/>
  <c r="BD70" i="19"/>
  <c r="AX70" i="19"/>
  <c r="AU70" i="19"/>
  <c r="AO70" i="19"/>
  <c r="AL70" i="19"/>
  <c r="AF70" i="19"/>
  <c r="AC70" i="19"/>
  <c r="W70" i="19"/>
  <c r="T70" i="19"/>
  <c r="N70" i="19"/>
  <c r="K70" i="19"/>
  <c r="E70" i="19"/>
  <c r="B70" i="19"/>
  <c r="BG69" i="19"/>
  <c r="BD69" i="19"/>
  <c r="AX69" i="19"/>
  <c r="AU69" i="19"/>
  <c r="AO69" i="19"/>
  <c r="AL69" i="19"/>
  <c r="AF69" i="19"/>
  <c r="AC69" i="19"/>
  <c r="W69" i="19"/>
  <c r="T69" i="19"/>
  <c r="N69" i="19"/>
  <c r="K69" i="19"/>
  <c r="E69" i="19"/>
  <c r="B69" i="19"/>
  <c r="BG66" i="19"/>
  <c r="BH66" i="19" s="1"/>
  <c r="AF3" i="19" s="1"/>
  <c r="AY66" i="19"/>
  <c r="AE3" i="19" s="1"/>
  <c r="AX66" i="19"/>
  <c r="AO66" i="19"/>
  <c r="AP66" i="19" s="1"/>
  <c r="AD3" i="19" s="1"/>
  <c r="AG66" i="19"/>
  <c r="AF66" i="19"/>
  <c r="W66" i="19"/>
  <c r="X66" i="19" s="1"/>
  <c r="AB3" i="19" s="1"/>
  <c r="O66" i="19"/>
  <c r="N66" i="19"/>
  <c r="E66" i="19"/>
  <c r="F66" i="19" s="1"/>
  <c r="Z3" i="19" s="1"/>
  <c r="BJ64" i="19"/>
  <c r="BA64" i="19"/>
  <c r="AR64" i="19"/>
  <c r="AI64" i="19"/>
  <c r="Z64" i="19"/>
  <c r="Q64" i="19"/>
  <c r="H64" i="19"/>
  <c r="BG63" i="19"/>
  <c r="BD63" i="19"/>
  <c r="AX63" i="19"/>
  <c r="AU63" i="19"/>
  <c r="AO63" i="19"/>
  <c r="AL63" i="19"/>
  <c r="AF63" i="19"/>
  <c r="AC63" i="19"/>
  <c r="W63" i="19"/>
  <c r="T63" i="19"/>
  <c r="N63" i="19"/>
  <c r="K63" i="19"/>
  <c r="E63" i="19"/>
  <c r="B63" i="19"/>
  <c r="BG62" i="19"/>
  <c r="BD62" i="19"/>
  <c r="AX62" i="19"/>
  <c r="AU62" i="19"/>
  <c r="AO62" i="19"/>
  <c r="AL62" i="19"/>
  <c r="AF62" i="19"/>
  <c r="AC62" i="19"/>
  <c r="W62" i="19"/>
  <c r="T62" i="19"/>
  <c r="N62" i="19"/>
  <c r="K62" i="19"/>
  <c r="E62" i="19"/>
  <c r="B62" i="19"/>
  <c r="BG61" i="19"/>
  <c r="BD61" i="19"/>
  <c r="AX61" i="19"/>
  <c r="AU61" i="19"/>
  <c r="AO61" i="19"/>
  <c r="AL61" i="19"/>
  <c r="AF61" i="19"/>
  <c r="AC61" i="19"/>
  <c r="W61" i="19"/>
  <c r="T61" i="19"/>
  <c r="N61" i="19"/>
  <c r="K61" i="19"/>
  <c r="E61" i="19"/>
  <c r="B61" i="19"/>
  <c r="BG60" i="19"/>
  <c r="BD60" i="19"/>
  <c r="AX60" i="19"/>
  <c r="AU60" i="19"/>
  <c r="AO60" i="19"/>
  <c r="AL60" i="19"/>
  <c r="AF60" i="19"/>
  <c r="AC60" i="19"/>
  <c r="W60" i="19"/>
  <c r="T60" i="19"/>
  <c r="N60" i="19"/>
  <c r="K60" i="19"/>
  <c r="E60" i="19"/>
  <c r="B60" i="19"/>
  <c r="BG59" i="19"/>
  <c r="BD59" i="19"/>
  <c r="AX59" i="19"/>
  <c r="AU59" i="19"/>
  <c r="AO59" i="19"/>
  <c r="AL59" i="19"/>
  <c r="AF59" i="19"/>
  <c r="AC59" i="19"/>
  <c r="W59" i="19"/>
  <c r="T59" i="19"/>
  <c r="N59" i="19"/>
  <c r="K59" i="19"/>
  <c r="E59" i="19"/>
  <c r="B59" i="19"/>
  <c r="BG58" i="19"/>
  <c r="BD58" i="19"/>
  <c r="AX58" i="19"/>
  <c r="AU58" i="19"/>
  <c r="AO58" i="19"/>
  <c r="AL58" i="19"/>
  <c r="AF58" i="19"/>
  <c r="AC58" i="19"/>
  <c r="W58" i="19"/>
  <c r="T58" i="19"/>
  <c r="N58" i="19"/>
  <c r="K58" i="19"/>
  <c r="E58" i="19"/>
  <c r="B58" i="19"/>
  <c r="BG57" i="19"/>
  <c r="BD57" i="19"/>
  <c r="AX57" i="19"/>
  <c r="AU57" i="19"/>
  <c r="AO57" i="19"/>
  <c r="AL57" i="19"/>
  <c r="AF57" i="19"/>
  <c r="AC57" i="19"/>
  <c r="W57" i="19"/>
  <c r="T57" i="19"/>
  <c r="N57" i="19"/>
  <c r="K57" i="19"/>
  <c r="E57" i="19"/>
  <c r="B57" i="19"/>
  <c r="BG56" i="19"/>
  <c r="BD56" i="19"/>
  <c r="AX56" i="19"/>
  <c r="AU56" i="19"/>
  <c r="AO56" i="19"/>
  <c r="AL56" i="19"/>
  <c r="AF56" i="19"/>
  <c r="AC56" i="19"/>
  <c r="W56" i="19"/>
  <c r="T56" i="19"/>
  <c r="N56" i="19"/>
  <c r="K56" i="19"/>
  <c r="E56" i="19"/>
  <c r="B56" i="19"/>
  <c r="BG55" i="19"/>
  <c r="BD55" i="19"/>
  <c r="AX55" i="19"/>
  <c r="AU55" i="19"/>
  <c r="AO55" i="19"/>
  <c r="AL55" i="19"/>
  <c r="AF55" i="19"/>
  <c r="AC55" i="19"/>
  <c r="W55" i="19"/>
  <c r="T55" i="19"/>
  <c r="N55" i="19"/>
  <c r="K55" i="19"/>
  <c r="E55" i="19"/>
  <c r="B55" i="19"/>
  <c r="BG54" i="19"/>
  <c r="BD54" i="19"/>
  <c r="AX54" i="19"/>
  <c r="AU54" i="19"/>
  <c r="AO54" i="19"/>
  <c r="AL54" i="19"/>
  <c r="AF54" i="19"/>
  <c r="AC54" i="19"/>
  <c r="W54" i="19"/>
  <c r="T54" i="19"/>
  <c r="N54" i="19"/>
  <c r="K54" i="19"/>
  <c r="E54" i="19"/>
  <c r="B54" i="19"/>
  <c r="BG53" i="19"/>
  <c r="BD53" i="19"/>
  <c r="AX53" i="19"/>
  <c r="AU53" i="19"/>
  <c r="AO53" i="19"/>
  <c r="AL53" i="19"/>
  <c r="AF53" i="19"/>
  <c r="AC53" i="19"/>
  <c r="W53" i="19"/>
  <c r="T53" i="19"/>
  <c r="N53" i="19"/>
  <c r="K53" i="19"/>
  <c r="E53" i="19"/>
  <c r="B53" i="19"/>
  <c r="BG52" i="19"/>
  <c r="BD52" i="19"/>
  <c r="AX52" i="19"/>
  <c r="AU52" i="19"/>
  <c r="AO52" i="19"/>
  <c r="AL52" i="19"/>
  <c r="AF52" i="19"/>
  <c r="AC52" i="19"/>
  <c r="W52" i="19"/>
  <c r="T52" i="19"/>
  <c r="N52" i="19"/>
  <c r="K52" i="19"/>
  <c r="E52" i="19"/>
  <c r="B52" i="19"/>
  <c r="BG51" i="19"/>
  <c r="BD51" i="19"/>
  <c r="AX51" i="19"/>
  <c r="AU51" i="19"/>
  <c r="AO51" i="19"/>
  <c r="AL51" i="19"/>
  <c r="AF51" i="19"/>
  <c r="AC51" i="19"/>
  <c r="W51" i="19"/>
  <c r="T51" i="19"/>
  <c r="N51" i="19"/>
  <c r="K51" i="19"/>
  <c r="E51" i="19"/>
  <c r="B51" i="19"/>
  <c r="BG50" i="19"/>
  <c r="BD50" i="19"/>
  <c r="AX50" i="19"/>
  <c r="AU50" i="19"/>
  <c r="AO50" i="19"/>
  <c r="AL50" i="19"/>
  <c r="AF50" i="19"/>
  <c r="AC50" i="19"/>
  <c r="W50" i="19"/>
  <c r="T50" i="19"/>
  <c r="N50" i="19"/>
  <c r="K50" i="19"/>
  <c r="E50" i="19"/>
  <c r="B50" i="19"/>
  <c r="BG49" i="19"/>
  <c r="BD49" i="19"/>
  <c r="AX49" i="19"/>
  <c r="AU49" i="19"/>
  <c r="AO49" i="19"/>
  <c r="AL49" i="19"/>
  <c r="AF49" i="19"/>
  <c r="AC49" i="19"/>
  <c r="W49" i="19"/>
  <c r="T49" i="19"/>
  <c r="N49" i="19"/>
  <c r="K49" i="19"/>
  <c r="E49" i="19"/>
  <c r="B49" i="19"/>
  <c r="BG46" i="19"/>
  <c r="BH46" i="19" s="1"/>
  <c r="Y3" i="19" s="1"/>
  <c r="AY46" i="19"/>
  <c r="X3" i="19" s="1"/>
  <c r="AX46" i="19"/>
  <c r="AO46" i="19"/>
  <c r="AP46" i="19" s="1"/>
  <c r="W3" i="19" s="1"/>
  <c r="AG46" i="19"/>
  <c r="V3" i="19" s="1"/>
  <c r="AF46" i="19"/>
  <c r="W46" i="19"/>
  <c r="X46" i="19" s="1"/>
  <c r="U3" i="19" s="1"/>
  <c r="O46" i="19"/>
  <c r="T3" i="19" s="1"/>
  <c r="N46" i="19"/>
  <c r="E46" i="19"/>
  <c r="F46" i="19" s="1"/>
  <c r="S3" i="19" s="1"/>
  <c r="BJ44" i="19"/>
  <c r="BA44" i="19"/>
  <c r="AR44" i="19"/>
  <c r="AI44" i="19"/>
  <c r="Z44" i="19"/>
  <c r="Q44" i="19"/>
  <c r="H44" i="19"/>
  <c r="BG43" i="19"/>
  <c r="BD43" i="19"/>
  <c r="AX43" i="19"/>
  <c r="AU43" i="19"/>
  <c r="AO43" i="19"/>
  <c r="AL43" i="19"/>
  <c r="AF43" i="19"/>
  <c r="AC43" i="19"/>
  <c r="W43" i="19"/>
  <c r="T43" i="19"/>
  <c r="N43" i="19"/>
  <c r="K43" i="19"/>
  <c r="E43" i="19"/>
  <c r="B43" i="19"/>
  <c r="BG42" i="19"/>
  <c r="BD42" i="19"/>
  <c r="AX42" i="19"/>
  <c r="AU42" i="19"/>
  <c r="AO42" i="19"/>
  <c r="AL42" i="19"/>
  <c r="AF42" i="19"/>
  <c r="AC42" i="19"/>
  <c r="W42" i="19"/>
  <c r="T42" i="19"/>
  <c r="N42" i="19"/>
  <c r="K42" i="19"/>
  <c r="E42" i="19"/>
  <c r="B42" i="19"/>
  <c r="BG41" i="19"/>
  <c r="BD41" i="19"/>
  <c r="AX41" i="19"/>
  <c r="AU41" i="19"/>
  <c r="AO41" i="19"/>
  <c r="AL41" i="19"/>
  <c r="AF41" i="19"/>
  <c r="AC41" i="19"/>
  <c r="W41" i="19"/>
  <c r="T41" i="19"/>
  <c r="N41" i="19"/>
  <c r="K41" i="19"/>
  <c r="E41" i="19"/>
  <c r="B41" i="19"/>
  <c r="BG40" i="19"/>
  <c r="BD40" i="19"/>
  <c r="AX40" i="19"/>
  <c r="AU40" i="19"/>
  <c r="AO40" i="19"/>
  <c r="AL40" i="19"/>
  <c r="AF40" i="19"/>
  <c r="AC40" i="19"/>
  <c r="W40" i="19"/>
  <c r="T40" i="19"/>
  <c r="N40" i="19"/>
  <c r="K40" i="19"/>
  <c r="E40" i="19"/>
  <c r="B40" i="19"/>
  <c r="BG39" i="19"/>
  <c r="BD39" i="19"/>
  <c r="AX39" i="19"/>
  <c r="AU39" i="19"/>
  <c r="AO39" i="19"/>
  <c r="AL39" i="19"/>
  <c r="AF39" i="19"/>
  <c r="AC39" i="19"/>
  <c r="W39" i="19"/>
  <c r="T39" i="19"/>
  <c r="N39" i="19"/>
  <c r="K39" i="19"/>
  <c r="E39" i="19"/>
  <c r="B39" i="19"/>
  <c r="BG38" i="19"/>
  <c r="BD38" i="19"/>
  <c r="AX38" i="19"/>
  <c r="AU38" i="19"/>
  <c r="AO38" i="19"/>
  <c r="AL38" i="19"/>
  <c r="AF38" i="19"/>
  <c r="AC38" i="19"/>
  <c r="W38" i="19"/>
  <c r="T38" i="19"/>
  <c r="N38" i="19"/>
  <c r="K38" i="19"/>
  <c r="E38" i="19"/>
  <c r="B38" i="19"/>
  <c r="BG37" i="19"/>
  <c r="BD37" i="19"/>
  <c r="AX37" i="19"/>
  <c r="AU37" i="19"/>
  <c r="AO37" i="19"/>
  <c r="AL37" i="19"/>
  <c r="AF37" i="19"/>
  <c r="AC37" i="19"/>
  <c r="W37" i="19"/>
  <c r="T37" i="19"/>
  <c r="N37" i="19"/>
  <c r="K37" i="19"/>
  <c r="E37" i="19"/>
  <c r="B37" i="19"/>
  <c r="BG36" i="19"/>
  <c r="BD36" i="19"/>
  <c r="AX36" i="19"/>
  <c r="AU36" i="19"/>
  <c r="AO36" i="19"/>
  <c r="AL36" i="19"/>
  <c r="AF36" i="19"/>
  <c r="AC36" i="19"/>
  <c r="W36" i="19"/>
  <c r="T36" i="19"/>
  <c r="N36" i="19"/>
  <c r="K36" i="19"/>
  <c r="E36" i="19"/>
  <c r="B36" i="19"/>
  <c r="BG35" i="19"/>
  <c r="BD35" i="19"/>
  <c r="AX35" i="19"/>
  <c r="AU35" i="19"/>
  <c r="AO35" i="19"/>
  <c r="AL35" i="19"/>
  <c r="AF35" i="19"/>
  <c r="AC35" i="19"/>
  <c r="W35" i="19"/>
  <c r="T35" i="19"/>
  <c r="N35" i="19"/>
  <c r="K35" i="19"/>
  <c r="E35" i="19"/>
  <c r="B35" i="19"/>
  <c r="BG34" i="19"/>
  <c r="BD34" i="19"/>
  <c r="AX34" i="19"/>
  <c r="AU34" i="19"/>
  <c r="AO34" i="19"/>
  <c r="AL34" i="19"/>
  <c r="AF34" i="19"/>
  <c r="AC34" i="19"/>
  <c r="W34" i="19"/>
  <c r="T34" i="19"/>
  <c r="N34" i="19"/>
  <c r="K34" i="19"/>
  <c r="E34" i="19"/>
  <c r="B34" i="19"/>
  <c r="BG33" i="19"/>
  <c r="BD33" i="19"/>
  <c r="AX33" i="19"/>
  <c r="AU33" i="19"/>
  <c r="AO33" i="19"/>
  <c r="AL33" i="19"/>
  <c r="AF33" i="19"/>
  <c r="AC33" i="19"/>
  <c r="W33" i="19"/>
  <c r="T33" i="19"/>
  <c r="N33" i="19"/>
  <c r="K33" i="19"/>
  <c r="E33" i="19"/>
  <c r="B33" i="19"/>
  <c r="BG32" i="19"/>
  <c r="BD32" i="19"/>
  <c r="AX32" i="19"/>
  <c r="AU32" i="19"/>
  <c r="AO32" i="19"/>
  <c r="AL32" i="19"/>
  <c r="AF32" i="19"/>
  <c r="AC32" i="19"/>
  <c r="W32" i="19"/>
  <c r="T32" i="19"/>
  <c r="N32" i="19"/>
  <c r="K32" i="19"/>
  <c r="E32" i="19"/>
  <c r="B32" i="19"/>
  <c r="BG31" i="19"/>
  <c r="BD31" i="19"/>
  <c r="AX31" i="19"/>
  <c r="AU31" i="19"/>
  <c r="AO31" i="19"/>
  <c r="AL31" i="19"/>
  <c r="AF31" i="19"/>
  <c r="AC31" i="19"/>
  <c r="W31" i="19"/>
  <c r="T31" i="19"/>
  <c r="N31" i="19"/>
  <c r="K31" i="19"/>
  <c r="E31" i="19"/>
  <c r="B31" i="19"/>
  <c r="BG30" i="19"/>
  <c r="BD30" i="19"/>
  <c r="AX30" i="19"/>
  <c r="AU30" i="19"/>
  <c r="AO30" i="19"/>
  <c r="AL30" i="19"/>
  <c r="AF30" i="19"/>
  <c r="AC30" i="19"/>
  <c r="W30" i="19"/>
  <c r="T30" i="19"/>
  <c r="N30" i="19"/>
  <c r="K30" i="19"/>
  <c r="E30" i="19"/>
  <c r="B30" i="19"/>
  <c r="BG29" i="19"/>
  <c r="BD29" i="19"/>
  <c r="AX29" i="19"/>
  <c r="AU29" i="19"/>
  <c r="AO29" i="19"/>
  <c r="AL29" i="19"/>
  <c r="AF29" i="19"/>
  <c r="AC29" i="19"/>
  <c r="W29" i="19"/>
  <c r="T29" i="19"/>
  <c r="N29" i="19"/>
  <c r="K29" i="19"/>
  <c r="E29" i="19"/>
  <c r="B29" i="19"/>
  <c r="BG26" i="19"/>
  <c r="BH26" i="19" s="1"/>
  <c r="R3" i="19" s="1"/>
  <c r="AY26" i="19"/>
  <c r="AX26" i="19"/>
  <c r="AO26" i="19"/>
  <c r="AP26" i="19" s="1"/>
  <c r="P3" i="19" s="1"/>
  <c r="AG26" i="19"/>
  <c r="O3" i="19" s="1"/>
  <c r="AF26" i="19"/>
  <c r="W26" i="19"/>
  <c r="X26" i="19" s="1"/>
  <c r="N3" i="19" s="1"/>
  <c r="O26" i="19"/>
  <c r="M3" i="19" s="1"/>
  <c r="N26" i="19"/>
  <c r="E26" i="19"/>
  <c r="F26" i="19" s="1"/>
  <c r="L3" i="19" s="1"/>
  <c r="BJ24" i="19"/>
  <c r="BA24" i="19"/>
  <c r="AR24" i="19"/>
  <c r="AI24" i="19"/>
  <c r="Z24" i="19"/>
  <c r="Q24" i="19"/>
  <c r="H24" i="19"/>
  <c r="AL2" i="19" s="1"/>
  <c r="BG23" i="19"/>
  <c r="BD23" i="19"/>
  <c r="AX23" i="19"/>
  <c r="AU23" i="19"/>
  <c r="AO23" i="19"/>
  <c r="AL23" i="19"/>
  <c r="AF23" i="19"/>
  <c r="AC23" i="19"/>
  <c r="W23" i="19"/>
  <c r="T23" i="19"/>
  <c r="N23" i="19"/>
  <c r="K23" i="19"/>
  <c r="E23" i="19"/>
  <c r="B23" i="19"/>
  <c r="BG22" i="19"/>
  <c r="BD22" i="19"/>
  <c r="AX22" i="19"/>
  <c r="AU22" i="19"/>
  <c r="AO22" i="19"/>
  <c r="AL22" i="19"/>
  <c r="AF22" i="19"/>
  <c r="AC22" i="19"/>
  <c r="W22" i="19"/>
  <c r="T22" i="19"/>
  <c r="N22" i="19"/>
  <c r="K22" i="19"/>
  <c r="E22" i="19"/>
  <c r="B22" i="19"/>
  <c r="BG21" i="19"/>
  <c r="BD21" i="19"/>
  <c r="AX21" i="19"/>
  <c r="AU21" i="19"/>
  <c r="AO21" i="19"/>
  <c r="AL21" i="19"/>
  <c r="AF21" i="19"/>
  <c r="AC21" i="19"/>
  <c r="W21" i="19"/>
  <c r="T21" i="19"/>
  <c r="N21" i="19"/>
  <c r="K21" i="19"/>
  <c r="E21" i="19"/>
  <c r="B21" i="19"/>
  <c r="BG20" i="19"/>
  <c r="BD20" i="19"/>
  <c r="AX20" i="19"/>
  <c r="AU20" i="19"/>
  <c r="AO20" i="19"/>
  <c r="AL20" i="19"/>
  <c r="AF20" i="19"/>
  <c r="AC20" i="19"/>
  <c r="W20" i="19"/>
  <c r="T20" i="19"/>
  <c r="N20" i="19"/>
  <c r="K20" i="19"/>
  <c r="E20" i="19"/>
  <c r="B20" i="19"/>
  <c r="BG19" i="19"/>
  <c r="BD19" i="19"/>
  <c r="AX19" i="19"/>
  <c r="AU19" i="19"/>
  <c r="AO19" i="19"/>
  <c r="AL19" i="19"/>
  <c r="AF19" i="19"/>
  <c r="AC19" i="19"/>
  <c r="W19" i="19"/>
  <c r="T19" i="19"/>
  <c r="N19" i="19"/>
  <c r="K19" i="19"/>
  <c r="E19" i="19"/>
  <c r="B19" i="19"/>
  <c r="BG18" i="19"/>
  <c r="BD18" i="19"/>
  <c r="AX18" i="19"/>
  <c r="AU18" i="19"/>
  <c r="AO18" i="19"/>
  <c r="AL18" i="19"/>
  <c r="AF18" i="19"/>
  <c r="AC18" i="19"/>
  <c r="W18" i="19"/>
  <c r="T18" i="19"/>
  <c r="N18" i="19"/>
  <c r="K18" i="19"/>
  <c r="E18" i="19"/>
  <c r="B18" i="19"/>
  <c r="BG17" i="19"/>
  <c r="BD17" i="19"/>
  <c r="AX17" i="19"/>
  <c r="AU17" i="19"/>
  <c r="AO17" i="19"/>
  <c r="AL17" i="19"/>
  <c r="AF17" i="19"/>
  <c r="AC17" i="19"/>
  <c r="W17" i="19"/>
  <c r="T17" i="19"/>
  <c r="N17" i="19"/>
  <c r="K17" i="19"/>
  <c r="E17" i="19"/>
  <c r="B17" i="19"/>
  <c r="BG16" i="19"/>
  <c r="BD16" i="19"/>
  <c r="AX16" i="19"/>
  <c r="AU16" i="19"/>
  <c r="AO16" i="19"/>
  <c r="AL16" i="19"/>
  <c r="AF16" i="19"/>
  <c r="AC16" i="19"/>
  <c r="W16" i="19"/>
  <c r="T16" i="19"/>
  <c r="N16" i="19"/>
  <c r="K16" i="19"/>
  <c r="E16" i="19"/>
  <c r="B16" i="19"/>
  <c r="BG15" i="19"/>
  <c r="BD15" i="19"/>
  <c r="AX15" i="19"/>
  <c r="AU15" i="19"/>
  <c r="AO15" i="19"/>
  <c r="AL15" i="19"/>
  <c r="AF15" i="19"/>
  <c r="AC15" i="19"/>
  <c r="W15" i="19"/>
  <c r="T15" i="19"/>
  <c r="N15" i="19"/>
  <c r="K15" i="19"/>
  <c r="E15" i="19"/>
  <c r="B15" i="19"/>
  <c r="BG14" i="19"/>
  <c r="BD14" i="19"/>
  <c r="AX14" i="19"/>
  <c r="AU14" i="19"/>
  <c r="AO14" i="19"/>
  <c r="AL14" i="19"/>
  <c r="AF14" i="19"/>
  <c r="AC14" i="19"/>
  <c r="W14" i="19"/>
  <c r="T14" i="19"/>
  <c r="N14" i="19"/>
  <c r="K14" i="19"/>
  <c r="E14" i="19"/>
  <c r="B14" i="19"/>
  <c r="BG13" i="19"/>
  <c r="BD13" i="19"/>
  <c r="AX13" i="19"/>
  <c r="AU13" i="19"/>
  <c r="AO13" i="19"/>
  <c r="AL13" i="19"/>
  <c r="AF13" i="19"/>
  <c r="AC13" i="19"/>
  <c r="W13" i="19"/>
  <c r="T13" i="19"/>
  <c r="N13" i="19"/>
  <c r="K13" i="19"/>
  <c r="E13" i="19"/>
  <c r="B13" i="19"/>
  <c r="BG12" i="19"/>
  <c r="BD12" i="19"/>
  <c r="AX12" i="19"/>
  <c r="AU12" i="19"/>
  <c r="AO12" i="19"/>
  <c r="AL12" i="19"/>
  <c r="AF12" i="19"/>
  <c r="AC12" i="19"/>
  <c r="W12" i="19"/>
  <c r="T12" i="19"/>
  <c r="N12" i="19"/>
  <c r="K12" i="19"/>
  <c r="E12" i="19"/>
  <c r="B12" i="19"/>
  <c r="BG11" i="19"/>
  <c r="BD11" i="19"/>
  <c r="AX11" i="19"/>
  <c r="AU11" i="19"/>
  <c r="AO11" i="19"/>
  <c r="AL11" i="19"/>
  <c r="AF11" i="19"/>
  <c r="AC11" i="19"/>
  <c r="W11" i="19"/>
  <c r="T11" i="19"/>
  <c r="N11" i="19"/>
  <c r="K11" i="19"/>
  <c r="E11" i="19"/>
  <c r="H108" i="19" s="1" a="1"/>
  <c r="H108" i="19" s="1"/>
  <c r="B11" i="19"/>
  <c r="BG10" i="19"/>
  <c r="BD10" i="19"/>
  <c r="AX10" i="19"/>
  <c r="AU10" i="19"/>
  <c r="AO10" i="19"/>
  <c r="AL10" i="19"/>
  <c r="AF10" i="19"/>
  <c r="AC10" i="19"/>
  <c r="W10" i="19"/>
  <c r="T10" i="19"/>
  <c r="N10" i="19"/>
  <c r="K10" i="19"/>
  <c r="E10" i="19"/>
  <c r="B10" i="19"/>
  <c r="BG9" i="19"/>
  <c r="BD9" i="19"/>
  <c r="AX9" i="19"/>
  <c r="AU9" i="19"/>
  <c r="AO9" i="19"/>
  <c r="AL9" i="19"/>
  <c r="AF9" i="19"/>
  <c r="AC9" i="19"/>
  <c r="W9" i="19"/>
  <c r="T9" i="19"/>
  <c r="N9" i="19"/>
  <c r="K9" i="19"/>
  <c r="E9" i="19"/>
  <c r="E108" i="19" s="1" a="1"/>
  <c r="E108" i="19" s="1"/>
  <c r="B9" i="19"/>
  <c r="BG6" i="19"/>
  <c r="BH6" i="19" s="1"/>
  <c r="K3" i="19" s="1"/>
  <c r="AY6" i="19"/>
  <c r="J3" i="19" s="1"/>
  <c r="AX6" i="19"/>
  <c r="AO6" i="19"/>
  <c r="AP6" i="19" s="1"/>
  <c r="I3" i="19" s="1"/>
  <c r="AG6" i="19"/>
  <c r="H3" i="19" s="1"/>
  <c r="AF6" i="19"/>
  <c r="W6" i="19"/>
  <c r="X6" i="19" s="1"/>
  <c r="G3" i="19" s="1"/>
  <c r="O6" i="19"/>
  <c r="F3" i="19" s="1"/>
  <c r="N6" i="19"/>
  <c r="J6" i="19"/>
  <c r="F2" i="19" s="1"/>
  <c r="E6" i="19"/>
  <c r="A6" i="19"/>
  <c r="AO3" i="19"/>
  <c r="AC3" i="19"/>
  <c r="AA3" i="19"/>
  <c r="Q3" i="19"/>
  <c r="BG2" i="19"/>
  <c r="AI2" i="19"/>
  <c r="E2" i="19"/>
  <c r="I1" i="19" a="1"/>
  <c r="I1" i="19" s="1"/>
  <c r="C107" i="4"/>
  <c r="D107" i="4"/>
  <c r="E107" i="4"/>
  <c r="F107" i="4"/>
  <c r="G107" i="4"/>
  <c r="H107" i="4"/>
  <c r="I107" i="4"/>
  <c r="J107" i="4"/>
  <c r="K107" i="4"/>
  <c r="L107" i="4"/>
  <c r="B107" i="4"/>
  <c r="E20" i="7"/>
  <c r="T17" i="9"/>
  <c r="O38" i="7"/>
  <c r="N38" i="7"/>
  <c r="M38" i="7"/>
  <c r="L38" i="7"/>
  <c r="K38" i="7"/>
  <c r="J38" i="7"/>
  <c r="I38" i="7"/>
  <c r="H38" i="7"/>
  <c r="G38" i="7"/>
  <c r="F38" i="7"/>
  <c r="E38" i="7"/>
  <c r="F20" i="7"/>
  <c r="G20" i="7"/>
  <c r="H20" i="7"/>
  <c r="I20" i="7"/>
  <c r="J20" i="7"/>
  <c r="K20" i="7"/>
  <c r="L20" i="7"/>
  <c r="M20" i="7"/>
  <c r="N20" i="7"/>
  <c r="O20" i="7"/>
  <c r="B9" i="4"/>
  <c r="P1" i="7"/>
  <c r="B1" i="10"/>
  <c r="H41" i="9"/>
  <c r="H42" i="9"/>
  <c r="H43" i="9"/>
  <c r="H44" i="9"/>
  <c r="H45" i="9"/>
  <c r="H46" i="9"/>
  <c r="H47" i="9"/>
  <c r="H48" i="9"/>
  <c r="H49" i="9"/>
  <c r="H50" i="9"/>
  <c r="H51" i="9"/>
  <c r="H52" i="9"/>
  <c r="H53" i="9"/>
  <c r="H54" i="9"/>
  <c r="H55" i="9"/>
  <c r="H56" i="9"/>
  <c r="H57" i="9"/>
  <c r="H58" i="9"/>
  <c r="H59" i="9"/>
  <c r="H60" i="9"/>
  <c r="H61" i="9"/>
  <c r="H62" i="9"/>
  <c r="H63" i="9"/>
  <c r="H64" i="9"/>
  <c r="H65" i="9"/>
  <c r="H66" i="9"/>
  <c r="H67" i="9"/>
  <c r="H68" i="9"/>
  <c r="H69" i="9"/>
  <c r="H7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40" i="9"/>
  <c r="F5" i="9" a="1"/>
  <c r="F5" i="9" s="1"/>
  <c r="R8" i="9"/>
  <c r="N18" i="9" a="1"/>
  <c r="N18" i="9" s="1"/>
  <c r="B11" i="9" a="1"/>
  <c r="B11" i="9" s="1"/>
  <c r="C100" i="7" a="1"/>
  <c r="C100" i="7" s="1"/>
  <c r="A97" i="7"/>
  <c r="A96" i="7"/>
  <c r="A95" i="7"/>
  <c r="C95" i="7" s="1"/>
  <c r="A94" i="7"/>
  <c r="C94" i="7" s="1"/>
  <c r="A93" i="7"/>
  <c r="C93" i="7" s="1"/>
  <c r="A92" i="7"/>
  <c r="C92" i="7" s="1"/>
  <c r="A91" i="7"/>
  <c r="C91" i="7" s="1"/>
  <c r="A90" i="7"/>
  <c r="C90" i="7" s="1"/>
  <c r="A89" i="7"/>
  <c r="C89" i="7" s="1"/>
  <c r="A88" i="7"/>
  <c r="A87" i="7"/>
  <c r="C87" i="7" s="1"/>
  <c r="A86" i="7"/>
  <c r="C86" i="7" s="1"/>
  <c r="C97" i="7"/>
  <c r="C96" i="7"/>
  <c r="C88" i="7"/>
  <c r="G71" i="7"/>
  <c r="T4" i="9"/>
  <c r="S12" i="7"/>
  <c r="H109" i="7" a="1"/>
  <c r="C108" i="19" l="1" a="1"/>
  <c r="C108" i="19" s="1"/>
  <c r="G108" i="19" a="1"/>
  <c r="G108" i="19" s="1"/>
  <c r="F6" i="19"/>
  <c r="E3" i="19" s="1"/>
  <c r="B3" i="19" s="1"/>
  <c r="F108" i="19" a="1"/>
  <c r="F108" i="19" s="1"/>
  <c r="I108" i="19" a="1"/>
  <c r="I108" i="19" s="1"/>
  <c r="J108" i="19" a="1"/>
  <c r="J108" i="19" s="1"/>
  <c r="K108" i="19" a="1"/>
  <c r="K108" i="19" s="1"/>
  <c r="D108" i="19" a="1"/>
  <c r="D108" i="19" s="1"/>
  <c r="B2" i="19"/>
  <c r="AQ2" i="19" s="1"/>
  <c r="S6" i="19"/>
  <c r="H109" i="7"/>
  <c r="H40" i="9"/>
  <c r="F40" i="9"/>
  <c r="R12" i="9"/>
  <c r="R11" i="9"/>
  <c r="R10" i="9"/>
  <c r="R9" i="9"/>
  <c r="BG2" i="4"/>
  <c r="B9" i="9"/>
  <c r="C37" i="9" s="1"/>
  <c r="A10" i="9"/>
  <c r="B10" i="9"/>
  <c r="B124" i="7" a="1"/>
  <c r="B128" i="7" a="1"/>
  <c r="B121" i="7" a="1"/>
  <c r="B118" i="7" a="1"/>
  <c r="I131" i="7" a="1"/>
  <c r="I105" i="7" a="1"/>
  <c r="H114" i="7" a="1"/>
  <c r="I118" i="7" a="1"/>
  <c r="B112" i="7" a="1"/>
  <c r="B104" i="7" a="1"/>
  <c r="I106" i="7" a="1"/>
  <c r="J135" i="7" a="1"/>
  <c r="H117" i="7" a="1"/>
  <c r="G137" i="7" a="1"/>
  <c r="B126" i="7" a="1"/>
  <c r="H139" i="7" a="1"/>
  <c r="G110" i="7" a="1"/>
  <c r="G107" i="7" a="1"/>
  <c r="G123" i="7" a="1"/>
  <c r="J116" i="7" a="1"/>
  <c r="B122" i="7" a="1"/>
  <c r="I124" i="7" a="1"/>
  <c r="J114" i="7" a="1"/>
  <c r="H124" i="7" a="1"/>
  <c r="G116" i="7" a="1"/>
  <c r="J141" i="7" a="1"/>
  <c r="G126" i="7" a="1"/>
  <c r="J117" i="7" a="1"/>
  <c r="H140" i="7" a="1"/>
  <c r="J128" i="7" a="1"/>
  <c r="B153" i="7" a="1"/>
  <c r="I149" i="7" a="1"/>
  <c r="J142" i="7" a="1"/>
  <c r="B120" i="7" a="1"/>
  <c r="B143" i="7" a="1"/>
  <c r="I143" i="7" a="1"/>
  <c r="I123" i="7" a="1"/>
  <c r="B150" i="7" a="1"/>
  <c r="J138" i="7" a="1"/>
  <c r="J136" i="7" a="1"/>
  <c r="G119" i="7" a="1"/>
  <c r="I116" i="7" a="1"/>
  <c r="G148" i="7" a="1"/>
  <c r="J113" i="7" a="1"/>
  <c r="H106" i="7" a="1"/>
  <c r="I128" i="7" a="1"/>
  <c r="J121" i="7" a="1"/>
  <c r="B141" i="7" a="1"/>
  <c r="J151" i="7" a="1"/>
  <c r="G151" i="7" a="1"/>
  <c r="H121" i="7" a="1"/>
  <c r="G134" i="7" a="1"/>
  <c r="J132" i="7" a="1"/>
  <c r="B113" i="7" a="1"/>
  <c r="H115" i="7" a="1"/>
  <c r="I139" i="7" a="1"/>
  <c r="H144" i="7" a="1"/>
  <c r="I140" i="7" a="1"/>
  <c r="B117" i="7" a="1"/>
  <c r="B142" i="7" a="1"/>
  <c r="J104" i="7" a="1"/>
  <c r="B147" i="7" a="1"/>
  <c r="I147" i="7" a="1"/>
  <c r="B135" i="7" a="1"/>
  <c r="H119" i="7" a="1"/>
  <c r="I115" i="7" a="1"/>
  <c r="B115" i="7" a="1"/>
  <c r="H128" i="7" a="1"/>
  <c r="I141" i="7" a="1"/>
  <c r="H136" i="7" a="1"/>
  <c r="B144" i="7" a="1"/>
  <c r="I120" i="7" a="1"/>
  <c r="H120" i="7" a="1"/>
  <c r="I138" i="7" a="1"/>
  <c r="B140" i="7" a="1"/>
  <c r="I137" i="7" a="1"/>
  <c r="J118" i="7" a="1"/>
  <c r="I119" i="7" a="1"/>
  <c r="H112" i="7" a="1"/>
  <c r="H118" i="7" a="1"/>
  <c r="H153" i="7" a="1"/>
  <c r="G142" i="7" a="1"/>
  <c r="I153" i="7" a="1"/>
  <c r="H152" i="7" a="1"/>
  <c r="G127" i="7" a="1"/>
  <c r="G143" i="7" a="1"/>
  <c r="B149" i="7" a="1"/>
  <c r="B132" i="7" a="1"/>
  <c r="G150" i="7" a="1"/>
  <c r="I152" i="7" a="1"/>
  <c r="G108" i="7" a="1"/>
  <c r="J130" i="7" a="1"/>
  <c r="I109" i="7" a="1"/>
  <c r="H116" i="7" a="1"/>
  <c r="G136" i="7" a="1"/>
  <c r="G118" i="7" a="1"/>
  <c r="J122" i="7" a="1"/>
  <c r="B129" i="7" a="1"/>
  <c r="G122" i="7" a="1"/>
  <c r="B110" i="7" a="1"/>
  <c r="B125" i="7" a="1"/>
  <c r="G139" i="7" a="1"/>
  <c r="G120" i="7" a="1"/>
  <c r="H135" i="7" a="1"/>
  <c r="J115" i="7" a="1"/>
  <c r="H133" i="7" a="1"/>
  <c r="J119" i="7" a="1"/>
  <c r="B152" i="7" a="1"/>
  <c r="J144" i="7" a="1"/>
  <c r="B137" i="7" a="1"/>
  <c r="B148" i="7" a="1"/>
  <c r="G135" i="7" a="1"/>
  <c r="B106" i="7" a="1"/>
  <c r="G109" i="7" a="1"/>
  <c r="I125" i="7" a="1"/>
  <c r="J137" i="7" a="1"/>
  <c r="H131" i="7" a="1"/>
  <c r="H143" i="7" a="1"/>
  <c r="H104" i="7" a="1"/>
  <c r="H149" i="7" a="1"/>
  <c r="G146" i="7" a="1"/>
  <c r="B146" i="7" a="1"/>
  <c r="I129" i="7" a="1"/>
  <c r="J133" i="7" a="1"/>
  <c r="B145" i="7" a="1"/>
  <c r="B109" i="7" a="1"/>
  <c r="G133" i="7" a="1"/>
  <c r="H134" i="7" a="1"/>
  <c r="H110" i="7" a="1"/>
  <c r="J145" i="7" a="1"/>
  <c r="H123" i="7" a="1"/>
  <c r="J143" i="7" a="1"/>
  <c r="B133" i="7" a="1"/>
  <c r="H146" i="7" a="1"/>
  <c r="J120" i="7" a="1"/>
  <c r="I132" i="7" a="1"/>
  <c r="G114" i="7" a="1"/>
  <c r="G117" i="7" a="1"/>
  <c r="B139" i="7" a="1"/>
  <c r="J146" i="7" a="1"/>
  <c r="H137" i="7" a="1"/>
  <c r="B111" i="7" a="1"/>
  <c r="I121" i="7" a="1"/>
  <c r="H141" i="7" a="1"/>
  <c r="H129" i="7" a="1"/>
  <c r="H105" i="7" a="1"/>
  <c r="B123" i="7" a="1"/>
  <c r="H145" i="7" a="1"/>
  <c r="B114" i="7" a="1"/>
  <c r="I127" i="7" a="1"/>
  <c r="I117" i="7" a="1"/>
  <c r="G149" i="7" a="1"/>
  <c r="G153" i="7" a="1"/>
  <c r="B151" i="7" a="1"/>
  <c r="H113" i="7" a="1"/>
  <c r="J126" i="7" a="1"/>
  <c r="I148" i="7" a="1"/>
  <c r="G130" i="7" a="1"/>
  <c r="G129" i="7" a="1"/>
  <c r="J109" i="7" a="1"/>
  <c r="G111" i="7" a="1"/>
  <c r="H138" i="7" a="1"/>
  <c r="G152" i="7" a="1"/>
  <c r="J139" i="7" a="1"/>
  <c r="B138" i="7" a="1"/>
  <c r="B107" i="7" a="1"/>
  <c r="H142" i="7" a="1"/>
  <c r="G121" i="7" a="1"/>
  <c r="B131" i="7" a="1"/>
  <c r="I122" i="7" a="1"/>
  <c r="G125" i="7" a="1"/>
  <c r="J108" i="7" a="1"/>
  <c r="I135" i="7" a="1"/>
  <c r="I108" i="7" a="1"/>
  <c r="H147" i="7" a="1"/>
  <c r="G115" i="7" a="1"/>
  <c r="H122" i="7" a="1"/>
  <c r="H151" i="7" a="1"/>
  <c r="I107" i="7" a="1"/>
  <c r="I145" i="7" a="1"/>
  <c r="I126" i="7" a="1"/>
  <c r="H132" i="7" a="1"/>
  <c r="H130" i="7" a="1"/>
  <c r="J123" i="7" a="1"/>
  <c r="I142" i="7" a="1"/>
  <c r="J152" i="7" a="1"/>
  <c r="J107" i="7" a="1"/>
  <c r="I113" i="7" a="1"/>
  <c r="J140" i="7" a="1"/>
  <c r="B136" i="7" a="1"/>
  <c r="I151" i="7" a="1"/>
  <c r="B127" i="7" a="1"/>
  <c r="J111" i="7" a="1"/>
  <c r="I146" i="7" a="1"/>
  <c r="G104" i="7" a="1"/>
  <c r="H127" i="7" a="1"/>
  <c r="G138" i="7" a="1"/>
  <c r="J131" i="7" a="1"/>
  <c r="J125" i="7" a="1"/>
  <c r="H150" i="7" a="1"/>
  <c r="I133" i="7" a="1"/>
  <c r="I114" i="7" a="1"/>
  <c r="G112" i="7" a="1"/>
  <c r="J134" i="7" a="1"/>
  <c r="H108" i="7" a="1"/>
  <c r="J149" i="7" a="1"/>
  <c r="G141" i="7" a="1"/>
  <c r="H126" i="7" a="1"/>
  <c r="I110" i="7" a="1"/>
  <c r="I144" i="7" a="1"/>
  <c r="H111" i="7" a="1"/>
  <c r="H107" i="7" a="1"/>
  <c r="I134" i="7" a="1"/>
  <c r="I130" i="7" a="1"/>
  <c r="I150" i="7" a="1"/>
  <c r="H148" i="7" a="1"/>
  <c r="G145" i="7" a="1"/>
  <c r="J105" i="7" a="1"/>
  <c r="G124" i="7" a="1"/>
  <c r="J127" i="7" a="1"/>
  <c r="G132" i="7" a="1"/>
  <c r="B119" i="7" a="1"/>
  <c r="G144" i="7" a="1"/>
  <c r="J112" i="7" a="1"/>
  <c r="J129" i="7" a="1"/>
  <c r="I104" i="7" a="1"/>
  <c r="G128" i="7" a="1"/>
  <c r="B108" i="7" a="1"/>
  <c r="G105" i="7" a="1"/>
  <c r="J106" i="7" a="1"/>
  <c r="J124" i="7" a="1"/>
  <c r="B130" i="7" a="1"/>
  <c r="J153" i="7" a="1"/>
  <c r="B134" i="7" a="1"/>
  <c r="G106" i="7" a="1"/>
  <c r="G131" i="7" a="1"/>
  <c r="J147" i="7" a="1"/>
  <c r="B116" i="7" a="1"/>
  <c r="H125" i="7" a="1"/>
  <c r="J110" i="7" a="1"/>
  <c r="I112" i="7" a="1"/>
  <c r="G140" i="7" a="1"/>
  <c r="G147" i="7" a="1"/>
  <c r="G113" i="7" a="1"/>
  <c r="B105" i="7" a="1"/>
  <c r="J148" i="7" a="1"/>
  <c r="J150" i="7" a="1"/>
  <c r="I136" i="7" a="1"/>
  <c r="I111" i="7" a="1"/>
  <c r="AT2" i="19" l="1"/>
  <c r="AY2" i="19" s="1"/>
  <c r="BI2" i="19" s="1"/>
  <c r="F1" i="19" s="1"/>
  <c r="AQ3" i="19"/>
  <c r="G2" i="19"/>
  <c r="AB6" i="19"/>
  <c r="G104" i="7"/>
  <c r="H153" i="7"/>
  <c r="H105" i="7"/>
  <c r="H117" i="7"/>
  <c r="H141" i="7"/>
  <c r="H113" i="7"/>
  <c r="H121" i="7"/>
  <c r="B105" i="7"/>
  <c r="H149" i="7"/>
  <c r="H125" i="7"/>
  <c r="H145" i="7"/>
  <c r="J109" i="7"/>
  <c r="H129" i="7"/>
  <c r="J104" i="7"/>
  <c r="H106" i="7"/>
  <c r="I104" i="7"/>
  <c r="I105" i="7"/>
  <c r="H104" i="7"/>
  <c r="G105" i="7"/>
  <c r="H133" i="7"/>
  <c r="B104" i="7"/>
  <c r="H137" i="7"/>
  <c r="J150" i="7"/>
  <c r="J118" i="7"/>
  <c r="J152" i="7"/>
  <c r="J139" i="7"/>
  <c r="J121" i="7"/>
  <c r="J153" i="7"/>
  <c r="J116" i="7"/>
  <c r="J126" i="7"/>
  <c r="J111" i="7"/>
  <c r="J128" i="7"/>
  <c r="J129" i="7"/>
  <c r="J142" i="7"/>
  <c r="J124" i="7"/>
  <c r="J134" i="7"/>
  <c r="J115" i="7"/>
  <c r="J144" i="7"/>
  <c r="J133" i="7"/>
  <c r="J135" i="7"/>
  <c r="J151" i="7"/>
  <c r="J107" i="7"/>
  <c r="J125" i="7"/>
  <c r="J140" i="7"/>
  <c r="J146" i="7"/>
  <c r="J119" i="7"/>
  <c r="J148" i="7"/>
  <c r="J137" i="7"/>
  <c r="J147" i="7"/>
  <c r="J106" i="7"/>
  <c r="J143" i="7"/>
  <c r="J123" i="7"/>
  <c r="J105" i="7"/>
  <c r="J141" i="7"/>
  <c r="J108" i="7"/>
  <c r="J127" i="7"/>
  <c r="J145" i="7"/>
  <c r="J136" i="7"/>
  <c r="J122" i="7"/>
  <c r="J120" i="7"/>
  <c r="J130" i="7"/>
  <c r="J110" i="7"/>
  <c r="J112" i="7"/>
  <c r="J113" i="7"/>
  <c r="J138" i="7"/>
  <c r="J114" i="7"/>
  <c r="J132" i="7"/>
  <c r="J131" i="7"/>
  <c r="J117" i="7"/>
  <c r="J149" i="7"/>
  <c r="I117" i="7"/>
  <c r="I149" i="7"/>
  <c r="I139" i="7"/>
  <c r="I111" i="7"/>
  <c r="I110" i="7"/>
  <c r="I142" i="7"/>
  <c r="I113" i="7"/>
  <c r="I145" i="7"/>
  <c r="I135" i="7"/>
  <c r="I152" i="7"/>
  <c r="I106" i="7"/>
  <c r="I138" i="7"/>
  <c r="I121" i="7"/>
  <c r="I153" i="7"/>
  <c r="I151" i="7"/>
  <c r="I143" i="7"/>
  <c r="I114" i="7"/>
  <c r="I146" i="7"/>
  <c r="I125" i="7"/>
  <c r="I115" i="7"/>
  <c r="I108" i="7"/>
  <c r="I112" i="7"/>
  <c r="I118" i="7"/>
  <c r="I150" i="7"/>
  <c r="I129" i="7"/>
  <c r="I119" i="7"/>
  <c r="I116" i="7"/>
  <c r="I120" i="7"/>
  <c r="I122" i="7"/>
  <c r="I107" i="7"/>
  <c r="I133" i="7"/>
  <c r="I123" i="7"/>
  <c r="I124" i="7"/>
  <c r="I128" i="7"/>
  <c r="I126" i="7"/>
  <c r="I147" i="7"/>
  <c r="I137" i="7"/>
  <c r="I127" i="7"/>
  <c r="I132" i="7"/>
  <c r="I136" i="7"/>
  <c r="I130" i="7"/>
  <c r="I144" i="7"/>
  <c r="I109" i="7"/>
  <c r="I141" i="7"/>
  <c r="I131" i="7"/>
  <c r="I140" i="7"/>
  <c r="I148" i="7"/>
  <c r="I134" i="7"/>
  <c r="H114" i="7"/>
  <c r="H146" i="7"/>
  <c r="H131" i="7"/>
  <c r="H116" i="7"/>
  <c r="H148" i="7"/>
  <c r="H118" i="7"/>
  <c r="H150" i="7"/>
  <c r="H135" i="7"/>
  <c r="H120" i="7"/>
  <c r="H122" i="7"/>
  <c r="H107" i="7"/>
  <c r="H139" i="7"/>
  <c r="H124" i="7"/>
  <c r="H126" i="7"/>
  <c r="H111" i="7"/>
  <c r="H143" i="7"/>
  <c r="H128" i="7"/>
  <c r="H152" i="7"/>
  <c r="H130" i="7"/>
  <c r="H115" i="7"/>
  <c r="H147" i="7"/>
  <c r="H132" i="7"/>
  <c r="H134" i="7"/>
  <c r="H119" i="7"/>
  <c r="H151" i="7"/>
  <c r="H136" i="7"/>
  <c r="H108" i="7"/>
  <c r="H138" i="7"/>
  <c r="H123" i="7"/>
  <c r="H140" i="7"/>
  <c r="H110" i="7"/>
  <c r="H142" i="7"/>
  <c r="H127" i="7"/>
  <c r="H112" i="7"/>
  <c r="H144" i="7"/>
  <c r="G137" i="7"/>
  <c r="G107" i="7"/>
  <c r="G139" i="7"/>
  <c r="G130" i="7"/>
  <c r="G113" i="7"/>
  <c r="G145" i="7"/>
  <c r="G134" i="7"/>
  <c r="G115" i="7"/>
  <c r="G147" i="7"/>
  <c r="G132" i="7"/>
  <c r="G122" i="7"/>
  <c r="G124" i="7"/>
  <c r="G117" i="7"/>
  <c r="G149" i="7"/>
  <c r="G138" i="7"/>
  <c r="G119" i="7"/>
  <c r="G151" i="7"/>
  <c r="G136" i="7"/>
  <c r="G121" i="7"/>
  <c r="G153" i="7"/>
  <c r="G142" i="7"/>
  <c r="G123" i="7"/>
  <c r="G108" i="7"/>
  <c r="G140" i="7"/>
  <c r="G125" i="7"/>
  <c r="G110" i="7"/>
  <c r="G150" i="7"/>
  <c r="G127" i="7"/>
  <c r="G112" i="7"/>
  <c r="G144" i="7"/>
  <c r="G129" i="7"/>
  <c r="G114" i="7"/>
  <c r="G106" i="7"/>
  <c r="G131" i="7"/>
  <c r="G116" i="7"/>
  <c r="G148" i="7"/>
  <c r="G133" i="7"/>
  <c r="G118" i="7"/>
  <c r="G146" i="7"/>
  <c r="G135" i="7"/>
  <c r="G120" i="7"/>
  <c r="G152" i="7"/>
  <c r="G109" i="7"/>
  <c r="G141" i="7"/>
  <c r="G126" i="7"/>
  <c r="G111" i="7"/>
  <c r="G143" i="7"/>
  <c r="G128" i="7"/>
  <c r="B125" i="7"/>
  <c r="B140" i="7"/>
  <c r="B130" i="7"/>
  <c r="B115" i="7"/>
  <c r="B147" i="7"/>
  <c r="B117" i="7"/>
  <c r="B129" i="7"/>
  <c r="B152" i="7"/>
  <c r="B134" i="7"/>
  <c r="B119" i="7"/>
  <c r="B151" i="7"/>
  <c r="B141" i="7"/>
  <c r="B137" i="7"/>
  <c r="B110" i="7"/>
  <c r="B142" i="7"/>
  <c r="B127" i="7"/>
  <c r="B116" i="7"/>
  <c r="B153" i="7"/>
  <c r="B113" i="7"/>
  <c r="B124" i="7"/>
  <c r="B122" i="7"/>
  <c r="B107" i="7"/>
  <c r="B139" i="7"/>
  <c r="B132" i="7"/>
  <c r="B121" i="7"/>
  <c r="B136" i="7"/>
  <c r="B126" i="7"/>
  <c r="B111" i="7"/>
  <c r="B143" i="7"/>
  <c r="B148" i="7"/>
  <c r="B133" i="7"/>
  <c r="B106" i="7"/>
  <c r="B138" i="7"/>
  <c r="B123" i="7"/>
  <c r="B108" i="7"/>
  <c r="B145" i="7"/>
  <c r="B149" i="7"/>
  <c r="B114" i="7"/>
  <c r="B146" i="7"/>
  <c r="B131" i="7"/>
  <c r="B120" i="7"/>
  <c r="B144" i="7"/>
  <c r="B109" i="7"/>
  <c r="B112" i="7"/>
  <c r="B118" i="7"/>
  <c r="B150" i="7"/>
  <c r="B135" i="7"/>
  <c r="B128" i="7"/>
  <c r="A9" i="9"/>
  <c r="B37" i="9" s="1"/>
  <c r="E1" i="3"/>
  <c r="AT3" i="19" l="1"/>
  <c r="AW3" i="19"/>
  <c r="AK6" i="19"/>
  <c r="H2" i="19"/>
  <c r="O18" i="9" a="1"/>
  <c r="O18" i="9" s="1"/>
  <c r="L21" i="9" a="1"/>
  <c r="L21" i="9" s="1"/>
  <c r="L25" i="9" a="1"/>
  <c r="L25" i="9" s="1"/>
  <c r="L29" i="9" a="1"/>
  <c r="L29" i="9" s="1"/>
  <c r="L22" i="9" a="1"/>
  <c r="L22" i="9" s="1"/>
  <c r="L26" i="9" a="1"/>
  <c r="L26" i="9" s="1"/>
  <c r="L30" i="9" a="1"/>
  <c r="L30" i="9" s="1"/>
  <c r="L31" i="9" a="1"/>
  <c r="L31" i="9" s="1"/>
  <c r="L23" i="9" a="1"/>
  <c r="L23" i="9" s="1"/>
  <c r="L27" i="9" a="1"/>
  <c r="L27" i="9" s="1"/>
  <c r="L24" i="9" a="1"/>
  <c r="L24" i="9" s="1"/>
  <c r="L28" i="9" a="1"/>
  <c r="L28" i="9" s="1"/>
  <c r="L20" i="9" a="1"/>
  <c r="L20" i="9" s="1"/>
  <c r="I1" i="4" a="1"/>
  <c r="I1" i="4" s="1"/>
  <c r="A82" i="7"/>
  <c r="C82" i="7" s="1"/>
  <c r="A81" i="7"/>
  <c r="C81" i="7" s="1"/>
  <c r="A80" i="7"/>
  <c r="A79" i="7"/>
  <c r="C79" i="7" s="1"/>
  <c r="A78" i="7"/>
  <c r="C78" i="7" s="1"/>
  <c r="A77" i="7"/>
  <c r="C77" i="7" s="1"/>
  <c r="A76" i="7"/>
  <c r="C76" i="7" s="1"/>
  <c r="A75" i="7"/>
  <c r="C75" i="7" s="1"/>
  <c r="A74" i="7"/>
  <c r="C74" i="7" s="1"/>
  <c r="A73" i="7"/>
  <c r="A72" i="7"/>
  <c r="C72" i="7" s="1"/>
  <c r="A71" i="7"/>
  <c r="C71" i="7" s="1"/>
  <c r="C80" i="7"/>
  <c r="C73" i="7"/>
  <c r="A50" i="7"/>
  <c r="C50" i="7" s="1"/>
  <c r="A49" i="7"/>
  <c r="C49" i="7" s="1"/>
  <c r="A48" i="7"/>
  <c r="C48" i="7" s="1"/>
  <c r="A47" i="7"/>
  <c r="C47" i="7" s="1"/>
  <c r="A46" i="7"/>
  <c r="A45" i="7"/>
  <c r="C45" i="7" s="1"/>
  <c r="A44" i="7"/>
  <c r="C44" i="7" s="1"/>
  <c r="A43" i="7"/>
  <c r="C43" i="7" s="1"/>
  <c r="A42" i="7"/>
  <c r="C42" i="7" s="1"/>
  <c r="A41" i="7"/>
  <c r="C41" i="7" s="1"/>
  <c r="A40" i="7"/>
  <c r="C40" i="7" s="1"/>
  <c r="A39" i="7"/>
  <c r="C39" i="7" s="1"/>
  <c r="C46" i="7"/>
  <c r="AO3" i="4"/>
  <c r="K109" i="4" a="1"/>
  <c r="K109" i="4" s="1"/>
  <c r="J109" i="4" a="1"/>
  <c r="J109" i="4" s="1"/>
  <c r="I109" i="4" a="1"/>
  <c r="I109" i="4" s="1"/>
  <c r="H109" i="4" a="1"/>
  <c r="H109" i="4" s="1"/>
  <c r="G109" i="4" a="1"/>
  <c r="G109" i="4" s="1"/>
  <c r="F109" i="4" a="1"/>
  <c r="F109" i="4" s="1"/>
  <c r="E109" i="4" a="1"/>
  <c r="E109" i="4" s="1"/>
  <c r="D109" i="4" a="1"/>
  <c r="D109" i="4" s="1"/>
  <c r="C109" i="4" a="1"/>
  <c r="C109" i="4" s="1"/>
  <c r="B109" i="4" a="1"/>
  <c r="B109" i="4" s="1"/>
  <c r="A32" i="7"/>
  <c r="C32" i="7" s="1"/>
  <c r="A31" i="7"/>
  <c r="C31" i="7" s="1"/>
  <c r="A30" i="7"/>
  <c r="C30" i="7" s="1"/>
  <c r="A29" i="7"/>
  <c r="C29" i="7" s="1"/>
  <c r="A28" i="7"/>
  <c r="C28" i="7" s="1"/>
  <c r="A27" i="7"/>
  <c r="C27" i="7" s="1"/>
  <c r="A26" i="7"/>
  <c r="C26" i="7" s="1"/>
  <c r="A25" i="7"/>
  <c r="C25" i="7" s="1"/>
  <c r="A24" i="7"/>
  <c r="C24" i="7" s="1"/>
  <c r="A23" i="7"/>
  <c r="C23" i="7" s="1"/>
  <c r="A22" i="7"/>
  <c r="C22" i="7" s="1"/>
  <c r="A21" i="7"/>
  <c r="C21" i="7" s="1"/>
  <c r="A16" i="7"/>
  <c r="C16" i="7" s="1"/>
  <c r="A15" i="7"/>
  <c r="C15" i="7" s="1"/>
  <c r="A14" i="7"/>
  <c r="C14" i="7" s="1"/>
  <c r="A13" i="7"/>
  <c r="C13" i="7" s="1"/>
  <c r="A12" i="7"/>
  <c r="C12" i="7" s="1"/>
  <c r="A11" i="7"/>
  <c r="C11" i="7" s="1"/>
  <c r="A10" i="7"/>
  <c r="C10" i="7" s="1"/>
  <c r="A9" i="7"/>
  <c r="C9" i="7" s="1"/>
  <c r="A8" i="7"/>
  <c r="C8" i="7" s="1"/>
  <c r="A7" i="7"/>
  <c r="C7" i="7" s="1"/>
  <c r="A6" i="7"/>
  <c r="C6" i="7" s="1"/>
  <c r="A5" i="7"/>
  <c r="C5" i="7" s="1"/>
  <c r="Z104" i="4"/>
  <c r="Q104" i="4"/>
  <c r="H104" i="4"/>
  <c r="W103" i="4"/>
  <c r="T103" i="4"/>
  <c r="N103" i="4"/>
  <c r="K103" i="4"/>
  <c r="E103" i="4"/>
  <c r="B103" i="4"/>
  <c r="W102" i="4"/>
  <c r="T102" i="4"/>
  <c r="N102" i="4"/>
  <c r="K102" i="4"/>
  <c r="E102" i="4"/>
  <c r="B102" i="4"/>
  <c r="W101" i="4"/>
  <c r="T101" i="4"/>
  <c r="N101" i="4"/>
  <c r="K101" i="4"/>
  <c r="E101" i="4"/>
  <c r="B101" i="4"/>
  <c r="W100" i="4"/>
  <c r="T100" i="4"/>
  <c r="N100" i="4"/>
  <c r="K100" i="4"/>
  <c r="E100" i="4"/>
  <c r="B100" i="4"/>
  <c r="W99" i="4"/>
  <c r="T99" i="4"/>
  <c r="N99" i="4"/>
  <c r="K99" i="4"/>
  <c r="E99" i="4"/>
  <c r="B99" i="4"/>
  <c r="W98" i="4"/>
  <c r="T98" i="4"/>
  <c r="N98" i="4"/>
  <c r="K98" i="4"/>
  <c r="E98" i="4"/>
  <c r="B98" i="4"/>
  <c r="W97" i="4"/>
  <c r="T97" i="4"/>
  <c r="N97" i="4"/>
  <c r="K97" i="4"/>
  <c r="E97" i="4"/>
  <c r="B97" i="4"/>
  <c r="W96" i="4"/>
  <c r="T96" i="4"/>
  <c r="N96" i="4"/>
  <c r="K96" i="4"/>
  <c r="E96" i="4"/>
  <c r="B96" i="4"/>
  <c r="W95" i="4"/>
  <c r="T95" i="4"/>
  <c r="N95" i="4"/>
  <c r="K95" i="4"/>
  <c r="E95" i="4"/>
  <c r="B95" i="4"/>
  <c r="W94" i="4"/>
  <c r="T94" i="4"/>
  <c r="N94" i="4"/>
  <c r="K94" i="4"/>
  <c r="E94" i="4"/>
  <c r="B94" i="4"/>
  <c r="W93" i="4"/>
  <c r="T93" i="4"/>
  <c r="N93" i="4"/>
  <c r="K93" i="4"/>
  <c r="E93" i="4"/>
  <c r="B93" i="4"/>
  <c r="W92" i="4"/>
  <c r="T92" i="4"/>
  <c r="N92" i="4"/>
  <c r="K92" i="4"/>
  <c r="E92" i="4"/>
  <c r="B92" i="4"/>
  <c r="W91" i="4"/>
  <c r="T91" i="4"/>
  <c r="N91" i="4"/>
  <c r="K91" i="4"/>
  <c r="E91" i="4"/>
  <c r="B91" i="4"/>
  <c r="W90" i="4"/>
  <c r="T90" i="4"/>
  <c r="N90" i="4"/>
  <c r="K90" i="4"/>
  <c r="E90" i="4"/>
  <c r="B90" i="4"/>
  <c r="W89" i="4"/>
  <c r="T89" i="4"/>
  <c r="N89" i="4"/>
  <c r="K89" i="4"/>
  <c r="E89" i="4"/>
  <c r="B89" i="4"/>
  <c r="W86" i="4"/>
  <c r="X86" i="4" s="1"/>
  <c r="AI3" i="4" s="1"/>
  <c r="N86" i="4"/>
  <c r="O86" i="4" s="1"/>
  <c r="AH3" i="4" s="1"/>
  <c r="E86" i="4"/>
  <c r="F86" i="4" s="1"/>
  <c r="AG3" i="4" s="1"/>
  <c r="BJ84" i="4"/>
  <c r="BA84" i="4"/>
  <c r="AR84" i="4"/>
  <c r="AI84" i="4"/>
  <c r="Z84" i="4"/>
  <c r="Q84" i="4"/>
  <c r="H84" i="4"/>
  <c r="BG83" i="4"/>
  <c r="BD83" i="4"/>
  <c r="AX83" i="4"/>
  <c r="AU83" i="4"/>
  <c r="AO83" i="4"/>
  <c r="AL83" i="4"/>
  <c r="AF83" i="4"/>
  <c r="AC83" i="4"/>
  <c r="W83" i="4"/>
  <c r="T83" i="4"/>
  <c r="N83" i="4"/>
  <c r="K83" i="4"/>
  <c r="E83" i="4"/>
  <c r="B83" i="4"/>
  <c r="BG82" i="4"/>
  <c r="BD82" i="4"/>
  <c r="AX82" i="4"/>
  <c r="AU82" i="4"/>
  <c r="AO82" i="4"/>
  <c r="AL82" i="4"/>
  <c r="AF82" i="4"/>
  <c r="AC82" i="4"/>
  <c r="W82" i="4"/>
  <c r="T82" i="4"/>
  <c r="N82" i="4"/>
  <c r="K82" i="4"/>
  <c r="E82" i="4"/>
  <c r="B82" i="4"/>
  <c r="BG81" i="4"/>
  <c r="BD81" i="4"/>
  <c r="AX81" i="4"/>
  <c r="AU81" i="4"/>
  <c r="AO81" i="4"/>
  <c r="AL81" i="4"/>
  <c r="AF81" i="4"/>
  <c r="AC81" i="4"/>
  <c r="W81" i="4"/>
  <c r="T81" i="4"/>
  <c r="N81" i="4"/>
  <c r="K81" i="4"/>
  <c r="E81" i="4"/>
  <c r="B81" i="4"/>
  <c r="BG80" i="4"/>
  <c r="BD80" i="4"/>
  <c r="AX80" i="4"/>
  <c r="AU80" i="4"/>
  <c r="AO80" i="4"/>
  <c r="AL80" i="4"/>
  <c r="AF80" i="4"/>
  <c r="AC80" i="4"/>
  <c r="W80" i="4"/>
  <c r="T80" i="4"/>
  <c r="N80" i="4"/>
  <c r="K80" i="4"/>
  <c r="E80" i="4"/>
  <c r="B80" i="4"/>
  <c r="BG79" i="4"/>
  <c r="BD79" i="4"/>
  <c r="AX79" i="4"/>
  <c r="AU79" i="4"/>
  <c r="AO79" i="4"/>
  <c r="AL79" i="4"/>
  <c r="AF79" i="4"/>
  <c r="AC79" i="4"/>
  <c r="W79" i="4"/>
  <c r="T79" i="4"/>
  <c r="N79" i="4"/>
  <c r="K79" i="4"/>
  <c r="E79" i="4"/>
  <c r="B79" i="4"/>
  <c r="BG78" i="4"/>
  <c r="BD78" i="4"/>
  <c r="AX78" i="4"/>
  <c r="AU78" i="4"/>
  <c r="AO78" i="4"/>
  <c r="AL78" i="4"/>
  <c r="AF78" i="4"/>
  <c r="AC78" i="4"/>
  <c r="W78" i="4"/>
  <c r="T78" i="4"/>
  <c r="N78" i="4"/>
  <c r="K78" i="4"/>
  <c r="E78" i="4"/>
  <c r="B78" i="4"/>
  <c r="BG77" i="4"/>
  <c r="BD77" i="4"/>
  <c r="AX77" i="4"/>
  <c r="AU77" i="4"/>
  <c r="AO77" i="4"/>
  <c r="AL77" i="4"/>
  <c r="AF77" i="4"/>
  <c r="AC77" i="4"/>
  <c r="W77" i="4"/>
  <c r="T77" i="4"/>
  <c r="N77" i="4"/>
  <c r="K77" i="4"/>
  <c r="E77" i="4"/>
  <c r="B77" i="4"/>
  <c r="BG76" i="4"/>
  <c r="BD76" i="4"/>
  <c r="AX76" i="4"/>
  <c r="AU76" i="4"/>
  <c r="AO76" i="4"/>
  <c r="AL76" i="4"/>
  <c r="AF76" i="4"/>
  <c r="AC76" i="4"/>
  <c r="W76" i="4"/>
  <c r="T76" i="4"/>
  <c r="N76" i="4"/>
  <c r="K76" i="4"/>
  <c r="E76" i="4"/>
  <c r="B76" i="4"/>
  <c r="BG75" i="4"/>
  <c r="BD75" i="4"/>
  <c r="AX75" i="4"/>
  <c r="AU75" i="4"/>
  <c r="AO75" i="4"/>
  <c r="AL75" i="4"/>
  <c r="AF75" i="4"/>
  <c r="AC75" i="4"/>
  <c r="W75" i="4"/>
  <c r="T75" i="4"/>
  <c r="N75" i="4"/>
  <c r="K75" i="4"/>
  <c r="E75" i="4"/>
  <c r="B75" i="4"/>
  <c r="BG74" i="4"/>
  <c r="BD74" i="4"/>
  <c r="AX74" i="4"/>
  <c r="AU74" i="4"/>
  <c r="AO74" i="4"/>
  <c r="AL74" i="4"/>
  <c r="AF74" i="4"/>
  <c r="AC74" i="4"/>
  <c r="W74" i="4"/>
  <c r="T74" i="4"/>
  <c r="N74" i="4"/>
  <c r="K74" i="4"/>
  <c r="E74" i="4"/>
  <c r="B74" i="4"/>
  <c r="BG73" i="4"/>
  <c r="BD73" i="4"/>
  <c r="AX73" i="4"/>
  <c r="AU73" i="4"/>
  <c r="AO73" i="4"/>
  <c r="AL73" i="4"/>
  <c r="AF73" i="4"/>
  <c r="AC73" i="4"/>
  <c r="W73" i="4"/>
  <c r="T73" i="4"/>
  <c r="N73" i="4"/>
  <c r="K73" i="4"/>
  <c r="E73" i="4"/>
  <c r="B73" i="4"/>
  <c r="BG72" i="4"/>
  <c r="BD72" i="4"/>
  <c r="AX72" i="4"/>
  <c r="AU72" i="4"/>
  <c r="AO72" i="4"/>
  <c r="AL72" i="4"/>
  <c r="AF72" i="4"/>
  <c r="AC72" i="4"/>
  <c r="W72" i="4"/>
  <c r="T72" i="4"/>
  <c r="N72" i="4"/>
  <c r="K72" i="4"/>
  <c r="E72" i="4"/>
  <c r="B72" i="4"/>
  <c r="BG71" i="4"/>
  <c r="BD71" i="4"/>
  <c r="AX71" i="4"/>
  <c r="AU71" i="4"/>
  <c r="AO71" i="4"/>
  <c r="AL71" i="4"/>
  <c r="AF71" i="4"/>
  <c r="AC71" i="4"/>
  <c r="W71" i="4"/>
  <c r="T71" i="4"/>
  <c r="N71" i="4"/>
  <c r="K71" i="4"/>
  <c r="E71" i="4"/>
  <c r="B71" i="4"/>
  <c r="BG70" i="4"/>
  <c r="BD70" i="4"/>
  <c r="AX70" i="4"/>
  <c r="AU70" i="4"/>
  <c r="AO70" i="4"/>
  <c r="AL70" i="4"/>
  <c r="AF70" i="4"/>
  <c r="AC70" i="4"/>
  <c r="W70" i="4"/>
  <c r="T70" i="4"/>
  <c r="N70" i="4"/>
  <c r="K70" i="4"/>
  <c r="E70" i="4"/>
  <c r="B70" i="4"/>
  <c r="BG69" i="4"/>
  <c r="BD69" i="4"/>
  <c r="AX69" i="4"/>
  <c r="AU69" i="4"/>
  <c r="AO69" i="4"/>
  <c r="AL69" i="4"/>
  <c r="AF69" i="4"/>
  <c r="AC69" i="4"/>
  <c r="W69" i="4"/>
  <c r="T69" i="4"/>
  <c r="N69" i="4"/>
  <c r="K69" i="4"/>
  <c r="E69" i="4"/>
  <c r="B69" i="4"/>
  <c r="BG66" i="4"/>
  <c r="BH66" i="4" s="1"/>
  <c r="AF3" i="4" s="1"/>
  <c r="AX66" i="4"/>
  <c r="AY66" i="4" s="1"/>
  <c r="AE3" i="4" s="1"/>
  <c r="AO66" i="4"/>
  <c r="AP66" i="4" s="1"/>
  <c r="AD3" i="4" s="1"/>
  <c r="AF66" i="4"/>
  <c r="AG66" i="4" s="1"/>
  <c r="AC3" i="4" s="1"/>
  <c r="W66" i="4"/>
  <c r="X66" i="4" s="1"/>
  <c r="AB3" i="4" s="1"/>
  <c r="N66" i="4"/>
  <c r="O66" i="4" s="1"/>
  <c r="AA3" i="4" s="1"/>
  <c r="E66" i="4"/>
  <c r="F66" i="4" s="1"/>
  <c r="Z3" i="4" s="1"/>
  <c r="BJ64" i="4"/>
  <c r="BA64" i="4"/>
  <c r="AR64" i="4"/>
  <c r="AI64" i="4"/>
  <c r="Z64" i="4"/>
  <c r="Q64" i="4"/>
  <c r="H64" i="4"/>
  <c r="BG63" i="4"/>
  <c r="BD63" i="4"/>
  <c r="AX63" i="4"/>
  <c r="AU63" i="4"/>
  <c r="AO63" i="4"/>
  <c r="AL63" i="4"/>
  <c r="AF63" i="4"/>
  <c r="AC63" i="4"/>
  <c r="W63" i="4"/>
  <c r="T63" i="4"/>
  <c r="N63" i="4"/>
  <c r="K63" i="4"/>
  <c r="E63" i="4"/>
  <c r="B63" i="4"/>
  <c r="BG62" i="4"/>
  <c r="BD62" i="4"/>
  <c r="AX62" i="4"/>
  <c r="AU62" i="4"/>
  <c r="AO62" i="4"/>
  <c r="AL62" i="4"/>
  <c r="AF62" i="4"/>
  <c r="AC62" i="4"/>
  <c r="W62" i="4"/>
  <c r="T62" i="4"/>
  <c r="N62" i="4"/>
  <c r="K62" i="4"/>
  <c r="E62" i="4"/>
  <c r="B62" i="4"/>
  <c r="BG61" i="4"/>
  <c r="BD61" i="4"/>
  <c r="AX61" i="4"/>
  <c r="AU61" i="4"/>
  <c r="AO61" i="4"/>
  <c r="AL61" i="4"/>
  <c r="AF61" i="4"/>
  <c r="AC61" i="4"/>
  <c r="W61" i="4"/>
  <c r="T61" i="4"/>
  <c r="N61" i="4"/>
  <c r="K61" i="4"/>
  <c r="E61" i="4"/>
  <c r="B61" i="4"/>
  <c r="BG60" i="4"/>
  <c r="BD60" i="4"/>
  <c r="AX60" i="4"/>
  <c r="AU60" i="4"/>
  <c r="AO60" i="4"/>
  <c r="AL60" i="4"/>
  <c r="AF60" i="4"/>
  <c r="AC60" i="4"/>
  <c r="W60" i="4"/>
  <c r="T60" i="4"/>
  <c r="N60" i="4"/>
  <c r="K60" i="4"/>
  <c r="E60" i="4"/>
  <c r="B60" i="4"/>
  <c r="BG59" i="4"/>
  <c r="BD59" i="4"/>
  <c r="AX59" i="4"/>
  <c r="AU59" i="4"/>
  <c r="AO59" i="4"/>
  <c r="AL59" i="4"/>
  <c r="AF59" i="4"/>
  <c r="AC59" i="4"/>
  <c r="W59" i="4"/>
  <c r="T59" i="4"/>
  <c r="N59" i="4"/>
  <c r="K59" i="4"/>
  <c r="E59" i="4"/>
  <c r="B59" i="4"/>
  <c r="BG58" i="4"/>
  <c r="BD58" i="4"/>
  <c r="AX58" i="4"/>
  <c r="AU58" i="4"/>
  <c r="AO58" i="4"/>
  <c r="AL58" i="4"/>
  <c r="AF58" i="4"/>
  <c r="AC58" i="4"/>
  <c r="W58" i="4"/>
  <c r="T58" i="4"/>
  <c r="N58" i="4"/>
  <c r="K58" i="4"/>
  <c r="E58" i="4"/>
  <c r="B58" i="4"/>
  <c r="BG57" i="4"/>
  <c r="BD57" i="4"/>
  <c r="AX57" i="4"/>
  <c r="AU57" i="4"/>
  <c r="AO57" i="4"/>
  <c r="AL57" i="4"/>
  <c r="AF57" i="4"/>
  <c r="AC57" i="4"/>
  <c r="W57" i="4"/>
  <c r="T57" i="4"/>
  <c r="N57" i="4"/>
  <c r="K57" i="4"/>
  <c r="E57" i="4"/>
  <c r="B57" i="4"/>
  <c r="BG56" i="4"/>
  <c r="BD56" i="4"/>
  <c r="AX56" i="4"/>
  <c r="AU56" i="4"/>
  <c r="AO56" i="4"/>
  <c r="AL56" i="4"/>
  <c r="AF56" i="4"/>
  <c r="AC56" i="4"/>
  <c r="W56" i="4"/>
  <c r="T56" i="4"/>
  <c r="N56" i="4"/>
  <c r="K56" i="4"/>
  <c r="E56" i="4"/>
  <c r="B56" i="4"/>
  <c r="BG55" i="4"/>
  <c r="BD55" i="4"/>
  <c r="AX55" i="4"/>
  <c r="AU55" i="4"/>
  <c r="AO55" i="4"/>
  <c r="AL55" i="4"/>
  <c r="AF55" i="4"/>
  <c r="AC55" i="4"/>
  <c r="W55" i="4"/>
  <c r="T55" i="4"/>
  <c r="N55" i="4"/>
  <c r="K55" i="4"/>
  <c r="E55" i="4"/>
  <c r="B55" i="4"/>
  <c r="BG54" i="4"/>
  <c r="BD54" i="4"/>
  <c r="AX54" i="4"/>
  <c r="AU54" i="4"/>
  <c r="AO54" i="4"/>
  <c r="AL54" i="4"/>
  <c r="AF54" i="4"/>
  <c r="AC54" i="4"/>
  <c r="W54" i="4"/>
  <c r="T54" i="4"/>
  <c r="N54" i="4"/>
  <c r="K54" i="4"/>
  <c r="E54" i="4"/>
  <c r="B54" i="4"/>
  <c r="BG53" i="4"/>
  <c r="BD53" i="4"/>
  <c r="AX53" i="4"/>
  <c r="AU53" i="4"/>
  <c r="AO53" i="4"/>
  <c r="AL53" i="4"/>
  <c r="AF53" i="4"/>
  <c r="AC53" i="4"/>
  <c r="W53" i="4"/>
  <c r="T53" i="4"/>
  <c r="N53" i="4"/>
  <c r="K53" i="4"/>
  <c r="E53" i="4"/>
  <c r="B53" i="4"/>
  <c r="BG52" i="4"/>
  <c r="BD52" i="4"/>
  <c r="AX52" i="4"/>
  <c r="AU52" i="4"/>
  <c r="AO52" i="4"/>
  <c r="AL52" i="4"/>
  <c r="AF52" i="4"/>
  <c r="AC52" i="4"/>
  <c r="W52" i="4"/>
  <c r="T52" i="4"/>
  <c r="N52" i="4"/>
  <c r="K52" i="4"/>
  <c r="E52" i="4"/>
  <c r="B52" i="4"/>
  <c r="BG51" i="4"/>
  <c r="BD51" i="4"/>
  <c r="AX51" i="4"/>
  <c r="AU51" i="4"/>
  <c r="AO51" i="4"/>
  <c r="AL51" i="4"/>
  <c r="AF51" i="4"/>
  <c r="AC51" i="4"/>
  <c r="W51" i="4"/>
  <c r="T51" i="4"/>
  <c r="N51" i="4"/>
  <c r="K51" i="4"/>
  <c r="E51" i="4"/>
  <c r="B51" i="4"/>
  <c r="BG50" i="4"/>
  <c r="BD50" i="4"/>
  <c r="AX50" i="4"/>
  <c r="AU50" i="4"/>
  <c r="AO50" i="4"/>
  <c r="AL50" i="4"/>
  <c r="AF50" i="4"/>
  <c r="AC50" i="4"/>
  <c r="W50" i="4"/>
  <c r="T50" i="4"/>
  <c r="N50" i="4"/>
  <c r="K50" i="4"/>
  <c r="E50" i="4"/>
  <c r="B50" i="4"/>
  <c r="BG49" i="4"/>
  <c r="BD49" i="4"/>
  <c r="AX49" i="4"/>
  <c r="AU49" i="4"/>
  <c r="AO49" i="4"/>
  <c r="AL49" i="4"/>
  <c r="AF49" i="4"/>
  <c r="AC49" i="4"/>
  <c r="W49" i="4"/>
  <c r="T49" i="4"/>
  <c r="N49" i="4"/>
  <c r="K49" i="4"/>
  <c r="E49" i="4"/>
  <c r="B49" i="4"/>
  <c r="BG46" i="4"/>
  <c r="BH46" i="4" s="1"/>
  <c r="Y3" i="4" s="1"/>
  <c r="AX46" i="4"/>
  <c r="AY46" i="4" s="1"/>
  <c r="X3" i="4" s="1"/>
  <c r="AO46" i="4"/>
  <c r="AP46" i="4" s="1"/>
  <c r="W3" i="4" s="1"/>
  <c r="AF46" i="4"/>
  <c r="AG46" i="4" s="1"/>
  <c r="V3" i="4" s="1"/>
  <c r="W46" i="4"/>
  <c r="X46" i="4" s="1"/>
  <c r="U3" i="4" s="1"/>
  <c r="N46" i="4"/>
  <c r="O46" i="4" s="1"/>
  <c r="T3" i="4" s="1"/>
  <c r="E46" i="4"/>
  <c r="F46" i="4" s="1"/>
  <c r="S3" i="4" s="1"/>
  <c r="BJ44" i="4"/>
  <c r="BA44" i="4"/>
  <c r="AR44" i="4"/>
  <c r="AI44" i="4"/>
  <c r="Z44" i="4"/>
  <c r="Q44" i="4"/>
  <c r="H44" i="4"/>
  <c r="BG43" i="4"/>
  <c r="BD43" i="4"/>
  <c r="AX43" i="4"/>
  <c r="AU43" i="4"/>
  <c r="AO43" i="4"/>
  <c r="AL43" i="4"/>
  <c r="AF43" i="4"/>
  <c r="AC43" i="4"/>
  <c r="W43" i="4"/>
  <c r="T43" i="4"/>
  <c r="N43" i="4"/>
  <c r="K43" i="4"/>
  <c r="E43" i="4"/>
  <c r="B43" i="4"/>
  <c r="BG42" i="4"/>
  <c r="BD42" i="4"/>
  <c r="AX42" i="4"/>
  <c r="AU42" i="4"/>
  <c r="AO42" i="4"/>
  <c r="AL42" i="4"/>
  <c r="AF42" i="4"/>
  <c r="AC42" i="4"/>
  <c r="W42" i="4"/>
  <c r="T42" i="4"/>
  <c r="N42" i="4"/>
  <c r="K42" i="4"/>
  <c r="E42" i="4"/>
  <c r="B42" i="4"/>
  <c r="BG41" i="4"/>
  <c r="BD41" i="4"/>
  <c r="AX41" i="4"/>
  <c r="AU41" i="4"/>
  <c r="AO41" i="4"/>
  <c r="AL41" i="4"/>
  <c r="AF41" i="4"/>
  <c r="AC41" i="4"/>
  <c r="W41" i="4"/>
  <c r="T41" i="4"/>
  <c r="N41" i="4"/>
  <c r="K41" i="4"/>
  <c r="E41" i="4"/>
  <c r="B41" i="4"/>
  <c r="BG40" i="4"/>
  <c r="BD40" i="4"/>
  <c r="AX40" i="4"/>
  <c r="AU40" i="4"/>
  <c r="AO40" i="4"/>
  <c r="AL40" i="4"/>
  <c r="AF40" i="4"/>
  <c r="AC40" i="4"/>
  <c r="W40" i="4"/>
  <c r="T40" i="4"/>
  <c r="N40" i="4"/>
  <c r="K40" i="4"/>
  <c r="E40" i="4"/>
  <c r="B40" i="4"/>
  <c r="BG39" i="4"/>
  <c r="BD39" i="4"/>
  <c r="AX39" i="4"/>
  <c r="AU39" i="4"/>
  <c r="AO39" i="4"/>
  <c r="AL39" i="4"/>
  <c r="AF39" i="4"/>
  <c r="AC39" i="4"/>
  <c r="W39" i="4"/>
  <c r="T39" i="4"/>
  <c r="N39" i="4"/>
  <c r="K39" i="4"/>
  <c r="E39" i="4"/>
  <c r="B39" i="4"/>
  <c r="BG38" i="4"/>
  <c r="BD38" i="4"/>
  <c r="AX38" i="4"/>
  <c r="AU38" i="4"/>
  <c r="AO38" i="4"/>
  <c r="AL38" i="4"/>
  <c r="AF38" i="4"/>
  <c r="AC38" i="4"/>
  <c r="W38" i="4"/>
  <c r="T38" i="4"/>
  <c r="N38" i="4"/>
  <c r="K38" i="4"/>
  <c r="E38" i="4"/>
  <c r="B38" i="4"/>
  <c r="BG37" i="4"/>
  <c r="BD37" i="4"/>
  <c r="AX37" i="4"/>
  <c r="AU37" i="4"/>
  <c r="AO37" i="4"/>
  <c r="AL37" i="4"/>
  <c r="AF37" i="4"/>
  <c r="AC37" i="4"/>
  <c r="W37" i="4"/>
  <c r="T37" i="4"/>
  <c r="N37" i="4"/>
  <c r="K37" i="4"/>
  <c r="E37" i="4"/>
  <c r="B37" i="4"/>
  <c r="BG36" i="4"/>
  <c r="BD36" i="4"/>
  <c r="AX36" i="4"/>
  <c r="AU36" i="4"/>
  <c r="AO36" i="4"/>
  <c r="AL36" i="4"/>
  <c r="AF36" i="4"/>
  <c r="AC36" i="4"/>
  <c r="W36" i="4"/>
  <c r="T36" i="4"/>
  <c r="N36" i="4"/>
  <c r="K36" i="4"/>
  <c r="E36" i="4"/>
  <c r="B36" i="4"/>
  <c r="BG35" i="4"/>
  <c r="BD35" i="4"/>
  <c r="AX35" i="4"/>
  <c r="AU35" i="4"/>
  <c r="AO35" i="4"/>
  <c r="AL35" i="4"/>
  <c r="AF35" i="4"/>
  <c r="AC35" i="4"/>
  <c r="W35" i="4"/>
  <c r="T35" i="4"/>
  <c r="N35" i="4"/>
  <c r="K35" i="4"/>
  <c r="E35" i="4"/>
  <c r="B35" i="4"/>
  <c r="BG34" i="4"/>
  <c r="BD34" i="4"/>
  <c r="AX34" i="4"/>
  <c r="AU34" i="4"/>
  <c r="AO34" i="4"/>
  <c r="AL34" i="4"/>
  <c r="AF34" i="4"/>
  <c r="AC34" i="4"/>
  <c r="W34" i="4"/>
  <c r="T34" i="4"/>
  <c r="N34" i="4"/>
  <c r="K34" i="4"/>
  <c r="E34" i="4"/>
  <c r="B34" i="4"/>
  <c r="BG33" i="4"/>
  <c r="BD33" i="4"/>
  <c r="AX33" i="4"/>
  <c r="AU33" i="4"/>
  <c r="AO33" i="4"/>
  <c r="AL33" i="4"/>
  <c r="AF33" i="4"/>
  <c r="AC33" i="4"/>
  <c r="W33" i="4"/>
  <c r="T33" i="4"/>
  <c r="N33" i="4"/>
  <c r="K33" i="4"/>
  <c r="E33" i="4"/>
  <c r="B33" i="4"/>
  <c r="BG32" i="4"/>
  <c r="BD32" i="4"/>
  <c r="AX32" i="4"/>
  <c r="AU32" i="4"/>
  <c r="AO32" i="4"/>
  <c r="AL32" i="4"/>
  <c r="AF32" i="4"/>
  <c r="AC32" i="4"/>
  <c r="W32" i="4"/>
  <c r="T32" i="4"/>
  <c r="N32" i="4"/>
  <c r="K32" i="4"/>
  <c r="E32" i="4"/>
  <c r="B32" i="4"/>
  <c r="BG31" i="4"/>
  <c r="BD31" i="4"/>
  <c r="AX31" i="4"/>
  <c r="AU31" i="4"/>
  <c r="AO31" i="4"/>
  <c r="AL31" i="4"/>
  <c r="AF31" i="4"/>
  <c r="AC31" i="4"/>
  <c r="W31" i="4"/>
  <c r="T31" i="4"/>
  <c r="N31" i="4"/>
  <c r="K31" i="4"/>
  <c r="E31" i="4"/>
  <c r="B31" i="4"/>
  <c r="BG30" i="4"/>
  <c r="BD30" i="4"/>
  <c r="AX30" i="4"/>
  <c r="AU30" i="4"/>
  <c r="AO30" i="4"/>
  <c r="AL30" i="4"/>
  <c r="AF30" i="4"/>
  <c r="AC30" i="4"/>
  <c r="W30" i="4"/>
  <c r="T30" i="4"/>
  <c r="N30" i="4"/>
  <c r="K30" i="4"/>
  <c r="E30" i="4"/>
  <c r="B30" i="4"/>
  <c r="BG29" i="4"/>
  <c r="BD29" i="4"/>
  <c r="AX29" i="4"/>
  <c r="AU29" i="4"/>
  <c r="AO29" i="4"/>
  <c r="AL29" i="4"/>
  <c r="AF29" i="4"/>
  <c r="AC29" i="4"/>
  <c r="W29" i="4"/>
  <c r="T29" i="4"/>
  <c r="N29" i="4"/>
  <c r="K29" i="4"/>
  <c r="E29" i="4"/>
  <c r="B29" i="4"/>
  <c r="BG26" i="4"/>
  <c r="BH26" i="4" s="1"/>
  <c r="R3" i="4" s="1"/>
  <c r="AX26" i="4"/>
  <c r="AY26" i="4" s="1"/>
  <c r="Q3" i="4" s="1"/>
  <c r="AO26" i="4"/>
  <c r="AP26" i="4" s="1"/>
  <c r="P3" i="4" s="1"/>
  <c r="AF26" i="4"/>
  <c r="AG26" i="4" s="1"/>
  <c r="O3" i="4" s="1"/>
  <c r="W26" i="4"/>
  <c r="X26" i="4" s="1"/>
  <c r="N3" i="4" s="1"/>
  <c r="N26" i="4"/>
  <c r="O26" i="4" s="1"/>
  <c r="M3" i="4" s="1"/>
  <c r="E26" i="4"/>
  <c r="F26" i="4" s="1"/>
  <c r="L3" i="4" s="1"/>
  <c r="BJ24" i="4"/>
  <c r="BA24" i="4"/>
  <c r="AR24" i="4"/>
  <c r="AI24" i="4"/>
  <c r="Z24" i="4"/>
  <c r="Q24" i="4"/>
  <c r="H24" i="4"/>
  <c r="BG23" i="4"/>
  <c r="BD23" i="4"/>
  <c r="AX23" i="4"/>
  <c r="AU23" i="4"/>
  <c r="AO23" i="4"/>
  <c r="AL23" i="4"/>
  <c r="AF23" i="4"/>
  <c r="AC23" i="4"/>
  <c r="W23" i="4"/>
  <c r="T23" i="4"/>
  <c r="N23" i="4"/>
  <c r="K23" i="4"/>
  <c r="E23" i="4"/>
  <c r="B23" i="4"/>
  <c r="BG22" i="4"/>
  <c r="BD22" i="4"/>
  <c r="AX22" i="4"/>
  <c r="AU22" i="4"/>
  <c r="AO22" i="4"/>
  <c r="AL22" i="4"/>
  <c r="AF22" i="4"/>
  <c r="AC22" i="4"/>
  <c r="W22" i="4"/>
  <c r="T22" i="4"/>
  <c r="N22" i="4"/>
  <c r="K22" i="4"/>
  <c r="E22" i="4"/>
  <c r="B22" i="4"/>
  <c r="BG21" i="4"/>
  <c r="BD21" i="4"/>
  <c r="AX21" i="4"/>
  <c r="AU21" i="4"/>
  <c r="AO21" i="4"/>
  <c r="AL21" i="4"/>
  <c r="AF21" i="4"/>
  <c r="AC21" i="4"/>
  <c r="W21" i="4"/>
  <c r="T21" i="4"/>
  <c r="N21" i="4"/>
  <c r="K21" i="4"/>
  <c r="E21" i="4"/>
  <c r="B21" i="4"/>
  <c r="BG20" i="4"/>
  <c r="BD20" i="4"/>
  <c r="AX20" i="4"/>
  <c r="AU20" i="4"/>
  <c r="AO20" i="4"/>
  <c r="AL20" i="4"/>
  <c r="AF20" i="4"/>
  <c r="AC20" i="4"/>
  <c r="W20" i="4"/>
  <c r="T20" i="4"/>
  <c r="N20" i="4"/>
  <c r="K20" i="4"/>
  <c r="E20" i="4"/>
  <c r="B20" i="4"/>
  <c r="BG19" i="4"/>
  <c r="BD19" i="4"/>
  <c r="AX19" i="4"/>
  <c r="AU19" i="4"/>
  <c r="AO19" i="4"/>
  <c r="AL19" i="4"/>
  <c r="AF19" i="4"/>
  <c r="AC19" i="4"/>
  <c r="W19" i="4"/>
  <c r="T19" i="4"/>
  <c r="N19" i="4"/>
  <c r="K19" i="4"/>
  <c r="E19" i="4"/>
  <c r="B19" i="4"/>
  <c r="BG18" i="4"/>
  <c r="BD18" i="4"/>
  <c r="AX18" i="4"/>
  <c r="AU18" i="4"/>
  <c r="AO18" i="4"/>
  <c r="AL18" i="4"/>
  <c r="AF18" i="4"/>
  <c r="AC18" i="4"/>
  <c r="W18" i="4"/>
  <c r="T18" i="4"/>
  <c r="N18" i="4"/>
  <c r="K18" i="4"/>
  <c r="E18" i="4"/>
  <c r="B18" i="4"/>
  <c r="BG17" i="4"/>
  <c r="BD17" i="4"/>
  <c r="AX17" i="4"/>
  <c r="AU17" i="4"/>
  <c r="AO17" i="4"/>
  <c r="AL17" i="4"/>
  <c r="AF17" i="4"/>
  <c r="AC17" i="4"/>
  <c r="W17" i="4"/>
  <c r="T17" i="4"/>
  <c r="N17" i="4"/>
  <c r="K17" i="4"/>
  <c r="E17" i="4"/>
  <c r="B17" i="4"/>
  <c r="BG16" i="4"/>
  <c r="BD16" i="4"/>
  <c r="AX16" i="4"/>
  <c r="AU16" i="4"/>
  <c r="AO16" i="4"/>
  <c r="AL16" i="4"/>
  <c r="AF16" i="4"/>
  <c r="AC16" i="4"/>
  <c r="W16" i="4"/>
  <c r="T16" i="4"/>
  <c r="N16" i="4"/>
  <c r="K16" i="4"/>
  <c r="E16" i="4"/>
  <c r="B16" i="4"/>
  <c r="BG15" i="4"/>
  <c r="BD15" i="4"/>
  <c r="AX15" i="4"/>
  <c r="AU15" i="4"/>
  <c r="AO15" i="4"/>
  <c r="AL15" i="4"/>
  <c r="AF15" i="4"/>
  <c r="AC15" i="4"/>
  <c r="W15" i="4"/>
  <c r="T15" i="4"/>
  <c r="N15" i="4"/>
  <c r="K15" i="4"/>
  <c r="E15" i="4"/>
  <c r="B15" i="4"/>
  <c r="BG14" i="4"/>
  <c r="BD14" i="4"/>
  <c r="AX14" i="4"/>
  <c r="AU14" i="4"/>
  <c r="AO14" i="4"/>
  <c r="AL14" i="4"/>
  <c r="AF14" i="4"/>
  <c r="AC14" i="4"/>
  <c r="W14" i="4"/>
  <c r="T14" i="4"/>
  <c r="N14" i="4"/>
  <c r="K14" i="4"/>
  <c r="E14" i="4"/>
  <c r="B14" i="4"/>
  <c r="BG13" i="4"/>
  <c r="BD13" i="4"/>
  <c r="AX13" i="4"/>
  <c r="AU13" i="4"/>
  <c r="AO13" i="4"/>
  <c r="AL13" i="4"/>
  <c r="AF13" i="4"/>
  <c r="AC13" i="4"/>
  <c r="W13" i="4"/>
  <c r="T13" i="4"/>
  <c r="N13" i="4"/>
  <c r="K13" i="4"/>
  <c r="E13" i="4"/>
  <c r="B13" i="4"/>
  <c r="BG12" i="4"/>
  <c r="BD12" i="4"/>
  <c r="AX12" i="4"/>
  <c r="AU12" i="4"/>
  <c r="AO12" i="4"/>
  <c r="AL12" i="4"/>
  <c r="AF12" i="4"/>
  <c r="AC12" i="4"/>
  <c r="W12" i="4"/>
  <c r="T12" i="4"/>
  <c r="N12" i="4"/>
  <c r="K12" i="4"/>
  <c r="E12" i="4"/>
  <c r="B12" i="4"/>
  <c r="BG11" i="4"/>
  <c r="BD11" i="4"/>
  <c r="AX11" i="4"/>
  <c r="AU11" i="4"/>
  <c r="AO11" i="4"/>
  <c r="AL11" i="4"/>
  <c r="AF11" i="4"/>
  <c r="AC11" i="4"/>
  <c r="W11" i="4"/>
  <c r="T11" i="4"/>
  <c r="N11" i="4"/>
  <c r="K11" i="4"/>
  <c r="E11" i="4"/>
  <c r="B11" i="4"/>
  <c r="BG10" i="4"/>
  <c r="BD10" i="4"/>
  <c r="AX10" i="4"/>
  <c r="AU10" i="4"/>
  <c r="AO10" i="4"/>
  <c r="AL10" i="4"/>
  <c r="AF10" i="4"/>
  <c r="AC10" i="4"/>
  <c r="W10" i="4"/>
  <c r="T10" i="4"/>
  <c r="N10" i="4"/>
  <c r="K10" i="4"/>
  <c r="E10" i="4"/>
  <c r="B10" i="4"/>
  <c r="BG9" i="4"/>
  <c r="BD9" i="4"/>
  <c r="AX9" i="4"/>
  <c r="AU9" i="4"/>
  <c r="AO9" i="4"/>
  <c r="AL9" i="4"/>
  <c r="AF9" i="4"/>
  <c r="AC9" i="4"/>
  <c r="W9" i="4"/>
  <c r="T9" i="4"/>
  <c r="N9" i="4"/>
  <c r="K9" i="4"/>
  <c r="E9" i="4"/>
  <c r="F108" i="4" s="1" a="1"/>
  <c r="F108" i="4" s="1"/>
  <c r="BG6" i="4"/>
  <c r="BH6" i="4" s="1"/>
  <c r="K3" i="4" s="1"/>
  <c r="AX6" i="4"/>
  <c r="AY6" i="4" s="1"/>
  <c r="J3" i="4" s="1"/>
  <c r="AO6" i="4"/>
  <c r="AP6" i="4" s="1"/>
  <c r="I3" i="4" s="1"/>
  <c r="AF6" i="4"/>
  <c r="AG6" i="4" s="1"/>
  <c r="H3" i="4" s="1"/>
  <c r="W6" i="4"/>
  <c r="X6" i="4" s="1"/>
  <c r="G3" i="4" s="1"/>
  <c r="N6" i="4"/>
  <c r="O6" i="4" s="1"/>
  <c r="F3" i="4" s="1"/>
  <c r="E6" i="4"/>
  <c r="F6" i="4" s="1"/>
  <c r="A6" i="4"/>
  <c r="J6" i="4" s="1"/>
  <c r="S6" i="4" s="1"/>
  <c r="M23" i="7"/>
  <c r="N26" i="7"/>
  <c r="D9" i="7" a="1"/>
  <c r="E22" i="7"/>
  <c r="F11" i="7" a="1"/>
  <c r="D15" i="7" a="1"/>
  <c r="M25" i="7"/>
  <c r="K46" i="7"/>
  <c r="M40" i="7"/>
  <c r="I42" i="7"/>
  <c r="J40" i="7"/>
  <c r="F8" i="7" a="1"/>
  <c r="D74" i="7" a="1"/>
  <c r="E30" i="7"/>
  <c r="O43" i="7"/>
  <c r="I28" i="7"/>
  <c r="O32" i="7"/>
  <c r="G21" i="7"/>
  <c r="D77" i="7" a="1"/>
  <c r="G46" i="7"/>
  <c r="O48" i="7"/>
  <c r="L41" i="7"/>
  <c r="O24" i="7"/>
  <c r="D14" i="7" a="1"/>
  <c r="L42" i="7"/>
  <c r="H16" i="7" a="1"/>
  <c r="D10" i="7" a="1"/>
  <c r="F28" i="7"/>
  <c r="J30" i="7"/>
  <c r="E42" i="7"/>
  <c r="G44" i="7"/>
  <c r="F29" i="7"/>
  <c r="O26" i="7"/>
  <c r="N27" i="7"/>
  <c r="F43" i="7"/>
  <c r="F21" i="7"/>
  <c r="J23" i="7"/>
  <c r="I29" i="7"/>
  <c r="F39" i="7"/>
  <c r="H25" i="7"/>
  <c r="F15" i="7" a="1"/>
  <c r="L24" i="7"/>
  <c r="D73" i="7" a="1"/>
  <c r="J26" i="7"/>
  <c r="O42" i="7"/>
  <c r="M21" i="7"/>
  <c r="K45" i="7"/>
  <c r="O40" i="7"/>
  <c r="I32" i="7"/>
  <c r="L39" i="7"/>
  <c r="I26" i="7"/>
  <c r="H45" i="7"/>
  <c r="F49" i="7"/>
  <c r="N44" i="7"/>
  <c r="D7" i="7" a="1"/>
  <c r="L49" i="7"/>
  <c r="I30" i="7"/>
  <c r="I24" i="7"/>
  <c r="N22" i="7"/>
  <c r="F5" i="7" a="1"/>
  <c r="I22" i="7"/>
  <c r="M5" i="9" a="1"/>
  <c r="K28" i="7"/>
  <c r="H11" i="7" a="1"/>
  <c r="I31" i="7"/>
  <c r="O30" i="7"/>
  <c r="O39" i="7"/>
  <c r="H44" i="7"/>
  <c r="I44" i="7"/>
  <c r="D11" i="7" a="1"/>
  <c r="E41" i="7"/>
  <c r="D5" i="7" a="1"/>
  <c r="J41" i="7"/>
  <c r="H13" i="7" a="1"/>
  <c r="G26" i="7"/>
  <c r="G45" i="7"/>
  <c r="H15" i="7" a="1"/>
  <c r="N49" i="7"/>
  <c r="E28" i="7"/>
  <c r="O49" i="7"/>
  <c r="N21" i="7"/>
  <c r="D16" i="7" a="1"/>
  <c r="E48" i="7"/>
  <c r="J22" i="7"/>
  <c r="K31" i="7"/>
  <c r="F23" i="7"/>
  <c r="F27" i="7"/>
  <c r="F9" i="7" a="1"/>
  <c r="E43" i="7"/>
  <c r="E44" i="7"/>
  <c r="D81" i="7" a="1"/>
  <c r="L25" i="7"/>
  <c r="E40" i="7"/>
  <c r="H39" i="7"/>
  <c r="L40" i="7"/>
  <c r="O25" i="7"/>
  <c r="E39" i="7"/>
  <c r="L29" i="7"/>
  <c r="L50" i="7"/>
  <c r="F44" i="7"/>
  <c r="F16" i="7" a="1"/>
  <c r="M26" i="7"/>
  <c r="E25" i="7"/>
  <c r="G40" i="7"/>
  <c r="N30" i="7"/>
  <c r="H14" i="7" a="1"/>
  <c r="E24" i="7"/>
  <c r="K42" i="7"/>
  <c r="O50" i="7"/>
  <c r="N24" i="7"/>
  <c r="D71" i="7" a="1"/>
  <c r="I45" i="7"/>
  <c r="E29" i="7"/>
  <c r="K21" i="7"/>
  <c r="M28" i="7"/>
  <c r="H7" i="7" a="1"/>
  <c r="E26" i="7"/>
  <c r="N28" i="7"/>
  <c r="M46" i="7"/>
  <c r="N45" i="7"/>
  <c r="L43" i="7"/>
  <c r="N39" i="7"/>
  <c r="H22" i="7"/>
  <c r="J48" i="7"/>
  <c r="O27" i="7"/>
  <c r="F31" i="7"/>
  <c r="E31" i="7"/>
  <c r="D82" i="7" a="1"/>
  <c r="M42" i="7"/>
  <c r="H10" i="7" a="1"/>
  <c r="F14" i="7" a="1"/>
  <c r="I48" i="7"/>
  <c r="J50" i="7"/>
  <c r="L28" i="7"/>
  <c r="F45" i="7"/>
  <c r="N25" i="7"/>
  <c r="K49" i="7"/>
  <c r="I23" i="7"/>
  <c r="N32" i="7"/>
  <c r="D75" i="7" a="1"/>
  <c r="K25" i="7"/>
  <c r="G32" i="7"/>
  <c r="F12" i="7" a="1"/>
  <c r="E27" i="7"/>
  <c r="J24" i="7"/>
  <c r="M44" i="7"/>
  <c r="H40" i="7"/>
  <c r="D8" i="7" a="1"/>
  <c r="F41" i="7"/>
  <c r="H21" i="7"/>
  <c r="H32" i="7"/>
  <c r="J39" i="7"/>
  <c r="J43" i="7"/>
  <c r="I43" i="7"/>
  <c r="K40" i="7"/>
  <c r="G27" i="7"/>
  <c r="F10" i="7" a="1"/>
  <c r="N40" i="7"/>
  <c r="E50" i="7"/>
  <c r="H49" i="7"/>
  <c r="G41" i="7"/>
  <c r="I40" i="7"/>
  <c r="J45" i="7"/>
  <c r="J25" i="7"/>
  <c r="J31" i="7"/>
  <c r="M41" i="7"/>
  <c r="L27" i="7"/>
  <c r="O21" i="7"/>
  <c r="G25" i="7"/>
  <c r="M22" i="7"/>
  <c r="K23" i="7"/>
  <c r="N42" i="7"/>
  <c r="H24" i="7"/>
  <c r="H30" i="7"/>
  <c r="L44" i="7"/>
  <c r="J44" i="7"/>
  <c r="L32" i="7"/>
  <c r="H48" i="7"/>
  <c r="J29" i="7"/>
  <c r="H12" i="7" a="1"/>
  <c r="H23" i="7"/>
  <c r="L21" i="7"/>
  <c r="H9" i="7" a="1"/>
  <c r="F42" i="7"/>
  <c r="I39" i="7"/>
  <c r="D72" i="7" a="1"/>
  <c r="H26" i="7"/>
  <c r="O23" i="7"/>
  <c r="O45" i="7"/>
  <c r="G42" i="7"/>
  <c r="G31" i="7"/>
  <c r="G43" i="7"/>
  <c r="G23" i="7"/>
  <c r="D76" i="7" a="1"/>
  <c r="M31" i="7"/>
  <c r="O29" i="7"/>
  <c r="H41" i="7"/>
  <c r="L23" i="7"/>
  <c r="I50" i="7"/>
  <c r="G39" i="7"/>
  <c r="H28" i="7"/>
  <c r="K44" i="7"/>
  <c r="E45" i="7"/>
  <c r="J32" i="7"/>
  <c r="J42" i="7"/>
  <c r="K29" i="7"/>
  <c r="K22" i="7"/>
  <c r="K39" i="7"/>
  <c r="I41" i="7"/>
  <c r="H50" i="7"/>
  <c r="O28" i="7"/>
  <c r="G50" i="7"/>
  <c r="K50" i="7"/>
  <c r="G48" i="7"/>
  <c r="E46" i="7"/>
  <c r="F6" i="7" a="1"/>
  <c r="H46" i="7"/>
  <c r="N50" i="7"/>
  <c r="L30" i="7"/>
  <c r="L45" i="7"/>
  <c r="M32" i="7"/>
  <c r="E32" i="7"/>
  <c r="L22" i="7"/>
  <c r="L26" i="7"/>
  <c r="J28" i="7"/>
  <c r="F24" i="7"/>
  <c r="M30" i="7"/>
  <c r="I49" i="7"/>
  <c r="F22" i="7"/>
  <c r="O47" i="7"/>
  <c r="K24" i="7"/>
  <c r="N43" i="7"/>
  <c r="F40" i="7"/>
  <c r="H6" i="7" a="1"/>
  <c r="K48" i="7"/>
  <c r="F30" i="7"/>
  <c r="K41" i="7"/>
  <c r="H43" i="7"/>
  <c r="O46" i="7"/>
  <c r="E21" i="7"/>
  <c r="M48" i="7"/>
  <c r="K27" i="7"/>
  <c r="F25" i="7"/>
  <c r="K30" i="7"/>
  <c r="M50" i="7"/>
  <c r="N29" i="7"/>
  <c r="F26" i="7"/>
  <c r="I46" i="7"/>
  <c r="L31" i="7"/>
  <c r="N46" i="7"/>
  <c r="J27" i="7"/>
  <c r="F50" i="7"/>
  <c r="G49" i="7"/>
  <c r="D6" i="7" a="1"/>
  <c r="M29" i="7"/>
  <c r="G30" i="7"/>
  <c r="M43" i="7"/>
  <c r="O44" i="7"/>
  <c r="G29" i="7"/>
  <c r="G24" i="7"/>
  <c r="H29" i="7"/>
  <c r="H27" i="7"/>
  <c r="I25" i="7"/>
  <c r="N23" i="7"/>
  <c r="F48" i="7"/>
  <c r="E23" i="7"/>
  <c r="J46" i="7"/>
  <c r="G22" i="7"/>
  <c r="M49" i="7"/>
  <c r="L46" i="7"/>
  <c r="O41" i="7"/>
  <c r="G28" i="7"/>
  <c r="O31" i="7"/>
  <c r="M27" i="7"/>
  <c r="M45" i="7"/>
  <c r="H5" i="7" a="1"/>
  <c r="L48" i="7"/>
  <c r="J49" i="7"/>
  <c r="N41" i="7"/>
  <c r="K32" i="7"/>
  <c r="H8" i="7" a="1"/>
  <c r="I27" i="7"/>
  <c r="F7" i="7" a="1"/>
  <c r="O22" i="7"/>
  <c r="H42" i="7"/>
  <c r="K43" i="7"/>
  <c r="D80" i="7" a="1"/>
  <c r="M24" i="7"/>
  <c r="D78" i="7" a="1"/>
  <c r="I21" i="7"/>
  <c r="K26" i="7"/>
  <c r="N31" i="7"/>
  <c r="N48" i="7"/>
  <c r="H31" i="7"/>
  <c r="J21" i="7"/>
  <c r="F32" i="7"/>
  <c r="F46" i="7"/>
  <c r="E49" i="7"/>
  <c r="M39" i="7"/>
  <c r="AT6" i="19" l="1"/>
  <c r="I2" i="19"/>
  <c r="I37" i="9" a="1"/>
  <c r="I37" i="9" s="1"/>
  <c r="D71" i="7"/>
  <c r="E71" i="7" s="1"/>
  <c r="C108" i="4" a="1"/>
  <c r="C108" i="4" s="1"/>
  <c r="O51" i="7"/>
  <c r="O33" i="7"/>
  <c r="F5" i="7"/>
  <c r="F6" i="7"/>
  <c r="F14" i="7"/>
  <c r="F7" i="7"/>
  <c r="F15" i="7"/>
  <c r="F16" i="7"/>
  <c r="F9" i="7"/>
  <c r="T12" i="9" s="1" a="1"/>
  <c r="T12" i="9" s="1"/>
  <c r="F8" i="7"/>
  <c r="F10" i="7"/>
  <c r="T11" i="9" s="1" a="1"/>
  <c r="T11" i="9" s="1"/>
  <c r="F11" i="7"/>
  <c r="T10" i="9" s="1" a="1"/>
  <c r="T10" i="9" s="1"/>
  <c r="F12" i="7"/>
  <c r="T9" i="9" s="1" a="1"/>
  <c r="T9" i="9" s="1"/>
  <c r="G108" i="4" a="1"/>
  <c r="G108" i="4" s="1"/>
  <c r="AL2" i="4"/>
  <c r="H108" i="4" a="1"/>
  <c r="H108" i="4" s="1"/>
  <c r="K108" i="4" a="1"/>
  <c r="K108" i="4" s="1"/>
  <c r="D108" i="4" a="1"/>
  <c r="D108" i="4" s="1"/>
  <c r="J108" i="4" a="1"/>
  <c r="J108" i="4" s="1"/>
  <c r="I108" i="4" a="1"/>
  <c r="I108" i="4" s="1"/>
  <c r="B108" i="4" a="1"/>
  <c r="B108" i="4" s="1"/>
  <c r="E108" i="4" a="1"/>
  <c r="E108" i="4" s="1"/>
  <c r="M5" i="9"/>
  <c r="D75" i="7"/>
  <c r="E75" i="7" s="1"/>
  <c r="D82" i="7"/>
  <c r="E82" i="7" s="1"/>
  <c r="D78" i="7"/>
  <c r="E78" i="7" s="1"/>
  <c r="D74" i="7"/>
  <c r="E74" i="7" s="1"/>
  <c r="D81" i="7"/>
  <c r="E81" i="7" s="1"/>
  <c r="D77" i="7"/>
  <c r="E77" i="7" s="1"/>
  <c r="D73" i="7"/>
  <c r="E73" i="7" s="1"/>
  <c r="D80" i="7"/>
  <c r="E80" i="7" s="1"/>
  <c r="D76" i="7"/>
  <c r="E76" i="7" s="1"/>
  <c r="D72" i="7"/>
  <c r="E72" i="7" s="1"/>
  <c r="E2" i="4"/>
  <c r="D41" i="7"/>
  <c r="D40" i="7"/>
  <c r="D39" i="7"/>
  <c r="D46" i="7"/>
  <c r="D45" i="7"/>
  <c r="D44" i="7"/>
  <c r="D50" i="7"/>
  <c r="D49" i="7"/>
  <c r="D43" i="7"/>
  <c r="D42" i="7"/>
  <c r="D48" i="7"/>
  <c r="D27" i="7"/>
  <c r="D26" i="7"/>
  <c r="D25" i="7"/>
  <c r="D28" i="7"/>
  <c r="D29" i="7"/>
  <c r="D31" i="7"/>
  <c r="D23" i="7"/>
  <c r="D24" i="7"/>
  <c r="D30" i="7"/>
  <c r="D32" i="7"/>
  <c r="D22" i="7"/>
  <c r="D21" i="7"/>
  <c r="M33" i="7"/>
  <c r="L33" i="7"/>
  <c r="K33" i="7"/>
  <c r="J33" i="7"/>
  <c r="I33" i="7"/>
  <c r="H33" i="7"/>
  <c r="G33" i="7"/>
  <c r="N33" i="7"/>
  <c r="F33" i="7"/>
  <c r="E33" i="7"/>
  <c r="H5" i="7"/>
  <c r="H9" i="7"/>
  <c r="H16" i="7"/>
  <c r="H12" i="7"/>
  <c r="H8" i="7"/>
  <c r="H15" i="7"/>
  <c r="H11" i="7"/>
  <c r="H7" i="7"/>
  <c r="H13" i="7"/>
  <c r="H14" i="7"/>
  <c r="H10" i="7"/>
  <c r="H6" i="7"/>
  <c r="D5" i="7"/>
  <c r="D9" i="7"/>
  <c r="D16" i="7"/>
  <c r="D8" i="7"/>
  <c r="D15" i="7"/>
  <c r="D11" i="7"/>
  <c r="D7" i="7"/>
  <c r="D14" i="7"/>
  <c r="D10" i="7"/>
  <c r="D6" i="7"/>
  <c r="B2" i="4"/>
  <c r="AQ2" i="4" s="1"/>
  <c r="AQ3" i="4" s="1"/>
  <c r="AW3" i="4" s="1"/>
  <c r="E3" i="4"/>
  <c r="B3" i="4" s="1"/>
  <c r="AB6" i="4"/>
  <c r="G2" i="4"/>
  <c r="F2" i="4"/>
  <c r="K47" i="7"/>
  <c r="I47" i="7"/>
  <c r="D13" i="7" a="1"/>
  <c r="E47" i="7"/>
  <c r="G47" i="7"/>
  <c r="H47" i="7"/>
  <c r="J47" i="7"/>
  <c r="L47" i="7"/>
  <c r="D12" i="7" a="1"/>
  <c r="N47" i="7"/>
  <c r="M47" i="7"/>
  <c r="F47" i="7"/>
  <c r="B40" i="9" a="1"/>
  <c r="J2" i="19" l="1"/>
  <c r="BC6" i="19"/>
  <c r="N11" i="9" a="1"/>
  <c r="N11" i="9" s="1"/>
  <c r="N9" i="9" a="1"/>
  <c r="N9" i="9" s="1"/>
  <c r="N13" i="9" a="1"/>
  <c r="N13" i="9" s="1"/>
  <c r="N12" i="7"/>
  <c r="D34" i="7"/>
  <c r="B40" i="9"/>
  <c r="AT3" i="4"/>
  <c r="AT2" i="4"/>
  <c r="AY2" i="4" s="1"/>
  <c r="BI2" i="4" s="1"/>
  <c r="F1" i="4" s="1"/>
  <c r="J51" i="7"/>
  <c r="K51" i="7"/>
  <c r="G51" i="7"/>
  <c r="D47" i="7"/>
  <c r="E51" i="7"/>
  <c r="I51" i="7"/>
  <c r="L51" i="7"/>
  <c r="M51" i="7"/>
  <c r="H51" i="7"/>
  <c r="F51" i="7"/>
  <c r="N51" i="7"/>
  <c r="J6" i="7"/>
  <c r="J12" i="7"/>
  <c r="D13" i="7"/>
  <c r="J10" i="7"/>
  <c r="J9" i="7"/>
  <c r="J16" i="7"/>
  <c r="J14" i="7"/>
  <c r="J5" i="7"/>
  <c r="J11" i="7"/>
  <c r="J8" i="7"/>
  <c r="J7" i="7"/>
  <c r="J15" i="7"/>
  <c r="D12" i="7"/>
  <c r="H2" i="4"/>
  <c r="AK6" i="4"/>
  <c r="A26" i="19" l="1"/>
  <c r="K2" i="19"/>
  <c r="G7" i="9"/>
  <c r="D52" i="7"/>
  <c r="R4" i="7" s="1"/>
  <c r="P14" i="7" s="1"/>
  <c r="S14" i="7" s="1"/>
  <c r="O7" i="9"/>
  <c r="N4" i="7"/>
  <c r="AT6" i="4"/>
  <c r="I2" i="4"/>
  <c r="F13" i="7" a="1"/>
  <c r="J26" i="19" l="1"/>
  <c r="L2" i="19"/>
  <c r="S10" i="7"/>
  <c r="F13" i="7"/>
  <c r="J2" i="4"/>
  <c r="BC6" i="4"/>
  <c r="D79" i="7" a="1"/>
  <c r="M2" i="19" l="1"/>
  <c r="S26" i="19"/>
  <c r="T8" i="9" a="1"/>
  <c r="T8" i="9" s="1"/>
  <c r="G9" i="9"/>
  <c r="Q16" i="7"/>
  <c r="S16" i="7" s="1"/>
  <c r="N6" i="7"/>
  <c r="N16" i="7"/>
  <c r="D79" i="7"/>
  <c r="J13" i="7"/>
  <c r="A26" i="4"/>
  <c r="K2" i="4"/>
  <c r="N2" i="19" l="1"/>
  <c r="AB26" i="19"/>
  <c r="G11" i="9"/>
  <c r="E79" i="7"/>
  <c r="G13" i="9" s="1"/>
  <c r="J26" i="4"/>
  <c r="L2" i="4"/>
  <c r="O2" i="19" l="1"/>
  <c r="AK26" i="19"/>
  <c r="M2" i="4"/>
  <c r="S26" i="4"/>
  <c r="AT26" i="19" l="1"/>
  <c r="P2" i="19"/>
  <c r="AB26" i="4"/>
  <c r="N2" i="4"/>
  <c r="BC26" i="19" l="1"/>
  <c r="Q2" i="19"/>
  <c r="O2" i="4"/>
  <c r="AK26" i="4"/>
  <c r="A46" i="19" l="1"/>
  <c r="R2" i="19"/>
  <c r="P2" i="4"/>
  <c r="AT26" i="4"/>
  <c r="J46" i="19" l="1"/>
  <c r="S2" i="19"/>
  <c r="BC26" i="4"/>
  <c r="Q2" i="4"/>
  <c r="T2" i="19" l="1"/>
  <c r="S46" i="19"/>
  <c r="R2" i="4"/>
  <c r="A46" i="4"/>
  <c r="U2" i="19" l="1"/>
  <c r="AB46" i="19"/>
  <c r="S2" i="4"/>
  <c r="J46" i="4"/>
  <c r="AK46" i="19" l="1"/>
  <c r="V2" i="19"/>
  <c r="S46" i="4"/>
  <c r="T2" i="4"/>
  <c r="W2" i="19" l="1"/>
  <c r="AT46" i="19"/>
  <c r="AB46" i="4"/>
  <c r="U2" i="4"/>
  <c r="BC46" i="19" l="1"/>
  <c r="X2" i="19"/>
  <c r="AK46" i="4"/>
  <c r="V2" i="4"/>
  <c r="Y2" i="19" l="1"/>
  <c r="A66" i="19"/>
  <c r="W2" i="4"/>
  <c r="AT46" i="4"/>
  <c r="J66" i="19" l="1"/>
  <c r="Z2" i="19"/>
  <c r="BC46" i="4"/>
  <c r="X2" i="4"/>
  <c r="S66" i="19" l="1"/>
  <c r="AA2" i="19"/>
  <c r="Y2" i="4"/>
  <c r="A66" i="4"/>
  <c r="AB2" i="19" l="1"/>
  <c r="AB66" i="19"/>
  <c r="Z2" i="4"/>
  <c r="J66" i="4"/>
  <c r="AC2" i="19" l="1"/>
  <c r="AK66" i="19"/>
  <c r="S66" i="4"/>
  <c r="AA2" i="4"/>
  <c r="AD2" i="19" l="1"/>
  <c r="AT66" i="19"/>
  <c r="AB66" i="4"/>
  <c r="AB2" i="4"/>
  <c r="AE2" i="19" l="1"/>
  <c r="BC66" i="19"/>
  <c r="AK66" i="4"/>
  <c r="AC2" i="4"/>
  <c r="A86" i="19" l="1"/>
  <c r="AF2" i="19"/>
  <c r="AD2" i="4"/>
  <c r="AT66" i="4"/>
  <c r="J86" i="19" l="1"/>
  <c r="AH2" i="19" s="1"/>
  <c r="AG2" i="19"/>
  <c r="AE2" i="4"/>
  <c r="BC66" i="4"/>
  <c r="A86" i="4" l="1"/>
  <c r="AF2" i="4"/>
  <c r="A40" i="9" a="1"/>
  <c r="A40" i="9" l="1"/>
  <c r="AG2" i="4"/>
  <c r="J86" i="4"/>
  <c r="AH2" i="4" l="1"/>
  <c r="S86" i="4"/>
  <c r="AI2"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<sst xmlns="http://schemas.openxmlformats.org/spreadsheetml/2006/main" count="1309" uniqueCount="308">
  <si>
    <t>実作業</t>
  </si>
  <si>
    <t>月工数管理</t>
  </si>
  <si>
    <t>▼明細と照らし合わせ確認</t>
  </si>
  <si>
    <t>▼出たら記入</t>
  </si>
  <si>
    <t>時間</t>
  </si>
  <si>
    <t>単価合計</t>
  </si>
  <si>
    <t>円</t>
  </si>
  <si>
    <t>時給</t>
  </si>
  <si>
    <t>月額</t>
  </si>
  <si>
    <t>年金</t>
  </si>
  <si>
    <t>扶養内</t>
  </si>
  <si>
    <t>円まで</t>
  </si>
  <si>
    <t>月／収入</t>
  </si>
  <si>
    <t>円予定</t>
  </si>
  <si>
    <t>日数</t>
  </si>
  <si>
    <t>日</t>
  </si>
  <si>
    <t>日付/曜日</t>
  </si>
  <si>
    <t>開始/終了</t>
  </si>
  <si>
    <t>実務/作業時間</t>
  </si>
  <si>
    <t>休憩時間</t>
  </si>
  <si>
    <t>コード</t>
  </si>
  <si>
    <t>案件名</t>
  </si>
  <si>
    <t>合計</t>
  </si>
  <si>
    <t>単価</t>
  </si>
  <si>
    <t>備考</t>
  </si>
  <si>
    <t>_01</t>
    <phoneticPr fontId="5"/>
  </si>
  <si>
    <t>_02</t>
  </si>
  <si>
    <t>_03</t>
  </si>
  <si>
    <t>_04</t>
  </si>
  <si>
    <t>_05</t>
  </si>
  <si>
    <t>_06</t>
  </si>
  <si>
    <t>_07</t>
  </si>
  <si>
    <t>_08</t>
  </si>
  <si>
    <t>_09</t>
  </si>
  <si>
    <t>_10</t>
  </si>
  <si>
    <t>_11</t>
  </si>
  <si>
    <t>_12</t>
  </si>
  <si>
    <t>年</t>
    <rPh sb="0" eb="1">
      <t>ネン</t>
    </rPh>
    <phoneticPr fontId="5"/>
  </si>
  <si>
    <t>※単価価格は納品後に記載。案件名と開始時と終了時を備考欄に記載。</t>
    <rPh sb="6" eb="8">
      <t>ノウヒン</t>
    </rPh>
    <rPh sb="8" eb="9">
      <t>アト</t>
    </rPh>
    <phoneticPr fontId="5"/>
  </si>
  <si>
    <t>支援/自習</t>
    <rPh sb="3" eb="5">
      <t>ジシュウ</t>
    </rPh>
    <phoneticPr fontId="5"/>
  </si>
  <si>
    <t>▼単価月別合計</t>
    <rPh sb="1" eb="5">
      <t>タンカツキベツ</t>
    </rPh>
    <rPh sb="5" eb="7">
      <t>ゴウケイ</t>
    </rPh>
    <phoneticPr fontId="5"/>
  </si>
  <si>
    <t>▶単価年度合計</t>
    <rPh sb="1" eb="7">
      <t>タンカネンドゴウケイ</t>
    </rPh>
    <phoneticPr fontId="5"/>
  </si>
  <si>
    <t>▶（扶養内年額限度額）</t>
    <rPh sb="2" eb="4">
      <t>フヨウ</t>
    </rPh>
    <rPh sb="4" eb="5">
      <t>ナイ</t>
    </rPh>
    <rPh sb="5" eb="7">
      <t>ネンガク</t>
    </rPh>
    <rPh sb="7" eb="10">
      <t>ゲンドガク</t>
    </rPh>
    <phoneticPr fontId="5"/>
  </si>
  <si>
    <t>▶年金額年度合計</t>
    <rPh sb="1" eb="4">
      <t>ネンキンガク</t>
    </rPh>
    <rPh sb="4" eb="8">
      <t>ネンドゴウケイ</t>
    </rPh>
    <phoneticPr fontId="5"/>
  </si>
  <si>
    <t>▼年金受取額</t>
    <rPh sb="1" eb="3">
      <t>ネンキン</t>
    </rPh>
    <rPh sb="3" eb="5">
      <t>ウケトリ</t>
    </rPh>
    <rPh sb="5" eb="6">
      <t>ガク</t>
    </rPh>
    <phoneticPr fontId="5"/>
  </si>
  <si>
    <t>▼黄色セルに年度を入力</t>
    <rPh sb="1" eb="3">
      <t>キイロ</t>
    </rPh>
    <rPh sb="6" eb="8">
      <t>ネンド</t>
    </rPh>
    <rPh sb="9" eb="11">
      <t>ニュウリョク</t>
    </rPh>
    <phoneticPr fontId="5"/>
  </si>
  <si>
    <t>▶月額売上額年度合計</t>
    <rPh sb="1" eb="3">
      <t>ゲツガク</t>
    </rPh>
    <rPh sb="3" eb="5">
      <t>ウリアゲ</t>
    </rPh>
    <rPh sb="5" eb="6">
      <t>ガク</t>
    </rPh>
    <rPh sb="6" eb="8">
      <t>ネンド</t>
    </rPh>
    <rPh sb="8" eb="10">
      <t>ゴウケイ</t>
    </rPh>
    <phoneticPr fontId="5"/>
  </si>
  <si>
    <t>▼黄色セルに扶養内年度限度額を入力</t>
    <rPh sb="1" eb="3">
      <t>キイロ</t>
    </rPh>
    <rPh sb="6" eb="8">
      <t>フヨウ</t>
    </rPh>
    <rPh sb="8" eb="9">
      <t>ナイ</t>
    </rPh>
    <rPh sb="9" eb="11">
      <t>ネンド</t>
    </rPh>
    <rPh sb="11" eb="14">
      <t>ゲンドガク</t>
    </rPh>
    <rPh sb="15" eb="17">
      <t>ニュウリョク</t>
    </rPh>
    <phoneticPr fontId="5"/>
  </si>
  <si>
    <t>▼個人年収</t>
    <rPh sb="1" eb="3">
      <t>コジン</t>
    </rPh>
    <rPh sb="3" eb="5">
      <t>ネンシュウ</t>
    </rPh>
    <phoneticPr fontId="5"/>
  </si>
  <si>
    <t>▼月収合計額</t>
    <rPh sb="1" eb="3">
      <t>ゲッシュウ</t>
    </rPh>
    <rPh sb="3" eb="5">
      <t>ゴウケイ</t>
    </rPh>
    <rPh sb="5" eb="6">
      <t>ガク</t>
    </rPh>
    <phoneticPr fontId="5"/>
  </si>
  <si>
    <t>実務案件別売上額管理表</t>
    <rPh sb="0" eb="2">
      <t>ジツム</t>
    </rPh>
    <rPh sb="2" eb="4">
      <t>アンケン</t>
    </rPh>
    <rPh sb="4" eb="5">
      <t>ベツ</t>
    </rPh>
    <rPh sb="5" eb="7">
      <t>ウリアゲ</t>
    </rPh>
    <rPh sb="7" eb="8">
      <t>ガク</t>
    </rPh>
    <rPh sb="8" eb="11">
      <t>カンリヒョウ</t>
    </rPh>
    <phoneticPr fontId="5"/>
  </si>
  <si>
    <t>売上</t>
    <rPh sb="0" eb="2">
      <t>ウリアゲ</t>
    </rPh>
    <phoneticPr fontId="5"/>
  </si>
  <si>
    <t>時間</t>
    <rPh sb="0" eb="2">
      <t>ジカン</t>
    </rPh>
    <phoneticPr fontId="5"/>
  </si>
  <si>
    <t>▼黄色セルに現在東京最低賃金を入力</t>
    <rPh sb="1" eb="3">
      <t>キイロ</t>
    </rPh>
    <rPh sb="6" eb="8">
      <t>ゲンザイ</t>
    </rPh>
    <rPh sb="8" eb="10">
      <t>トウキョウ</t>
    </rPh>
    <rPh sb="10" eb="12">
      <t>サイテイ</t>
    </rPh>
    <rPh sb="12" eb="14">
      <t>チンギン</t>
    </rPh>
    <rPh sb="15" eb="17">
      <t>ニュウリョク</t>
    </rPh>
    <phoneticPr fontId="5"/>
  </si>
  <si>
    <t>時給</t>
    <phoneticPr fontId="5"/>
  </si>
  <si>
    <t>▶東京最低賃金比較　</t>
    <rPh sb="1" eb="3">
      <t>トウキョウ</t>
    </rPh>
    <rPh sb="3" eb="7">
      <t>サイテイチンギン</t>
    </rPh>
    <rPh sb="7" eb="9">
      <t>ヒカク</t>
    </rPh>
    <phoneticPr fontId="5"/>
  </si>
  <si>
    <t>通常月額</t>
    <rPh sb="0" eb="2">
      <t>ツウジョウ</t>
    </rPh>
    <phoneticPr fontId="5"/>
  </si>
  <si>
    <t>←単価売上だけの東京最低賃金との比較</t>
    <rPh sb="1" eb="3">
      <t>タンカ</t>
    </rPh>
    <rPh sb="3" eb="5">
      <t>ウリアゲ</t>
    </rPh>
    <rPh sb="8" eb="10">
      <t>トウキョウ</t>
    </rPh>
    <rPh sb="10" eb="14">
      <t>サイテイチンギン</t>
    </rPh>
    <rPh sb="16" eb="18">
      <t>ヒカク</t>
    </rPh>
    <phoneticPr fontId="5"/>
  </si>
  <si>
    <t>実務案件別勤務時間管理表</t>
    <rPh sb="0" eb="2">
      <t>ジツム</t>
    </rPh>
    <rPh sb="2" eb="4">
      <t>アンケン</t>
    </rPh>
    <rPh sb="4" eb="5">
      <t>ベツ</t>
    </rPh>
    <rPh sb="5" eb="9">
      <t>キンムジカン</t>
    </rPh>
    <rPh sb="9" eb="12">
      <t>カンリヒョウ</t>
    </rPh>
    <phoneticPr fontId="5"/>
  </si>
  <si>
    <t>東京よりマイナス→</t>
    <rPh sb="0" eb="2">
      <t>トウキョウ</t>
    </rPh>
    <phoneticPr fontId="5"/>
  </si>
  <si>
    <t>▶年間総作業時間</t>
    <phoneticPr fontId="5"/>
  </si>
  <si>
    <t>東京で働いた場合→</t>
    <rPh sb="0" eb="2">
      <t>トウキョウ</t>
    </rPh>
    <rPh sb="3" eb="4">
      <t>ハタラ</t>
    </rPh>
    <rPh sb="6" eb="8">
      <t>バアイ</t>
    </rPh>
    <phoneticPr fontId="5"/>
  </si>
  <si>
    <t>▼目標平均年収</t>
    <rPh sb="1" eb="3">
      <t>モクヒョウ</t>
    </rPh>
    <rPh sb="3" eb="5">
      <t>ヘイキン</t>
    </rPh>
    <rPh sb="5" eb="7">
      <t>ネンシュウ</t>
    </rPh>
    <phoneticPr fontId="5"/>
  </si>
  <si>
    <t>▼目標年収＋年金</t>
    <rPh sb="1" eb="3">
      <t>モクヒョウ</t>
    </rPh>
    <rPh sb="3" eb="5">
      <t>ネンシュウ</t>
    </rPh>
    <rPh sb="6" eb="8">
      <t>ネンキン</t>
    </rPh>
    <phoneticPr fontId="5"/>
  </si>
  <si>
    <t>売上額比較表</t>
    <rPh sb="0" eb="2">
      <t>ウリアゲ</t>
    </rPh>
    <rPh sb="2" eb="3">
      <t>ガク</t>
    </rPh>
    <rPh sb="3" eb="6">
      <t>ヒカクヒョウ</t>
    </rPh>
    <phoneticPr fontId="5"/>
  </si>
  <si>
    <t>▼全合計</t>
    <rPh sb="1" eb="4">
      <t>ゼンゴウケイ</t>
    </rPh>
    <phoneticPr fontId="5"/>
  </si>
  <si>
    <t>　KPIサマリー</t>
    <phoneticPr fontId="5"/>
  </si>
  <si>
    <t>　リソース使用状況</t>
    <rPh sb="5" eb="7">
      <t>シヨウ</t>
    </rPh>
    <rPh sb="7" eb="9">
      <t>ジョウキョウ</t>
    </rPh>
    <phoneticPr fontId="5"/>
  </si>
  <si>
    <t>　請求書</t>
    <rPh sb="1" eb="4">
      <t>セイキュウショ</t>
    </rPh>
    <phoneticPr fontId="5"/>
  </si>
  <si>
    <t>　案件サマリー</t>
    <rPh sb="1" eb="3">
      <t>アンケン</t>
    </rPh>
    <phoneticPr fontId="5"/>
  </si>
  <si>
    <t>円</t>
    <rPh sb="0" eb="1">
      <t>エン</t>
    </rPh>
    <phoneticPr fontId="5"/>
  </si>
  <si>
    <t>　　一位</t>
    <rPh sb="2" eb="4">
      <t>イチイ</t>
    </rPh>
    <phoneticPr fontId="5"/>
  </si>
  <si>
    <t>　　二位</t>
    <rPh sb="2" eb="4">
      <t>ニイ</t>
    </rPh>
    <phoneticPr fontId="5"/>
  </si>
  <si>
    <t>　　三位</t>
    <rPh sb="2" eb="4">
      <t>サンイ</t>
    </rPh>
    <phoneticPr fontId="5"/>
  </si>
  <si>
    <t>　　今月</t>
    <rPh sb="2" eb="4">
      <t>コンゲツ</t>
    </rPh>
    <phoneticPr fontId="5"/>
  </si>
  <si>
    <t>　スケジュール管理</t>
    <rPh sb="7" eb="9">
      <t>カンリ</t>
    </rPh>
    <phoneticPr fontId="5"/>
  </si>
  <si>
    <t>　今月作業時間合計</t>
    <rPh sb="1" eb="3">
      <t>コンゲツ</t>
    </rPh>
    <rPh sb="3" eb="5">
      <t>サギョウ</t>
    </rPh>
    <rPh sb="5" eb="7">
      <t>ジカン</t>
    </rPh>
    <rPh sb="7" eb="9">
      <t>ゴウケイ</t>
    </rPh>
    <phoneticPr fontId="5"/>
  </si>
  <si>
    <t>実務月別時給換算管理表</t>
    <rPh sb="0" eb="2">
      <t>ジツム</t>
    </rPh>
    <rPh sb="2" eb="3">
      <t>ツキ</t>
    </rPh>
    <rPh sb="3" eb="4">
      <t>ベツ</t>
    </rPh>
    <rPh sb="4" eb="6">
      <t>ジキュウ</t>
    </rPh>
    <rPh sb="6" eb="8">
      <t>カンサン</t>
    </rPh>
    <rPh sb="8" eb="11">
      <t>カンリヒョウ</t>
    </rPh>
    <phoneticPr fontId="5"/>
  </si>
  <si>
    <t xml:space="preserve"> ▶ 知識ベース</t>
    <rPh sb="3" eb="5">
      <t>チシキ</t>
    </rPh>
    <phoneticPr fontId="5"/>
  </si>
  <si>
    <t xml:space="preserve"> ▶ ダッシュボード</t>
    <phoneticPr fontId="5"/>
  </si>
  <si>
    <t>　今月の平均時給</t>
    <rPh sb="1" eb="3">
      <t>コンゲツ</t>
    </rPh>
    <phoneticPr fontId="5"/>
  </si>
  <si>
    <t>　　月別</t>
    <rPh sb="2" eb="4">
      <t>ツキベツ</t>
    </rPh>
    <phoneticPr fontId="5"/>
  </si>
  <si>
    <t>全体</t>
    <rPh sb="0" eb="2">
      <t>ゼンタイ</t>
    </rPh>
    <phoneticPr fontId="5"/>
  </si>
  <si>
    <t>タスク名</t>
    <rPh sb="3" eb="4">
      <t>メイ</t>
    </rPh>
    <phoneticPr fontId="5"/>
  </si>
  <si>
    <t>開始日</t>
    <rPh sb="0" eb="3">
      <t>カイシビ</t>
    </rPh>
    <phoneticPr fontId="5"/>
  </si>
  <si>
    <t>終了日</t>
    <rPh sb="0" eb="3">
      <t>シュウリョウビ</t>
    </rPh>
    <phoneticPr fontId="5"/>
  </si>
  <si>
    <t>重要度</t>
    <rPh sb="0" eb="3">
      <t>ジュウヨウド</t>
    </rPh>
    <phoneticPr fontId="5"/>
  </si>
  <si>
    <t>ステータス</t>
    <phoneticPr fontId="5"/>
  </si>
  <si>
    <t>ナンバー</t>
    <phoneticPr fontId="5"/>
  </si>
  <si>
    <t>▼タスク増えた時用に空白行確保</t>
    <rPh sb="4" eb="5">
      <t>フ</t>
    </rPh>
    <rPh sb="7" eb="8">
      <t>トキ</t>
    </rPh>
    <rPh sb="8" eb="9">
      <t>ヨウ</t>
    </rPh>
    <rPh sb="10" eb="12">
      <t>クウハク</t>
    </rPh>
    <rPh sb="12" eb="13">
      <t>ギョウ</t>
    </rPh>
    <rPh sb="13" eb="15">
      <t>カクホ</t>
    </rPh>
    <phoneticPr fontId="5"/>
  </si>
  <si>
    <t>▼案件増えた時用に空白列確保</t>
    <rPh sb="1" eb="3">
      <t>アンケン</t>
    </rPh>
    <rPh sb="3" eb="4">
      <t>フ</t>
    </rPh>
    <rPh sb="6" eb="7">
      <t>トキ</t>
    </rPh>
    <rPh sb="7" eb="8">
      <t>ヨウ</t>
    </rPh>
    <rPh sb="9" eb="11">
      <t>クウハク</t>
    </rPh>
    <rPh sb="11" eb="12">
      <t>レツ</t>
    </rPh>
    <rPh sb="12" eb="14">
      <t>カクホ</t>
    </rPh>
    <phoneticPr fontId="5"/>
  </si>
  <si>
    <t>▶売上額</t>
    <rPh sb="1" eb="3">
      <t>ウリアゲ</t>
    </rPh>
    <rPh sb="3" eb="4">
      <t>ガク</t>
    </rPh>
    <phoneticPr fontId="5"/>
  </si>
  <si>
    <t>▶ダッシュボードへ</t>
    <phoneticPr fontId="5"/>
  </si>
  <si>
    <t xml:space="preserve"> ▶ ダッシュボードトップへ</t>
    <phoneticPr fontId="5"/>
  </si>
  <si>
    <t>低</t>
    <rPh sb="0" eb="1">
      <t>ヒク</t>
    </rPh>
    <phoneticPr fontId="5"/>
  </si>
  <si>
    <t>中</t>
    <rPh sb="0" eb="1">
      <t>ナカ</t>
    </rPh>
    <phoneticPr fontId="5"/>
  </si>
  <si>
    <t>高</t>
    <rPh sb="0" eb="1">
      <t>タカ</t>
    </rPh>
    <phoneticPr fontId="5"/>
  </si>
  <si>
    <t>進行中</t>
    <rPh sb="0" eb="3">
      <t>シンコウチュウ</t>
    </rPh>
    <phoneticPr fontId="5"/>
  </si>
  <si>
    <t>完了</t>
    <rPh sb="0" eb="2">
      <t>カンリョウ</t>
    </rPh>
    <phoneticPr fontId="5"/>
  </si>
  <si>
    <t>未着手</t>
    <rPh sb="0" eb="3">
      <t>ミチャクシュ</t>
    </rPh>
    <phoneticPr fontId="5"/>
  </si>
  <si>
    <t>▼高・中・低</t>
    <rPh sb="1" eb="2">
      <t>タカ</t>
    </rPh>
    <rPh sb="3" eb="4">
      <t>ナカ</t>
    </rPh>
    <rPh sb="5" eb="6">
      <t>ヒク</t>
    </rPh>
    <phoneticPr fontId="5"/>
  </si>
  <si>
    <t>▼完了・進行中・未着手</t>
    <rPh sb="1" eb="3">
      <t>カンリョウ</t>
    </rPh>
    <rPh sb="4" eb="7">
      <t>シンコウチュウ</t>
    </rPh>
    <rPh sb="8" eb="11">
      <t>ミチャクシュ</t>
    </rPh>
    <phoneticPr fontId="5"/>
  </si>
  <si>
    <t>▼日付または未定</t>
    <rPh sb="1" eb="3">
      <t>ヒヅケ</t>
    </rPh>
    <rPh sb="6" eb="8">
      <t>ミテイ</t>
    </rPh>
    <phoneticPr fontId="5"/>
  </si>
  <si>
    <t>重要度一覧</t>
    <phoneticPr fontId="5"/>
  </si>
  <si>
    <t>案件名</t>
    <rPh sb="0" eb="3">
      <t>アンケンメイ</t>
    </rPh>
    <phoneticPr fontId="5"/>
  </si>
  <si>
    <t>案件コード</t>
    <rPh sb="0" eb="2">
      <t>アンケン</t>
    </rPh>
    <phoneticPr fontId="5"/>
  </si>
  <si>
    <t>自己時給</t>
    <rPh sb="0" eb="2">
      <t>ジコ</t>
    </rPh>
    <rPh sb="2" eb="4">
      <t>ジキュウ</t>
    </rPh>
    <phoneticPr fontId="5"/>
  </si>
  <si>
    <t>←案件名を記入</t>
    <rPh sb="1" eb="4">
      <t>アンケンメイ</t>
    </rPh>
    <rPh sb="5" eb="7">
      <t>キニュウ</t>
    </rPh>
    <phoneticPr fontId="5"/>
  </si>
  <si>
    <t>▼黄色セルに地元の最低賃金を入力</t>
    <rPh sb="1" eb="3">
      <t>キイロ</t>
    </rPh>
    <rPh sb="6" eb="8">
      <t>ジモト</t>
    </rPh>
    <rPh sb="9" eb="11">
      <t>サイテイ</t>
    </rPh>
    <rPh sb="11" eb="13">
      <t>チンギン</t>
    </rPh>
    <rPh sb="14" eb="16">
      <t>ニュウリョク</t>
    </rPh>
    <phoneticPr fontId="5"/>
  </si>
  <si>
    <t>▼案件が増えた時用に空白列確保</t>
    <rPh sb="1" eb="3">
      <t>アンケン</t>
    </rPh>
    <rPh sb="4" eb="5">
      <t>フ</t>
    </rPh>
    <rPh sb="7" eb="8">
      <t>トキ</t>
    </rPh>
    <rPh sb="8" eb="9">
      <t>ヨウ</t>
    </rPh>
    <rPh sb="10" eb="12">
      <t>クウハク</t>
    </rPh>
    <rPh sb="12" eb="13">
      <t>レツ</t>
    </rPh>
    <rPh sb="13" eb="15">
      <t>カクホ</t>
    </rPh>
    <phoneticPr fontId="5"/>
  </si>
  <si>
    <t>※頑張ったな！</t>
    <rPh sb="1" eb="3">
      <t>ガンバ</t>
    </rPh>
    <phoneticPr fontId="5"/>
  </si>
  <si>
    <t xml:space="preserve"> ▶ ダッシュボードへ</t>
    <phoneticPr fontId="5"/>
  </si>
  <si>
    <t xml:space="preserve"> 売上・工数管理表</t>
    <rPh sb="1" eb="3">
      <t>ウリアゲ</t>
    </rPh>
    <rPh sb="4" eb="6">
      <t>コウスウ</t>
    </rPh>
    <rPh sb="6" eb="8">
      <t>カンリ</t>
    </rPh>
    <rPh sb="8" eb="9">
      <t>ヒョウ</t>
    </rPh>
    <phoneticPr fontId="5"/>
  </si>
  <si>
    <t>※無理するなよ！</t>
    <rPh sb="1" eb="3">
      <t>ムリ</t>
    </rPh>
    <phoneticPr fontId="5"/>
  </si>
  <si>
    <t>金額</t>
    <rPh sb="0" eb="2">
      <t>キンガク</t>
    </rPh>
    <phoneticPr fontId="5"/>
  </si>
  <si>
    <t>日給料日</t>
    <rPh sb="0" eb="1">
      <t>ヒ</t>
    </rPh>
    <rPh sb="1" eb="4">
      <t>キュウリョウビ</t>
    </rPh>
    <phoneticPr fontId="5"/>
  </si>
  <si>
    <t>作業時間</t>
    <rPh sb="0" eb="4">
      <t>サギョウジカン</t>
    </rPh>
    <phoneticPr fontId="5"/>
  </si>
  <si>
    <t>　今日</t>
    <rPh sb="1" eb="3">
      <t>キョウ</t>
    </rPh>
    <phoneticPr fontId="5"/>
  </si>
  <si>
    <t>晴れ</t>
    <rPh sb="0" eb="1">
      <t>ハ</t>
    </rPh>
    <phoneticPr fontId="5"/>
  </si>
  <si>
    <t>曇り</t>
    <rPh sb="0" eb="1">
      <t>クモ</t>
    </rPh>
    <phoneticPr fontId="5"/>
  </si>
  <si>
    <t>雨</t>
    <rPh sb="0" eb="1">
      <t>アメ</t>
    </rPh>
    <phoneticPr fontId="5"/>
  </si>
  <si>
    <t>雪</t>
    <rPh sb="0" eb="1">
      <t>ユキ</t>
    </rPh>
    <phoneticPr fontId="5"/>
  </si>
  <si>
    <t>台風</t>
    <rPh sb="0" eb="2">
      <t>タイフウ</t>
    </rPh>
    <phoneticPr fontId="5"/>
  </si>
  <si>
    <t>ない</t>
    <phoneticPr fontId="5"/>
  </si>
  <si>
    <t>少しある</t>
    <rPh sb="0" eb="1">
      <t>スコ</t>
    </rPh>
    <phoneticPr fontId="5"/>
  </si>
  <si>
    <t>かなりある</t>
    <phoneticPr fontId="5"/>
  </si>
  <si>
    <t xml:space="preserve"> ▶ 一カ月体調分析</t>
    <rPh sb="3" eb="4">
      <t>イッ</t>
    </rPh>
    <rPh sb="5" eb="6">
      <t>ゲツ</t>
    </rPh>
    <rPh sb="6" eb="8">
      <t>タイチョウ</t>
    </rPh>
    <rPh sb="8" eb="10">
      <t>ブンセキ</t>
    </rPh>
    <phoneticPr fontId="5"/>
  </si>
  <si>
    <t>参照シート→</t>
    <rPh sb="0" eb="2">
      <t>サンショウ</t>
    </rPh>
    <phoneticPr fontId="5"/>
  </si>
  <si>
    <t>https://zutool.jp/</t>
    <phoneticPr fontId="5"/>
  </si>
  <si>
    <t xml:space="preserve"> ▶ 売上・工数管理</t>
    <rPh sb="3" eb="5">
      <t>ウリアゲ</t>
    </rPh>
    <rPh sb="6" eb="10">
      <t>コウスウカンリ</t>
    </rPh>
    <phoneticPr fontId="5"/>
  </si>
  <si>
    <t>　目標時給との差額</t>
    <rPh sb="3" eb="5">
      <t>ジキュウ</t>
    </rPh>
    <rPh sb="7" eb="9">
      <t>サガク</t>
    </rPh>
    <phoneticPr fontId="5"/>
  </si>
  <si>
    <t>良い</t>
    <rPh sb="0" eb="1">
      <t>ヨ</t>
    </rPh>
    <phoneticPr fontId="5"/>
  </si>
  <si>
    <t>普通</t>
    <rPh sb="0" eb="2">
      <t>フツウ</t>
    </rPh>
    <phoneticPr fontId="5"/>
  </si>
  <si>
    <t>悪い</t>
    <rPh sb="0" eb="1">
      <t>ワル</t>
    </rPh>
    <phoneticPr fontId="5"/>
  </si>
  <si>
    <t>ハイテンション</t>
    <phoneticPr fontId="5"/>
  </si>
  <si>
    <t>最低</t>
    <rPh sb="0" eb="2">
      <t>サイテイ</t>
    </rPh>
    <phoneticPr fontId="5"/>
  </si>
  <si>
    <t>※頑張ったな！ 無理するな！</t>
    <rPh sb="1" eb="3">
      <t>ガンバ</t>
    </rPh>
    <rPh sb="8" eb="10">
      <t>ムリ</t>
    </rPh>
    <phoneticPr fontId="5"/>
  </si>
  <si>
    <t xml:space="preserve"> ※ 各シート名は既存の名前から変更しない</t>
    <rPh sb="3" eb="4">
      <t>カク</t>
    </rPh>
    <rPh sb="7" eb="8">
      <t>メイ</t>
    </rPh>
    <rPh sb="9" eb="11">
      <t>キゾン</t>
    </rPh>
    <rPh sb="12" eb="14">
      <t>ナマエ</t>
    </rPh>
    <rPh sb="16" eb="18">
      <t>ヘンコウ</t>
    </rPh>
    <phoneticPr fontId="5"/>
  </si>
  <si>
    <t>思い当たる理由</t>
    <rPh sb="0" eb="1">
      <t>オモ</t>
    </rPh>
    <rPh sb="2" eb="3">
      <t>ア</t>
    </rPh>
    <rPh sb="5" eb="7">
      <t>リユウ</t>
    </rPh>
    <phoneticPr fontId="5"/>
  </si>
  <si>
    <t>　日付・曜日</t>
    <rPh sb="1" eb="3">
      <t>ヒヅケ</t>
    </rPh>
    <rPh sb="4" eb="6">
      <t>ヨウビ</t>
    </rPh>
    <phoneticPr fontId="5"/>
  </si>
  <si>
    <t>● 本日</t>
    <rPh sb="2" eb="4">
      <t>ホンジツ</t>
    </rPh>
    <phoneticPr fontId="5"/>
  </si>
  <si>
    <t>現在 ●</t>
    <rPh sb="0" eb="2">
      <t>ゲンザイ</t>
    </rPh>
    <phoneticPr fontId="5"/>
  </si>
  <si>
    <t xml:space="preserve"> Welcome home!</t>
    <phoneticPr fontId="5"/>
  </si>
  <si>
    <t>タスク</t>
    <phoneticPr fontId="5"/>
  </si>
  <si>
    <r>
      <t>円</t>
    </r>
    <r>
      <rPr>
        <sz val="11"/>
        <color rgb="FF000000"/>
        <rFont val="游ゴシック"/>
        <family val="3"/>
        <charset val="128"/>
        <scheme val="minor"/>
      </rPr>
      <t>×</t>
    </r>
  </si>
  <si>
    <r>
      <t>時間</t>
    </r>
    <r>
      <rPr>
        <sz val="11"/>
        <color rgb="FF000000"/>
        <rFont val="游ゴシック"/>
        <family val="3"/>
        <charset val="128"/>
        <scheme val="minor"/>
      </rPr>
      <t>＝</t>
    </r>
  </si>
  <si>
    <r>
      <t>ー</t>
    </r>
    <r>
      <rPr>
        <b/>
        <sz val="11"/>
        <color rgb="FF000000"/>
        <rFont val="游ゴシック"/>
        <family val="3"/>
        <charset val="128"/>
        <scheme val="minor"/>
      </rPr>
      <t>利用料</t>
    </r>
  </si>
  <si>
    <r>
      <t>円</t>
    </r>
    <r>
      <rPr>
        <sz val="11"/>
        <color rgb="FF000000"/>
        <rFont val="游ゴシック"/>
        <family val="3"/>
        <charset val="128"/>
        <scheme val="minor"/>
      </rPr>
      <t>×</t>
    </r>
    <phoneticPr fontId="5"/>
  </si>
  <si>
    <r>
      <t xml:space="preserve">※扶養内年度限度額は年金額を考慮 </t>
    </r>
    <r>
      <rPr>
        <b/>
        <u val="double"/>
        <sz val="11"/>
        <color rgb="FFFF0000"/>
        <rFont val="游ゴシック"/>
        <family val="3"/>
        <charset val="128"/>
        <scheme val="minor"/>
      </rPr>
      <t>※社労士に要確認</t>
    </r>
    <rPh sb="1" eb="4">
      <t>フヨウナイ</t>
    </rPh>
    <rPh sb="4" eb="6">
      <t>ネンド</t>
    </rPh>
    <rPh sb="6" eb="9">
      <t>ゲンドガク</t>
    </rPh>
    <rPh sb="10" eb="13">
      <t>ネンキンガク</t>
    </rPh>
    <rPh sb="14" eb="16">
      <t>コウリョ</t>
    </rPh>
    <rPh sb="18" eb="21">
      <t>シャロウシ</t>
    </rPh>
    <rPh sb="22" eb="25">
      <t>ヨウカクニン</t>
    </rPh>
    <phoneticPr fontId="5"/>
  </si>
  <si>
    <t>Take care. Get some rest.</t>
    <phoneticPr fontId="5"/>
  </si>
  <si>
    <t>▼合計額</t>
    <rPh sb="1" eb="4">
      <t>ゴウケイガク</t>
    </rPh>
    <phoneticPr fontId="5"/>
  </si>
  <si>
    <t>▼合計時間</t>
    <rPh sb="1" eb="3">
      <t>ゴウケイ</t>
    </rPh>
    <rPh sb="3" eb="5">
      <t>ジカン</t>
    </rPh>
    <phoneticPr fontId="5"/>
  </si>
  <si>
    <t>天候内容</t>
    <rPh sb="0" eb="2">
      <t>テンコウ</t>
    </rPh>
    <rPh sb="2" eb="4">
      <t>ナイヨウ</t>
    </rPh>
    <phoneticPr fontId="5"/>
  </si>
  <si>
    <t>天候No.</t>
    <rPh sb="0" eb="2">
      <t>テンコウ</t>
    </rPh>
    <phoneticPr fontId="5"/>
  </si>
  <si>
    <t>気圧No.</t>
    <rPh sb="0" eb="2">
      <t>キアツ</t>
    </rPh>
    <phoneticPr fontId="5"/>
  </si>
  <si>
    <t>気圧内容</t>
    <rPh sb="0" eb="2">
      <t>キアツ</t>
    </rPh>
    <rPh sb="2" eb="4">
      <t>ナイヨウ</t>
    </rPh>
    <phoneticPr fontId="5"/>
  </si>
  <si>
    <t>体調No.</t>
    <rPh sb="0" eb="2">
      <t>タイチョウ</t>
    </rPh>
    <phoneticPr fontId="5"/>
  </si>
  <si>
    <t>体調内容</t>
    <rPh sb="0" eb="2">
      <t>タイチョウ</t>
    </rPh>
    <rPh sb="2" eb="4">
      <t>ナイヨウ</t>
    </rPh>
    <phoneticPr fontId="5"/>
  </si>
  <si>
    <t>▼ 下記を参考に該当ナンバーを手動入力欄に入力</t>
    <rPh sb="2" eb="4">
      <t>カキ</t>
    </rPh>
    <rPh sb="5" eb="7">
      <t>サンコウ</t>
    </rPh>
    <rPh sb="8" eb="10">
      <t>ガイトウ</t>
    </rPh>
    <rPh sb="15" eb="19">
      <t>シュドウニュウリョク</t>
    </rPh>
    <rPh sb="19" eb="20">
      <t>ラン</t>
    </rPh>
    <rPh sb="21" eb="23">
      <t>ニュウリョク</t>
    </rPh>
    <phoneticPr fontId="5"/>
  </si>
  <si>
    <t>　体調×作業効率可視化グラフ</t>
    <rPh sb="1" eb="3">
      <t>タイチョウ</t>
    </rPh>
    <rPh sb="4" eb="6">
      <t>サギョウ</t>
    </rPh>
    <rPh sb="6" eb="8">
      <t>コウリツ</t>
    </rPh>
    <rPh sb="8" eb="11">
      <t>カシカ</t>
    </rPh>
    <phoneticPr fontId="5"/>
  </si>
  <si>
    <t xml:space="preserve"> ▶ 体調×作業効率可視化グラフ</t>
    <rPh sb="3" eb="5">
      <t>タイチョウ</t>
    </rPh>
    <rPh sb="6" eb="8">
      <t>サギョウ</t>
    </rPh>
    <rPh sb="8" eb="10">
      <t>コウリツ</t>
    </rPh>
    <rPh sb="10" eb="13">
      <t>カシカ</t>
    </rPh>
    <phoneticPr fontId="5"/>
  </si>
  <si>
    <t>▶ 月初めに先月の手動入力データを削除</t>
    <phoneticPr fontId="5"/>
  </si>
  <si>
    <t xml:space="preserve"> ▶ ずつーるで気圧確認</t>
    <rPh sb="8" eb="10">
      <t>キアツ</t>
    </rPh>
    <rPh sb="10" eb="12">
      <t>カクニン</t>
    </rPh>
    <phoneticPr fontId="5"/>
  </si>
  <si>
    <t xml:space="preserve"> 一カ月体調分析</t>
    <rPh sb="1" eb="2">
      <t>ヒト</t>
    </rPh>
    <rPh sb="3" eb="4">
      <t>ゲツ</t>
    </rPh>
    <rPh sb="4" eb="6">
      <t>タイチョウ</t>
    </rPh>
    <rPh sb="6" eb="8">
      <t>ブンセキ</t>
    </rPh>
    <phoneticPr fontId="5"/>
  </si>
  <si>
    <t xml:space="preserve"> 体調×作業効率可視化グラフ</t>
    <rPh sb="1" eb="3">
      <t>タイチョウ</t>
    </rPh>
    <rPh sb="4" eb="6">
      <t>サギョウ</t>
    </rPh>
    <rPh sb="6" eb="8">
      <t>コウリツ</t>
    </rPh>
    <rPh sb="8" eb="11">
      <t>カシカ</t>
    </rPh>
    <phoneticPr fontId="5"/>
  </si>
  <si>
    <t xml:space="preserve"> ※ ファイルが重くなり実装中止</t>
    <rPh sb="8" eb="9">
      <t>オモ</t>
    </rPh>
    <rPh sb="12" eb="14">
      <t>ジッソウ</t>
    </rPh>
    <rPh sb="14" eb="16">
      <t>チュウシ</t>
    </rPh>
    <phoneticPr fontId="5"/>
  </si>
  <si>
    <t>▼残タスクは手動で翌月シートタスク管理表へ移動</t>
    <rPh sb="1" eb="2">
      <t>ザン</t>
    </rPh>
    <rPh sb="6" eb="8">
      <t>シュドウ</t>
    </rPh>
    <rPh sb="9" eb="11">
      <t>ヨクゲツ</t>
    </rPh>
    <rPh sb="17" eb="19">
      <t>カンリ</t>
    </rPh>
    <rPh sb="19" eb="20">
      <t>ヒョウ</t>
    </rPh>
    <rPh sb="21" eb="23">
      <t>イドウ</t>
    </rPh>
    <phoneticPr fontId="5"/>
  </si>
  <si>
    <t>タスク管理表</t>
    <rPh sb="3" eb="5">
      <t>カンリ</t>
    </rPh>
    <rPh sb="5" eb="6">
      <t>ヒョウ</t>
    </rPh>
    <phoneticPr fontId="5"/>
  </si>
  <si>
    <t>案件別作業時間・売上金額一覧表</t>
    <rPh sb="0" eb="2">
      <t>アンケン</t>
    </rPh>
    <rPh sb="2" eb="3">
      <t>ベツ</t>
    </rPh>
    <rPh sb="3" eb="7">
      <t>サギョウジカン</t>
    </rPh>
    <rPh sb="8" eb="12">
      <t>ウリアゲキンガク</t>
    </rPh>
    <rPh sb="12" eb="14">
      <t>イチラン</t>
    </rPh>
    <rPh sb="14" eb="15">
      <t>ヒョウ</t>
    </rPh>
    <phoneticPr fontId="5"/>
  </si>
  <si>
    <t>案件別業務メモ一覧　※リンクになってるよ ※各テキストに作成した各案件業務メモシートにハイパーリンクさせる</t>
    <rPh sb="0" eb="3">
      <t>アンケンベツ</t>
    </rPh>
    <rPh sb="3" eb="5">
      <t>ギョウム</t>
    </rPh>
    <rPh sb="7" eb="9">
      <t>イチラン</t>
    </rPh>
    <rPh sb="22" eb="23">
      <t>カク</t>
    </rPh>
    <rPh sb="28" eb="30">
      <t>サクセイ</t>
    </rPh>
    <rPh sb="32" eb="33">
      <t>カク</t>
    </rPh>
    <rPh sb="33" eb="35">
      <t>アンケン</t>
    </rPh>
    <rPh sb="35" eb="37">
      <t>ギョウム</t>
    </rPh>
    <phoneticPr fontId="5"/>
  </si>
  <si>
    <t>業務メモ_全体</t>
    <rPh sb="5" eb="7">
      <t>ゼンタイ</t>
    </rPh>
    <phoneticPr fontId="5"/>
  </si>
  <si>
    <t xml:space="preserve"> ※ 新規シート名は売上工数管理シートのC列の通りにする</t>
    <rPh sb="3" eb="5">
      <t>シンキ</t>
    </rPh>
    <rPh sb="8" eb="9">
      <t>メイ</t>
    </rPh>
    <rPh sb="10" eb="12">
      <t>ウリアゲ</t>
    </rPh>
    <rPh sb="12" eb="14">
      <t>コウスウ</t>
    </rPh>
    <rPh sb="14" eb="16">
      <t>カンリ</t>
    </rPh>
    <rPh sb="21" eb="22">
      <t>レツ</t>
    </rPh>
    <rPh sb="23" eb="24">
      <t>トオ</t>
    </rPh>
    <phoneticPr fontId="5"/>
  </si>
  <si>
    <t>▼個人年間平均時給換算（単価限定計算）</t>
    <rPh sb="1" eb="3">
      <t>コジン</t>
    </rPh>
    <rPh sb="3" eb="5">
      <t>ネンカン</t>
    </rPh>
    <rPh sb="5" eb="7">
      <t>ヘイキン</t>
    </rPh>
    <rPh sb="7" eb="11">
      <t>ジキュウカンサン</t>
    </rPh>
    <rPh sb="12" eb="16">
      <t>タンカゲンテイ</t>
    </rPh>
    <rPh sb="16" eb="18">
      <t>ケイサン</t>
    </rPh>
    <phoneticPr fontId="5"/>
  </si>
  <si>
    <t>東京と比較→</t>
    <rPh sb="0" eb="2">
      <t>トウキョウ</t>
    </rPh>
    <rPh sb="3" eb="5">
      <t>ヒカク</t>
    </rPh>
    <phoneticPr fontId="5"/>
  </si>
  <si>
    <t xml:space="preserve"> ▶ 業務メモ・チェックリスト</t>
    <rPh sb="3" eb="5">
      <t>ギョウム</t>
    </rPh>
    <phoneticPr fontId="5"/>
  </si>
  <si>
    <t xml:space="preserve"> ▶ 基本データ（コピペ用シート）</t>
    <rPh sb="3" eb="5">
      <t>キホン</t>
    </rPh>
    <rPh sb="12" eb="13">
      <t>ヨウ</t>
    </rPh>
    <phoneticPr fontId="5"/>
  </si>
  <si>
    <t>今月シート名</t>
    <rPh sb="0" eb="2">
      <t>コンゲツ</t>
    </rPh>
    <rPh sb="5" eb="6">
      <t>メイ</t>
    </rPh>
    <phoneticPr fontId="5"/>
  </si>
  <si>
    <t>▼目標時給との差額</t>
    <rPh sb="1" eb="3">
      <t>モクヒョウ</t>
    </rPh>
    <rPh sb="3" eb="5">
      <t>ジキュウ</t>
    </rPh>
    <rPh sb="7" eb="9">
      <t>サガク</t>
    </rPh>
    <phoneticPr fontId="5"/>
  </si>
  <si>
    <t>▼東京最低賃金</t>
    <rPh sb="1" eb="7">
      <t>トウキョウサイテイチンギン</t>
    </rPh>
    <phoneticPr fontId="5"/>
  </si>
  <si>
    <t>▼ No手動入力</t>
    <rPh sb="4" eb="8">
      <t>シュドウニュウリョク</t>
    </rPh>
    <phoneticPr fontId="5"/>
  </si>
  <si>
    <t>月別タスク残量</t>
    <rPh sb="0" eb="2">
      <t>ツキベツ</t>
    </rPh>
    <rPh sb="5" eb="7">
      <t>ザンリョウ</t>
    </rPh>
    <phoneticPr fontId="5"/>
  </si>
  <si>
    <t>今月シート名→</t>
    <rPh sb="0" eb="2">
      <t>コンゲツ</t>
    </rPh>
    <rPh sb="5" eb="6">
      <t>メイ</t>
    </rPh>
    <phoneticPr fontId="5"/>
  </si>
  <si>
    <t>▼※完了をフィルター外さない</t>
    <rPh sb="2" eb="4">
      <t>カンリョウ</t>
    </rPh>
    <rPh sb="10" eb="11">
      <t>ハズ</t>
    </rPh>
    <phoneticPr fontId="5"/>
  </si>
  <si>
    <t xml:space="preserve">  ignorance and confidence.</t>
    <phoneticPr fontId="5"/>
  </si>
  <si>
    <t>今年度合計</t>
    <rPh sb="0" eb="5">
      <t>コンネンドゴウケイ</t>
    </rPh>
    <phoneticPr fontId="5"/>
  </si>
  <si>
    <t>※現在使用していないが使用時の為に残しておいて</t>
    <rPh sb="1" eb="3">
      <t>ゲンザイ</t>
    </rPh>
    <rPh sb="3" eb="5">
      <t>シヨウ</t>
    </rPh>
    <rPh sb="11" eb="14">
      <t>シヨウジ</t>
    </rPh>
    <rPh sb="15" eb="16">
      <t>タメ</t>
    </rPh>
    <rPh sb="17" eb="18">
      <t>ノコ</t>
    </rPh>
    <phoneticPr fontId="5"/>
  </si>
  <si>
    <t>時給制のアルバイトやパートの方、年金受給をしながらB型施設で勤務をする方にもお使いいただけます。</t>
    <rPh sb="0" eb="2">
      <t>ジキュウ</t>
    </rPh>
    <rPh sb="2" eb="3">
      <t>セイ</t>
    </rPh>
    <rPh sb="14" eb="15">
      <t>カタ</t>
    </rPh>
    <rPh sb="16" eb="18">
      <t>ネンキン</t>
    </rPh>
    <phoneticPr fontId="5"/>
  </si>
  <si>
    <t>月別・年度別の単価変動や時給計算、目標金額管理、勤怠管理、案件別工数管理、残タスク管理、扶養内月額管理、年金額管理、気圧と天候との体調管理の為にお使いください。</t>
    <rPh sb="0" eb="2">
      <t>ツキベツ</t>
    </rPh>
    <rPh sb="3" eb="6">
      <t>ネンドベツ</t>
    </rPh>
    <rPh sb="7" eb="9">
      <t>タンカ</t>
    </rPh>
    <rPh sb="9" eb="11">
      <t>ヘンドウ</t>
    </rPh>
    <rPh sb="12" eb="16">
      <t>ジキュウケイサン</t>
    </rPh>
    <rPh sb="17" eb="21">
      <t>モクヒョウキンガク</t>
    </rPh>
    <rPh sb="21" eb="23">
      <t>カンリ</t>
    </rPh>
    <rPh sb="24" eb="28">
      <t>キンタイカンリ</t>
    </rPh>
    <rPh sb="29" eb="32">
      <t>アンケンベツ</t>
    </rPh>
    <rPh sb="32" eb="36">
      <t>コウスウカンリ</t>
    </rPh>
    <rPh sb="37" eb="38">
      <t>ザン</t>
    </rPh>
    <rPh sb="41" eb="43">
      <t>カンリ</t>
    </rPh>
    <rPh sb="44" eb="47">
      <t>フヨウナイ</t>
    </rPh>
    <rPh sb="47" eb="49">
      <t>ゲツガク</t>
    </rPh>
    <rPh sb="49" eb="51">
      <t>カンリ</t>
    </rPh>
    <rPh sb="52" eb="54">
      <t>ネンキン</t>
    </rPh>
    <rPh sb="54" eb="55">
      <t>ガク</t>
    </rPh>
    <rPh sb="55" eb="57">
      <t>カンリ</t>
    </rPh>
    <rPh sb="58" eb="60">
      <t>キアツ</t>
    </rPh>
    <rPh sb="61" eb="63">
      <t>テンコウ</t>
    </rPh>
    <rPh sb="65" eb="67">
      <t>タイチョウ</t>
    </rPh>
    <rPh sb="67" eb="69">
      <t>カンリ</t>
    </rPh>
    <rPh sb="70" eb="71">
      <t>タメ</t>
    </rPh>
    <rPh sb="73" eb="74">
      <t>ツカ</t>
    </rPh>
    <phoneticPr fontId="5"/>
  </si>
  <si>
    <t>▶ダッシュボード</t>
    <phoneticPr fontId="5"/>
  </si>
  <si>
    <t xml:space="preserve"> </t>
    <phoneticPr fontId="5"/>
  </si>
  <si>
    <t xml:space="preserve"> To succeed in life, you need two things;</t>
    <phoneticPr fontId="5"/>
  </si>
  <si>
    <t>このダッシュボードがメイン画面になります。</t>
    <rPh sb="13" eb="15">
      <t>ガメン</t>
    </rPh>
    <phoneticPr fontId="5"/>
  </si>
  <si>
    <t>ハイパーリンクからお飛びください。</t>
    <rPh sb="10" eb="11">
      <t>ト</t>
    </rPh>
    <phoneticPr fontId="5"/>
  </si>
  <si>
    <t>請求書欄には過去五カ月分の給料額が自動で記載されます。</t>
    <rPh sb="0" eb="3">
      <t>セイキュウショ</t>
    </rPh>
    <rPh sb="3" eb="4">
      <t>ラン</t>
    </rPh>
    <rPh sb="6" eb="8">
      <t>カコ</t>
    </rPh>
    <rPh sb="8" eb="9">
      <t>ゴ</t>
    </rPh>
    <rPh sb="10" eb="11">
      <t>ゲツ</t>
    </rPh>
    <rPh sb="11" eb="12">
      <t>ブン</t>
    </rPh>
    <rPh sb="13" eb="15">
      <t>キュウリョウ</t>
    </rPh>
    <rPh sb="15" eb="16">
      <t>ガク</t>
    </rPh>
    <rPh sb="17" eb="19">
      <t>ジドウ</t>
    </rPh>
    <rPh sb="20" eb="22">
      <t>キサイ</t>
    </rPh>
    <phoneticPr fontId="5"/>
  </si>
  <si>
    <t>案件サマリーには年度合計の案件別収入額を表示されるようにしています。</t>
    <rPh sb="0" eb="2">
      <t>アンケン</t>
    </rPh>
    <rPh sb="8" eb="12">
      <t>ネンドゴウケイ</t>
    </rPh>
    <rPh sb="13" eb="16">
      <t>アンケンベツ</t>
    </rPh>
    <rPh sb="16" eb="19">
      <t>シュウニュウガク</t>
    </rPh>
    <rPh sb="20" eb="22">
      <t>ヒョウジ</t>
    </rPh>
    <phoneticPr fontId="5"/>
  </si>
  <si>
    <t>体調×作業効率可視化グラフは容量オーバーの為割愛しておりますが、可視化したい方は下記のように表で表示作成いただけます。</t>
    <rPh sb="14" eb="16">
      <t>ヨウリョウ</t>
    </rPh>
    <rPh sb="21" eb="22">
      <t>タメ</t>
    </rPh>
    <rPh sb="22" eb="24">
      <t>カツアイ</t>
    </rPh>
    <rPh sb="32" eb="35">
      <t>カシカ</t>
    </rPh>
    <rPh sb="38" eb="39">
      <t>カタ</t>
    </rPh>
    <rPh sb="40" eb="42">
      <t>カキ</t>
    </rPh>
    <rPh sb="46" eb="47">
      <t>ヒョウ</t>
    </rPh>
    <rPh sb="48" eb="50">
      <t>ヒョウジ</t>
    </rPh>
    <rPh sb="50" eb="52">
      <t>サクセイ</t>
    </rPh>
    <phoneticPr fontId="5"/>
  </si>
  <si>
    <t>折れ線グラフ：日付を横軸、作業時間＆体調を縦軸（2軸グラフ）</t>
    <phoneticPr fontId="5"/>
  </si>
  <si>
    <t>散布図：横軸=体調点、縦軸=作業時間 → トレンドライン追加</t>
    <phoneticPr fontId="5"/>
  </si>
  <si>
    <t>ダッシュボード下の「一カ月体調分析」データを下記の通り参照し表にします。</t>
    <rPh sb="7" eb="8">
      <t>シタ</t>
    </rPh>
    <rPh sb="22" eb="24">
      <t>カキ</t>
    </rPh>
    <rPh sb="25" eb="26">
      <t>トオ</t>
    </rPh>
    <rPh sb="27" eb="29">
      <t>サンショウ</t>
    </rPh>
    <rPh sb="30" eb="31">
      <t>ヒョウ</t>
    </rPh>
    <phoneticPr fontId="5"/>
  </si>
  <si>
    <t>ダッシュボード左列のリンク集には、現在このエクセルファイル内の各シートへのハイパーリンク、仮リンクが設定されています。</t>
    <rPh sb="7" eb="9">
      <t>ヒダリレツ</t>
    </rPh>
    <rPh sb="13" eb="14">
      <t>シュウ</t>
    </rPh>
    <rPh sb="17" eb="19">
      <t>ゲンザイ</t>
    </rPh>
    <rPh sb="29" eb="30">
      <t>ナイ</t>
    </rPh>
    <rPh sb="31" eb="32">
      <t>カク</t>
    </rPh>
    <rPh sb="45" eb="46">
      <t>カリ</t>
    </rPh>
    <rPh sb="50" eb="52">
      <t>セッテイ</t>
    </rPh>
    <phoneticPr fontId="5"/>
  </si>
  <si>
    <t>ご自由にリンク内容を調整してお使いください。</t>
    <rPh sb="1" eb="3">
      <t>ジユウ</t>
    </rPh>
    <rPh sb="7" eb="9">
      <t>ナイヨウ</t>
    </rPh>
    <rPh sb="10" eb="12">
      <t>チョウセイ</t>
    </rPh>
    <rPh sb="15" eb="16">
      <t>ツカ</t>
    </rPh>
    <phoneticPr fontId="5"/>
  </si>
  <si>
    <t>「一カ月体調分析」は、日付と作業時間が自動で記載されます。</t>
    <rPh sb="11" eb="13">
      <t>ヒヅケ</t>
    </rPh>
    <rPh sb="14" eb="18">
      <t>サギョウジカン</t>
    </rPh>
    <rPh sb="19" eb="21">
      <t>ジドウ</t>
    </rPh>
    <rPh sb="22" eb="24">
      <t>キサイ</t>
    </rPh>
    <phoneticPr fontId="5"/>
  </si>
  <si>
    <t>※ 入力番号</t>
    <rPh sb="2" eb="6">
      <t>ニュウリョクバンゴウ</t>
    </rPh>
    <phoneticPr fontId="5"/>
  </si>
  <si>
    <t>下記の入力番号を参考に天候ナンバー、気圧ナンバー、体調ナンバーを入力し、任意で思い当たる理由を手動入力し、自己管理にお使いください。</t>
    <rPh sb="0" eb="2">
      <t>カキ</t>
    </rPh>
    <rPh sb="3" eb="5">
      <t>ニュウリョク</t>
    </rPh>
    <rPh sb="5" eb="7">
      <t>バンゴウ</t>
    </rPh>
    <rPh sb="8" eb="10">
      <t>サンコウ</t>
    </rPh>
    <rPh sb="11" eb="13">
      <t>テンコウ</t>
    </rPh>
    <rPh sb="18" eb="20">
      <t>キアツ</t>
    </rPh>
    <rPh sb="25" eb="27">
      <t>タイチョウ</t>
    </rPh>
    <rPh sb="32" eb="34">
      <t>ニュウリョク</t>
    </rPh>
    <rPh sb="36" eb="38">
      <t>ニンイ</t>
    </rPh>
    <rPh sb="39" eb="40">
      <t>オモ</t>
    </rPh>
    <rPh sb="41" eb="42">
      <t>ア</t>
    </rPh>
    <rPh sb="44" eb="46">
      <t>リユウ</t>
    </rPh>
    <rPh sb="47" eb="49">
      <t>シュドウ</t>
    </rPh>
    <rPh sb="49" eb="51">
      <t>ニュウリョク</t>
    </rPh>
    <rPh sb="53" eb="57">
      <t>ジコカンリ</t>
    </rPh>
    <rPh sb="59" eb="60">
      <t>ツカ</t>
    </rPh>
    <phoneticPr fontId="5"/>
  </si>
  <si>
    <t>天候、気圧、体調を数値管理することにより、表にする際にご活用いただけます。</t>
    <rPh sb="0" eb="2">
      <t>テンコウ</t>
    </rPh>
    <rPh sb="3" eb="5">
      <t>キアツ</t>
    </rPh>
    <rPh sb="6" eb="8">
      <t>タイチョウ</t>
    </rPh>
    <rPh sb="9" eb="11">
      <t>スウチ</t>
    </rPh>
    <rPh sb="11" eb="13">
      <t>カンリ</t>
    </rPh>
    <rPh sb="21" eb="22">
      <t>ヒョウ</t>
    </rPh>
    <rPh sb="25" eb="26">
      <t>サイ</t>
    </rPh>
    <rPh sb="28" eb="30">
      <t>カツヨウ</t>
    </rPh>
    <phoneticPr fontId="5"/>
  </si>
  <si>
    <t>※このエクセルファイルは年度ごとにコピーペーストをして過去ログを保管し、年度ごとに新しいエクセルファイルをご活用ください。</t>
    <rPh sb="12" eb="14">
      <t>ネンド</t>
    </rPh>
    <rPh sb="27" eb="29">
      <t>カコ</t>
    </rPh>
    <rPh sb="32" eb="34">
      <t>ホカン</t>
    </rPh>
    <rPh sb="36" eb="38">
      <t>ネンド</t>
    </rPh>
    <rPh sb="41" eb="42">
      <t>アタラ</t>
    </rPh>
    <rPh sb="54" eb="56">
      <t>カツヨウ</t>
    </rPh>
    <phoneticPr fontId="5"/>
  </si>
  <si>
    <t>※データが重くなりますので、年度ごとに過去の「yyyy_mm」形式名称のシートは削除し、1月から12月までの新規ファイル作成をおすすめします。</t>
    <rPh sb="5" eb="6">
      <t>オモ</t>
    </rPh>
    <rPh sb="14" eb="16">
      <t>ネンド</t>
    </rPh>
    <rPh sb="19" eb="21">
      <t>カコ</t>
    </rPh>
    <rPh sb="31" eb="33">
      <t>ケイシキ</t>
    </rPh>
    <rPh sb="33" eb="35">
      <t>メイショウ</t>
    </rPh>
    <rPh sb="40" eb="42">
      <t>サクジョ</t>
    </rPh>
    <rPh sb="45" eb="46">
      <t>ガツ</t>
    </rPh>
    <rPh sb="50" eb="51">
      <t>ガツ</t>
    </rPh>
    <rPh sb="54" eb="56">
      <t>シンキ</t>
    </rPh>
    <rPh sb="60" eb="62">
      <t>サクセイ</t>
    </rPh>
    <phoneticPr fontId="5"/>
  </si>
  <si>
    <t>「一カ月体調分析」は、「手動入力内容クリア」ボタンを押下することにより先月データがリセットされます。</t>
    <rPh sb="12" eb="16">
      <t>シュドウニュウリョク</t>
    </rPh>
    <rPh sb="16" eb="18">
      <t>ナイヨウ</t>
    </rPh>
    <rPh sb="26" eb="28">
      <t>オウカ</t>
    </rPh>
    <rPh sb="35" eb="37">
      <t>センゲツ</t>
    </rPh>
    <phoneticPr fontId="5"/>
  </si>
  <si>
    <t>一カ月ごとにデータを保管したい方は、個別に別途ログをお取りください。</t>
    <rPh sb="0" eb="1">
      <t>イッ</t>
    </rPh>
    <rPh sb="2" eb="3">
      <t>ゲツ</t>
    </rPh>
    <rPh sb="10" eb="12">
      <t>ホカン</t>
    </rPh>
    <rPh sb="15" eb="16">
      <t>カタ</t>
    </rPh>
    <rPh sb="18" eb="20">
      <t>コベツ</t>
    </rPh>
    <rPh sb="21" eb="23">
      <t>ベット</t>
    </rPh>
    <rPh sb="27" eb="28">
      <t>ト</t>
    </rPh>
    <phoneticPr fontId="5"/>
  </si>
  <si>
    <t>▶売上工数管理シート</t>
    <rPh sb="1" eb="3">
      <t>ウリアゲ</t>
    </rPh>
    <rPh sb="3" eb="7">
      <t>コウスウカンリ</t>
    </rPh>
    <phoneticPr fontId="5"/>
  </si>
  <si>
    <t>一カ月体調分析・入力番号</t>
    <rPh sb="8" eb="12">
      <t>ニュウリョクバンゴウ</t>
    </rPh>
    <phoneticPr fontId="5"/>
  </si>
  <si>
    <t>売上工数管理シートでは、月別と年度合計の稼いだ額などが自動集計され表示されます。</t>
    <rPh sb="0" eb="2">
      <t>ウリアゲ</t>
    </rPh>
    <rPh sb="2" eb="6">
      <t>コウスウカンリ</t>
    </rPh>
    <rPh sb="12" eb="14">
      <t>ゲツベツ</t>
    </rPh>
    <rPh sb="15" eb="19">
      <t>ネンドゴウケイ</t>
    </rPh>
    <rPh sb="20" eb="21">
      <t>カセ</t>
    </rPh>
    <rPh sb="23" eb="24">
      <t>ガク</t>
    </rPh>
    <rPh sb="27" eb="31">
      <t>ジドウシュウケイ</t>
    </rPh>
    <rPh sb="33" eb="35">
      <t>ヒョウジ</t>
    </rPh>
    <phoneticPr fontId="5"/>
  </si>
  <si>
    <t>▶業務メモシート</t>
    <rPh sb="1" eb="3">
      <t>ギョウム</t>
    </rPh>
    <phoneticPr fontId="5"/>
  </si>
  <si>
    <t>業務メモシートは業務全体のマニュアルを任意でご記入いただけます。</t>
    <rPh sb="0" eb="2">
      <t>ギョウム</t>
    </rPh>
    <rPh sb="8" eb="10">
      <t>ギョウム</t>
    </rPh>
    <rPh sb="10" eb="12">
      <t>ゼンタイ</t>
    </rPh>
    <rPh sb="19" eb="21">
      <t>ニンイ</t>
    </rPh>
    <rPh sb="23" eb="25">
      <t>キニュウ</t>
    </rPh>
    <phoneticPr fontId="5"/>
  </si>
  <si>
    <t>下にハイパーリンク設定欄があるので、新規シートから案件別マニュアルシートを作成し、そこに各リンクを飛ばしてお使いいただけます。</t>
    <rPh sb="0" eb="1">
      <t>シタ</t>
    </rPh>
    <rPh sb="9" eb="11">
      <t>セッテイ</t>
    </rPh>
    <rPh sb="11" eb="12">
      <t>ラン</t>
    </rPh>
    <rPh sb="18" eb="20">
      <t>シンキ</t>
    </rPh>
    <rPh sb="25" eb="28">
      <t>アンケンベツ</t>
    </rPh>
    <rPh sb="37" eb="39">
      <t>サクセイ</t>
    </rPh>
    <rPh sb="44" eb="45">
      <t>カク</t>
    </rPh>
    <rPh sb="49" eb="50">
      <t>ト</t>
    </rPh>
    <rPh sb="54" eb="55">
      <t>ツカ</t>
    </rPh>
    <phoneticPr fontId="5"/>
  </si>
  <si>
    <t>▶案件コードシート</t>
    <rPh sb="1" eb="3">
      <t>アンケン</t>
    </rPh>
    <phoneticPr fontId="5"/>
  </si>
  <si>
    <t>B列に案件名を一つずつ入力してください。他のシートで参照し使います。</t>
    <rPh sb="1" eb="2">
      <t>レツ</t>
    </rPh>
    <rPh sb="3" eb="6">
      <t>アンケンメイ</t>
    </rPh>
    <rPh sb="7" eb="8">
      <t>ヒト</t>
    </rPh>
    <rPh sb="11" eb="13">
      <t>ニュウリョク</t>
    </rPh>
    <rPh sb="20" eb="21">
      <t>ホカ</t>
    </rPh>
    <rPh sb="26" eb="28">
      <t>サンショウ</t>
    </rPh>
    <rPh sb="29" eb="30">
      <t>ツカ</t>
    </rPh>
    <phoneticPr fontId="5"/>
  </si>
  <si>
    <t>▶基本データシート</t>
    <rPh sb="1" eb="3">
      <t>キホン</t>
    </rPh>
    <phoneticPr fontId="5"/>
  </si>
  <si>
    <t>※毎月このシートをコピーペーストしてファイルの末尾に追加、シート名を「yyyy_mm」形式へ変更して使ってください。このファイルが集計元となります。</t>
    <rPh sb="1" eb="3">
      <t>マイツキ</t>
    </rPh>
    <rPh sb="23" eb="25">
      <t>マツビ</t>
    </rPh>
    <rPh sb="26" eb="28">
      <t>ツイカ</t>
    </rPh>
    <rPh sb="32" eb="33">
      <t>メイ</t>
    </rPh>
    <rPh sb="43" eb="45">
      <t>ケイシキ</t>
    </rPh>
    <rPh sb="46" eb="48">
      <t>ヘンコウ</t>
    </rPh>
    <rPh sb="50" eb="51">
      <t>ツカ</t>
    </rPh>
    <rPh sb="65" eb="67">
      <t>シュウケイ</t>
    </rPh>
    <rPh sb="67" eb="68">
      <t>モト</t>
    </rPh>
    <phoneticPr fontId="5"/>
  </si>
  <si>
    <t>※2025年8月なら「2025_08」というファイル名でお使いください。</t>
    <rPh sb="5" eb="6">
      <t>ネン</t>
    </rPh>
    <rPh sb="7" eb="8">
      <t>ガツ</t>
    </rPh>
    <rPh sb="26" eb="27">
      <t>メイ</t>
    </rPh>
    <rPh sb="29" eb="30">
      <t>ツカ</t>
    </rPh>
    <phoneticPr fontId="5"/>
  </si>
  <si>
    <t>※ファイル名は新規追加ファイル以外は名前を変えないでください。関数が機能しなくなります。</t>
    <rPh sb="5" eb="6">
      <t>メイ</t>
    </rPh>
    <rPh sb="7" eb="9">
      <t>シンキ</t>
    </rPh>
    <rPh sb="9" eb="11">
      <t>ツイカ</t>
    </rPh>
    <rPh sb="15" eb="17">
      <t>イガイ</t>
    </rPh>
    <rPh sb="18" eb="20">
      <t>ナマエ</t>
    </rPh>
    <rPh sb="21" eb="22">
      <t>カ</t>
    </rPh>
    <rPh sb="31" eb="33">
      <t>カンスウ</t>
    </rPh>
    <rPh sb="34" eb="36">
      <t>キノウ</t>
    </rPh>
    <phoneticPr fontId="5"/>
  </si>
  <si>
    <t>※各シートのセルの位置を変更したり、関数入力セル内を空欄にしないでください。集計が機能しなくなります。</t>
    <rPh sb="1" eb="2">
      <t>カク</t>
    </rPh>
    <rPh sb="9" eb="11">
      <t>イチ</t>
    </rPh>
    <rPh sb="12" eb="14">
      <t>ヘンコウ</t>
    </rPh>
    <rPh sb="18" eb="20">
      <t>カンスウ</t>
    </rPh>
    <rPh sb="20" eb="22">
      <t>ニュウリョク</t>
    </rPh>
    <rPh sb="24" eb="25">
      <t>ナイ</t>
    </rPh>
    <rPh sb="26" eb="28">
      <t>クウラン</t>
    </rPh>
    <rPh sb="38" eb="40">
      <t>シュウケイ</t>
    </rPh>
    <rPh sb="41" eb="43">
      <t>キノウ</t>
    </rPh>
    <phoneticPr fontId="5"/>
  </si>
  <si>
    <t>※同じシート名が2つ存在しないようにしてください。</t>
    <rPh sb="1" eb="2">
      <t>オナ</t>
    </rPh>
    <rPh sb="6" eb="7">
      <t>メイ</t>
    </rPh>
    <rPh sb="10" eb="12">
      <t>ソンザイ</t>
    </rPh>
    <phoneticPr fontId="5"/>
  </si>
  <si>
    <t>時給がある方はAO2に時給額を記入ください。</t>
    <rPh sb="0" eb="2">
      <t>ジキュウ</t>
    </rPh>
    <rPh sb="5" eb="6">
      <t>カタ</t>
    </rPh>
    <rPh sb="11" eb="13">
      <t>ジキュウ</t>
    </rPh>
    <rPh sb="13" eb="14">
      <t>ガク</t>
    </rPh>
    <rPh sb="15" eb="17">
      <t>キニュウ</t>
    </rPh>
    <phoneticPr fontId="5"/>
  </si>
  <si>
    <t>B型施設利用などで施設利用料などがある方は、AW2に月額利用料を記入ください。</t>
    <rPh sb="1" eb="2">
      <t>ガタ</t>
    </rPh>
    <rPh sb="2" eb="4">
      <t>シセツ</t>
    </rPh>
    <rPh sb="4" eb="6">
      <t>リヨウ</t>
    </rPh>
    <rPh sb="9" eb="11">
      <t>シセツ</t>
    </rPh>
    <rPh sb="11" eb="14">
      <t>リヨウリョウ</t>
    </rPh>
    <rPh sb="19" eb="20">
      <t>カタ</t>
    </rPh>
    <rPh sb="26" eb="28">
      <t>ゲツガク</t>
    </rPh>
    <rPh sb="28" eb="31">
      <t>リヨウリョウ</t>
    </rPh>
    <rPh sb="32" eb="34">
      <t>キニュウ</t>
    </rPh>
    <phoneticPr fontId="5"/>
  </si>
  <si>
    <t>年金が出る方はBB2にその月に受け取った年金額を記入ください。</t>
    <rPh sb="0" eb="2">
      <t>ネンキン</t>
    </rPh>
    <rPh sb="3" eb="4">
      <t>デ</t>
    </rPh>
    <rPh sb="5" eb="6">
      <t>カタ</t>
    </rPh>
    <rPh sb="13" eb="14">
      <t>ツキ</t>
    </rPh>
    <rPh sb="15" eb="16">
      <t>ウ</t>
    </rPh>
    <rPh sb="17" eb="18">
      <t>ト</t>
    </rPh>
    <rPh sb="20" eb="23">
      <t>ネンキンガク</t>
    </rPh>
    <rPh sb="24" eb="26">
      <t>キニュウ</t>
    </rPh>
    <phoneticPr fontId="5"/>
  </si>
  <si>
    <t>扶養内勤務の方は、BE2に扶養月内限度額を記入ください。</t>
    <rPh sb="0" eb="3">
      <t>フヨウナイ</t>
    </rPh>
    <rPh sb="3" eb="5">
      <t>キンム</t>
    </rPh>
    <rPh sb="6" eb="7">
      <t>カタ</t>
    </rPh>
    <rPh sb="13" eb="15">
      <t>フヨウ</t>
    </rPh>
    <rPh sb="15" eb="16">
      <t>ツキ</t>
    </rPh>
    <rPh sb="16" eb="17">
      <t>ナイ</t>
    </rPh>
    <rPh sb="17" eb="20">
      <t>ゲンドガク</t>
    </rPh>
    <rPh sb="21" eb="23">
      <t>キニュウ</t>
    </rPh>
    <phoneticPr fontId="5"/>
  </si>
  <si>
    <t>下記は記入例です。</t>
    <rPh sb="0" eb="2">
      <t>カキ</t>
    </rPh>
    <rPh sb="3" eb="6">
      <t>キニュウレイ</t>
    </rPh>
    <phoneticPr fontId="5"/>
  </si>
  <si>
    <t>1日の勤務開始時間をC6に、「8:00」の形式で入力ください。</t>
    <rPh sb="1" eb="2">
      <t>ニチ</t>
    </rPh>
    <rPh sb="3" eb="9">
      <t>キンムカイシジカン</t>
    </rPh>
    <rPh sb="21" eb="23">
      <t>ケイシキ</t>
    </rPh>
    <rPh sb="24" eb="26">
      <t>ニュウリョク</t>
    </rPh>
    <phoneticPr fontId="5"/>
  </si>
  <si>
    <t>同じくD6に、勤務終了時刻を「18:00」の形式で入力ください。</t>
    <rPh sb="0" eb="1">
      <t>オナ</t>
    </rPh>
    <rPh sb="7" eb="13">
      <t>キンムシュウリョウジコク</t>
    </rPh>
    <rPh sb="22" eb="24">
      <t>ケイシキ</t>
    </rPh>
    <rPh sb="25" eb="27">
      <t>ニュウリョク</t>
    </rPh>
    <phoneticPr fontId="5"/>
  </si>
  <si>
    <t>A9～A23に、これから対応する案件を、案件コードシートに記載された案件名対応のコード番号を入力ください。「3」など。B9～B23に自動で案件名が入ります。</t>
    <rPh sb="12" eb="14">
      <t>タイオウ</t>
    </rPh>
    <rPh sb="16" eb="18">
      <t>アンケン</t>
    </rPh>
    <rPh sb="20" eb="22">
      <t>アンケン</t>
    </rPh>
    <rPh sb="29" eb="31">
      <t>キサイ</t>
    </rPh>
    <rPh sb="34" eb="36">
      <t>アンケン</t>
    </rPh>
    <rPh sb="36" eb="37">
      <t>メイ</t>
    </rPh>
    <rPh sb="37" eb="39">
      <t>タイオウ</t>
    </rPh>
    <rPh sb="43" eb="45">
      <t>バンゴウ</t>
    </rPh>
    <rPh sb="46" eb="48">
      <t>ニュウリョク</t>
    </rPh>
    <rPh sb="66" eb="68">
      <t>ジドウ</t>
    </rPh>
    <rPh sb="69" eb="72">
      <t>アンケンメイ</t>
    </rPh>
    <rPh sb="73" eb="74">
      <t>ハイ</t>
    </rPh>
    <phoneticPr fontId="5"/>
  </si>
  <si>
    <t>B1に毎月月を記入ください。「8月」なら「8」と半角数値で記入。自動で日付が更新されます。</t>
    <rPh sb="3" eb="5">
      <t>マイツキ</t>
    </rPh>
    <rPh sb="5" eb="6">
      <t>ツキ</t>
    </rPh>
    <rPh sb="7" eb="9">
      <t>キニュウ</t>
    </rPh>
    <rPh sb="16" eb="17">
      <t>ガツ</t>
    </rPh>
    <rPh sb="24" eb="26">
      <t>ハンカク</t>
    </rPh>
    <rPh sb="26" eb="28">
      <t>スウチ</t>
    </rPh>
    <rPh sb="29" eb="31">
      <t>キニュウ</t>
    </rPh>
    <rPh sb="32" eb="34">
      <t>ジドウ</t>
    </rPh>
    <rPh sb="35" eb="37">
      <t>ヒヅケ</t>
    </rPh>
    <rPh sb="38" eb="40">
      <t>コウシン</t>
    </rPh>
    <phoneticPr fontId="5"/>
  </si>
  <si>
    <t>↑※単価制の待ち時間に時給の発生しない方は、実務労働時間のみ記載してください。</t>
    <rPh sb="2" eb="4">
      <t>タンカ</t>
    </rPh>
    <rPh sb="4" eb="5">
      <t>セイ</t>
    </rPh>
    <rPh sb="6" eb="7">
      <t>マ</t>
    </rPh>
    <rPh sb="8" eb="10">
      <t>ジカン</t>
    </rPh>
    <rPh sb="11" eb="13">
      <t>ジキュウ</t>
    </rPh>
    <rPh sb="14" eb="16">
      <t>ハッセイ</t>
    </rPh>
    <rPh sb="19" eb="20">
      <t>カタ</t>
    </rPh>
    <rPh sb="22" eb="24">
      <t>ジツム</t>
    </rPh>
    <rPh sb="24" eb="26">
      <t>ロウドウ</t>
    </rPh>
    <rPh sb="26" eb="28">
      <t>ジカン</t>
    </rPh>
    <rPh sb="30" eb="32">
      <t>キサイ</t>
    </rPh>
    <phoneticPr fontId="5"/>
  </si>
  <si>
    <t>G9～G23には、時給制の方は待ち時間などを15分単位で半角数値で入力ください。1時間なら「1」、30分なら「0.5」、15分なら「0.25」、5時間30分なら「5.5」と入力ください。</t>
    <rPh sb="9" eb="12">
      <t>ジキュウセイ</t>
    </rPh>
    <rPh sb="24" eb="25">
      <t>フン</t>
    </rPh>
    <rPh sb="25" eb="27">
      <t>タンイ</t>
    </rPh>
    <rPh sb="28" eb="32">
      <t>ハンカクスウチ</t>
    </rPh>
    <rPh sb="33" eb="35">
      <t>ニュウリョク</t>
    </rPh>
    <rPh sb="41" eb="43">
      <t>ジカン</t>
    </rPh>
    <rPh sb="51" eb="52">
      <t>フン</t>
    </rPh>
    <rPh sb="62" eb="63">
      <t>フン</t>
    </rPh>
    <rPh sb="73" eb="75">
      <t>ジカン</t>
    </rPh>
    <rPh sb="77" eb="78">
      <t>フン</t>
    </rPh>
    <rPh sb="86" eb="88">
      <t>ニュウリョク</t>
    </rPh>
    <phoneticPr fontId="5"/>
  </si>
  <si>
    <t>F9～F23には、実務労働の時間を15分単位で半角数値で入力ください。1時間なら「1」、30分なら「0.5」、15分なら「0.25」、5時間30分なら「5.5」と入力ください。</t>
    <rPh sb="9" eb="11">
      <t>ジツム</t>
    </rPh>
    <rPh sb="11" eb="13">
      <t>ロウドウ</t>
    </rPh>
    <rPh sb="14" eb="16">
      <t>ジカン</t>
    </rPh>
    <rPh sb="19" eb="20">
      <t>フン</t>
    </rPh>
    <rPh sb="20" eb="22">
      <t>タンイ</t>
    </rPh>
    <rPh sb="23" eb="27">
      <t>ハンカクスウチ</t>
    </rPh>
    <rPh sb="28" eb="30">
      <t>ニュウリョク</t>
    </rPh>
    <rPh sb="36" eb="38">
      <t>ジカン</t>
    </rPh>
    <rPh sb="46" eb="47">
      <t>フン</t>
    </rPh>
    <rPh sb="57" eb="58">
      <t>フン</t>
    </rPh>
    <rPh sb="68" eb="70">
      <t>ジカン</t>
    </rPh>
    <rPh sb="72" eb="73">
      <t>フン</t>
    </rPh>
    <rPh sb="81" eb="83">
      <t>ニュウリョク</t>
    </rPh>
    <phoneticPr fontId="5"/>
  </si>
  <si>
    <t>E9～E23、E6、F6に自動で合計作業時間が実務と待ち時間の合計で算出され、記載されます。</t>
    <rPh sb="13" eb="15">
      <t>ジドウ</t>
    </rPh>
    <rPh sb="16" eb="18">
      <t>ゴウケイ</t>
    </rPh>
    <rPh sb="18" eb="22">
      <t>サギョウジカン</t>
    </rPh>
    <rPh sb="23" eb="25">
      <t>ジツム</t>
    </rPh>
    <rPh sb="26" eb="27">
      <t>マ</t>
    </rPh>
    <rPh sb="28" eb="30">
      <t>ジカン</t>
    </rPh>
    <rPh sb="31" eb="33">
      <t>ゴウケイ</t>
    </rPh>
    <rPh sb="34" eb="36">
      <t>サンシュツ</t>
    </rPh>
    <rPh sb="39" eb="41">
      <t>キサイ</t>
    </rPh>
    <phoneticPr fontId="5"/>
  </si>
  <si>
    <t>H9～H23に、単価が発生した方は、案件が終わり納品が完了し入った際に単価額を記載ください。6000円なら「6000」と記載。1日の稼いだ単価合計がH24に自動で記載されます。</t>
    <rPh sb="8" eb="10">
      <t>タンカ</t>
    </rPh>
    <rPh sb="11" eb="13">
      <t>ハッセイ</t>
    </rPh>
    <rPh sb="15" eb="16">
      <t>カタ</t>
    </rPh>
    <rPh sb="18" eb="20">
      <t>アンケン</t>
    </rPh>
    <rPh sb="21" eb="22">
      <t>オ</t>
    </rPh>
    <rPh sb="24" eb="26">
      <t>ノウヒン</t>
    </rPh>
    <rPh sb="27" eb="29">
      <t>カンリョウ</t>
    </rPh>
    <rPh sb="30" eb="31">
      <t>ハイ</t>
    </rPh>
    <rPh sb="33" eb="34">
      <t>サイ</t>
    </rPh>
    <rPh sb="35" eb="37">
      <t>タンカ</t>
    </rPh>
    <rPh sb="37" eb="38">
      <t>ガク</t>
    </rPh>
    <rPh sb="39" eb="41">
      <t>キサイ</t>
    </rPh>
    <rPh sb="50" eb="51">
      <t>エン</t>
    </rPh>
    <rPh sb="60" eb="62">
      <t>キサイ</t>
    </rPh>
    <rPh sb="64" eb="65">
      <t>ニチ</t>
    </rPh>
    <rPh sb="66" eb="67">
      <t>カセ</t>
    </rPh>
    <rPh sb="69" eb="73">
      <t>タンカゴウケイ</t>
    </rPh>
    <rPh sb="78" eb="80">
      <t>ジドウ</t>
    </rPh>
    <rPh sb="81" eb="83">
      <t>キサイ</t>
    </rPh>
    <phoneticPr fontId="5"/>
  </si>
  <si>
    <t>H6には自動で1時間の休憩時間を入力してあります。休憩時間が異なる方は手動で変更してください。1日の稼いだ額に休憩時間が自動で減額されます。フリーランスで休憩時間がない方は「00:00」と記載ください。</t>
    <rPh sb="4" eb="6">
      <t>ジドウ</t>
    </rPh>
    <rPh sb="8" eb="10">
      <t>ジカン</t>
    </rPh>
    <rPh sb="11" eb="13">
      <t>キュウケイ</t>
    </rPh>
    <rPh sb="13" eb="15">
      <t>ジカン</t>
    </rPh>
    <rPh sb="16" eb="18">
      <t>ニュウリョク</t>
    </rPh>
    <rPh sb="25" eb="27">
      <t>キュウケイ</t>
    </rPh>
    <rPh sb="27" eb="29">
      <t>ジカン</t>
    </rPh>
    <rPh sb="30" eb="31">
      <t>コト</t>
    </rPh>
    <rPh sb="33" eb="34">
      <t>カタ</t>
    </rPh>
    <rPh sb="35" eb="37">
      <t>シュドウ</t>
    </rPh>
    <rPh sb="38" eb="40">
      <t>ヘンコウ</t>
    </rPh>
    <rPh sb="48" eb="49">
      <t>ニチ</t>
    </rPh>
    <rPh sb="50" eb="51">
      <t>カセ</t>
    </rPh>
    <rPh sb="53" eb="54">
      <t>ガク</t>
    </rPh>
    <rPh sb="55" eb="57">
      <t>キュウケイ</t>
    </rPh>
    <rPh sb="57" eb="59">
      <t>ジカン</t>
    </rPh>
    <rPh sb="60" eb="62">
      <t>ジドウ</t>
    </rPh>
    <rPh sb="63" eb="65">
      <t>ゲンガク</t>
    </rPh>
    <rPh sb="77" eb="81">
      <t>キュウケイジカン</t>
    </rPh>
    <rPh sb="84" eb="85">
      <t>カタ</t>
    </rPh>
    <rPh sb="94" eb="96">
      <t>キサイ</t>
    </rPh>
    <phoneticPr fontId="5"/>
  </si>
  <si>
    <t>I9～I23は備考欄としてお使いください。</t>
    <rPh sb="7" eb="10">
      <t>ビコウラン</t>
    </rPh>
    <rPh sb="14" eb="15">
      <t>ツカ</t>
    </rPh>
    <phoneticPr fontId="5"/>
  </si>
  <si>
    <t>他の日付も同じく入力していくことにより、シートトップに稼いだ額や作業時間が自動で入力されていきます。</t>
    <rPh sb="0" eb="1">
      <t>ホカ</t>
    </rPh>
    <rPh sb="2" eb="4">
      <t>ヒヅケ</t>
    </rPh>
    <rPh sb="5" eb="6">
      <t>オナ</t>
    </rPh>
    <rPh sb="8" eb="10">
      <t>ニュウリョク</t>
    </rPh>
    <rPh sb="27" eb="28">
      <t>カセ</t>
    </rPh>
    <rPh sb="30" eb="31">
      <t>ガク</t>
    </rPh>
    <rPh sb="32" eb="34">
      <t>サギョウ</t>
    </rPh>
    <rPh sb="34" eb="36">
      <t>ジカン</t>
    </rPh>
    <rPh sb="37" eb="39">
      <t>ジドウ</t>
    </rPh>
    <rPh sb="40" eb="42">
      <t>ニュウリョク</t>
    </rPh>
    <phoneticPr fontId="5"/>
  </si>
  <si>
    <t>F1に今月売上合計額が記載されます。利用料の発生する方は、利用料が引かれた額が記載されます。</t>
    <rPh sb="3" eb="5">
      <t>コンゲツ</t>
    </rPh>
    <rPh sb="5" eb="7">
      <t>ウリアゲ</t>
    </rPh>
    <rPh sb="7" eb="10">
      <t>ゴウケイガク</t>
    </rPh>
    <rPh sb="11" eb="13">
      <t>キサイ</t>
    </rPh>
    <rPh sb="18" eb="21">
      <t>リヨウリョウ</t>
    </rPh>
    <rPh sb="22" eb="24">
      <t>ハッセイ</t>
    </rPh>
    <rPh sb="26" eb="27">
      <t>カタ</t>
    </rPh>
    <rPh sb="29" eb="32">
      <t>リヨウリョウ</t>
    </rPh>
    <rPh sb="33" eb="34">
      <t>ヒ</t>
    </rPh>
    <rPh sb="37" eb="38">
      <t>ガク</t>
    </rPh>
    <rPh sb="39" eb="41">
      <t>キサイ</t>
    </rPh>
    <phoneticPr fontId="5"/>
  </si>
  <si>
    <t>B115～B164に現在抱えているタスクを記入ください。</t>
    <rPh sb="10" eb="12">
      <t>ゲンザイ</t>
    </rPh>
    <rPh sb="12" eb="13">
      <t>カカ</t>
    </rPh>
    <rPh sb="21" eb="23">
      <t>キニュウ</t>
    </rPh>
    <phoneticPr fontId="5"/>
  </si>
  <si>
    <t>▼記入例：8/9</t>
    <rPh sb="1" eb="3">
      <t>キニュウ</t>
    </rPh>
    <rPh sb="3" eb="4">
      <t>レイ</t>
    </rPh>
    <phoneticPr fontId="5"/>
  </si>
  <si>
    <t>▼記入例：8/12</t>
    <rPh sb="1" eb="3">
      <t>キニュウ</t>
    </rPh>
    <rPh sb="3" eb="4">
      <t>レイ</t>
    </rPh>
    <phoneticPr fontId="5"/>
  </si>
  <si>
    <t>開始日、終了日に「8/3」「8/12」のような形式で日付を記載ください。未定や納期なしの場合は日本語で記入ください。</t>
    <rPh sb="0" eb="3">
      <t>カイシビ</t>
    </rPh>
    <rPh sb="4" eb="7">
      <t>シュウリョウビ</t>
    </rPh>
    <rPh sb="23" eb="25">
      <t>ケイシキ</t>
    </rPh>
    <rPh sb="26" eb="28">
      <t>ヒヅケ</t>
    </rPh>
    <rPh sb="29" eb="31">
      <t>キサイ</t>
    </rPh>
    <rPh sb="36" eb="38">
      <t>ミテイ</t>
    </rPh>
    <rPh sb="39" eb="41">
      <t>ノウキ</t>
    </rPh>
    <rPh sb="44" eb="46">
      <t>バアイ</t>
    </rPh>
    <rPh sb="47" eb="50">
      <t>ニホンゴ</t>
    </rPh>
    <rPh sb="51" eb="53">
      <t>キニュウ</t>
    </rPh>
    <phoneticPr fontId="5"/>
  </si>
  <si>
    <t>現在の案件重要度、現在の案件ステータスをお選びください。</t>
    <rPh sb="0" eb="2">
      <t>ゲンザイ</t>
    </rPh>
    <rPh sb="3" eb="5">
      <t>アンケン</t>
    </rPh>
    <rPh sb="5" eb="8">
      <t>ジュウヨウド</t>
    </rPh>
    <rPh sb="9" eb="11">
      <t>ゲンザイ</t>
    </rPh>
    <rPh sb="12" eb="14">
      <t>アンケン</t>
    </rPh>
    <rPh sb="21" eb="22">
      <t>エラ</t>
    </rPh>
    <phoneticPr fontId="5"/>
  </si>
  <si>
    <t>重要度、ステータスは変更があった際に都度変更ください。色で識別自動調整され、ダッシュボードの残タスク一覧には、完了したステータス以外の案件名が表示されるようになります。</t>
    <rPh sb="0" eb="3">
      <t>ジュウヨウド</t>
    </rPh>
    <rPh sb="10" eb="12">
      <t>ヘンコウ</t>
    </rPh>
    <rPh sb="16" eb="17">
      <t>サイ</t>
    </rPh>
    <rPh sb="18" eb="20">
      <t>ツド</t>
    </rPh>
    <rPh sb="20" eb="22">
      <t>ヘンコウ</t>
    </rPh>
    <rPh sb="27" eb="28">
      <t>イロ</t>
    </rPh>
    <rPh sb="29" eb="31">
      <t>シキベツ</t>
    </rPh>
    <rPh sb="31" eb="33">
      <t>ジドウ</t>
    </rPh>
    <rPh sb="33" eb="35">
      <t>チョウセイ</t>
    </rPh>
    <rPh sb="46" eb="47">
      <t>ザン</t>
    </rPh>
    <rPh sb="50" eb="52">
      <t>イチラン</t>
    </rPh>
    <rPh sb="55" eb="57">
      <t>カンリョウ</t>
    </rPh>
    <rPh sb="64" eb="66">
      <t>イガイ</t>
    </rPh>
    <rPh sb="67" eb="70">
      <t>アンケンメイ</t>
    </rPh>
    <rPh sb="71" eb="73">
      <t>ヒョウジ</t>
    </rPh>
    <phoneticPr fontId="5"/>
  </si>
  <si>
    <t>月をまたいだ残タスクは、手動で翌月シートのタスク管理表に追加してください。ダッシュボードに反映されます。</t>
    <rPh sb="0" eb="1">
      <t>ツキ</t>
    </rPh>
    <rPh sb="6" eb="7">
      <t>ザン</t>
    </rPh>
    <rPh sb="12" eb="14">
      <t>シュドウ</t>
    </rPh>
    <rPh sb="15" eb="17">
      <t>ヨクゲツ</t>
    </rPh>
    <rPh sb="24" eb="27">
      <t>カンリヒョウ</t>
    </rPh>
    <rPh sb="28" eb="30">
      <t>ツイカ</t>
    </rPh>
    <rPh sb="45" eb="47">
      <t>ハンエイ</t>
    </rPh>
    <phoneticPr fontId="5"/>
  </si>
  <si>
    <t>マクロ機能</t>
    <rPh sb="3" eb="5">
      <t>キノウ</t>
    </rPh>
    <phoneticPr fontId="5"/>
  </si>
  <si>
    <t>下記のマクロを入れてあります。</t>
    <rPh sb="0" eb="2">
      <t>カキ</t>
    </rPh>
    <rPh sb="7" eb="8">
      <t>イ</t>
    </rPh>
    <phoneticPr fontId="5"/>
  </si>
  <si>
    <t>壊した方は再度登録しお使いください。</t>
    <rPh sb="0" eb="1">
      <t>コワ</t>
    </rPh>
    <rPh sb="3" eb="4">
      <t>カタ</t>
    </rPh>
    <rPh sb="5" eb="7">
      <t>サイド</t>
    </rPh>
    <rPh sb="7" eb="9">
      <t>トウロク</t>
    </rPh>
    <rPh sb="11" eb="12">
      <t>ツカ</t>
    </rPh>
    <phoneticPr fontId="5"/>
  </si>
  <si>
    <t xml:space="preserve">Option Explicit
Sub 手動入力内容クリア()
    Dim ws As Worksheet
    On Error GoTo ErrHandler
    Application.ScreenUpdating = False
    ' ダッシュボードシート名。必要なら変更してください。
    Set ws = ThisWorkbook.Worksheets("ダッシュボード")
    With ws
        ' C・E・G列は40～70行、I～L列は結合想定でまとめてクリア
        Union(.Range("C40:C70"), _
              .Range("E40:E70"), _
              .Range("G40:G70"), _
              .Range("I40:L70")).ClearContents
    End With
CleanExit:
    Application.ScreenUpdating = True
    Exit Sub
ErrHandler:
    Application.ScreenUpdating = True
    MsgBox "クリアに失敗しました。シート名・シート保護を確認してください。", vbExclamation
End Sub
Option Explicit
Sub 本日のセルへ移動()
    Dim wb As Workbook
    Dim wsDash As Worksheet
    Dim wsTarget As Worksheet
    Dim tgtName As String
    On Error GoTo ErrHandler
    Application.ScreenUpdating = False
    Set wb = ThisWorkbook
    Set wsDash = wb.Worksheets("ダッシュボード")  ' ←必要ならシート名調整
    tgtName = Trim$(CStr(wsDash.Range("B11").Value))
    If Len(tgtName) = 0 Then
        With wsDash.Range("D2")
            .Value = " ※ B11 に今月のシート名がありません。確認してください。"
            .Font.Color = vbRed
        End With
        GoTo CleanExit
    End If
    On Error Resume Next
    Set wsTarget = wb.Worksheets(tgtName)
    On Error GoTo ErrHandler
    If wsTarget Is Nothing Then
        With wsDash.Range("D2")
            .Value = " ※ '" &amp; tgtName &amp; "' シートが見つかりませんでした。シートを新規作成か、確認をしてください。"
            .Font.Color = vbRed
        End With
        GoTo CleanExit
    End If
    If wsTarget.Visible &lt;&gt; xlSheetVisible Then wsTarget.Visible = xlSheetVisible
    Application.Goto wsTarget.Range("A4"), True
    Exit Sub
CleanExit:
    Application.ScreenUpdating = True
    Exit Sub
ErrHandler:
    Application.ScreenUpdating = True
    MsgBox "移動に失敗しました。B11とシート名をご確認ください。", vbExclamation
End Sub
</t>
    <phoneticPr fontId="5"/>
  </si>
  <si>
    <t xml:space="preserve"> 吉岡有隆業務効率化システムマニュアル</t>
    <rPh sb="1" eb="3">
      <t>ヨシオカ</t>
    </rPh>
    <rPh sb="3" eb="4">
      <t>アリ</t>
    </rPh>
    <rPh sb="4" eb="5">
      <t>タカシ</t>
    </rPh>
    <rPh sb="5" eb="10">
      <t>ギョウムコウリツカ</t>
    </rPh>
    <phoneticPr fontId="5"/>
  </si>
  <si>
    <t>2025/9/13 19:58 著作者：吉岡有隆</t>
    <rPh sb="16" eb="19">
      <t>チョサクシャ</t>
    </rPh>
    <rPh sb="20" eb="22">
      <t>ヨシオカ</t>
    </rPh>
    <rPh sb="22" eb="23">
      <t>アリ</t>
    </rPh>
    <rPh sb="23" eb="24">
      <t>タカシ</t>
    </rPh>
    <phoneticPr fontId="5"/>
  </si>
  <si>
    <t>「吉岡有隆業務効率化システム」は、単価で稼ぐフリーランス、年金を受け取りながら働く方向けに作成しました。一般のフリーランスの方にも対応しております。</t>
    <rPh sb="1" eb="3">
      <t>ヨシオカ</t>
    </rPh>
    <rPh sb="3" eb="4">
      <t>アリ</t>
    </rPh>
    <rPh sb="4" eb="5">
      <t>タカシ</t>
    </rPh>
    <rPh sb="5" eb="10">
      <t>ギョウムコウリツカ</t>
    </rPh>
    <rPh sb="17" eb="19">
      <t>タンカ</t>
    </rPh>
    <rPh sb="20" eb="21">
      <t>カセ</t>
    </rPh>
    <rPh sb="29" eb="31">
      <t>ネンキン</t>
    </rPh>
    <rPh sb="32" eb="33">
      <t>ウ</t>
    </rPh>
    <rPh sb="34" eb="35">
      <t>ト</t>
    </rPh>
    <rPh sb="39" eb="40">
      <t>ハタラ</t>
    </rPh>
    <rPh sb="41" eb="42">
      <t>カタ</t>
    </rPh>
    <rPh sb="42" eb="43">
      <t>ム</t>
    </rPh>
    <rPh sb="45" eb="47">
      <t>サクセイ</t>
    </rPh>
    <rPh sb="52" eb="54">
      <t>イッパン</t>
    </rPh>
    <rPh sb="62" eb="63">
      <t>カタ</t>
    </rPh>
    <rPh sb="65" eb="67">
      <t>タイオウ</t>
    </rPh>
    <phoneticPr fontId="5"/>
  </si>
  <si>
    <t>※このエクセルファイルを共有する場合は、ファイル内に個人データや機密情報、ハイパーリンク先に個人情報、AI情報、マクロ内にIDやパスワードがない事をご確認の上、安全面に配慮し共有ください。</t>
    <rPh sb="12" eb="14">
      <t>キョウユウ</t>
    </rPh>
    <rPh sb="16" eb="18">
      <t>バアイ</t>
    </rPh>
    <rPh sb="24" eb="25">
      <t>ナイ</t>
    </rPh>
    <rPh sb="26" eb="28">
      <t>コジン</t>
    </rPh>
    <rPh sb="32" eb="36">
      <t>キミツジョウホウ</t>
    </rPh>
    <rPh sb="44" eb="45">
      <t>サキ</t>
    </rPh>
    <rPh sb="46" eb="50">
      <t>コジンジョウホウ</t>
    </rPh>
    <rPh sb="53" eb="55">
      <t>ジョウホウ</t>
    </rPh>
    <rPh sb="59" eb="60">
      <t>ナイ</t>
    </rPh>
    <rPh sb="72" eb="73">
      <t>コト</t>
    </rPh>
    <rPh sb="75" eb="77">
      <t>カクニン</t>
    </rPh>
    <rPh sb="78" eb="79">
      <t>ウエ</t>
    </rPh>
    <rPh sb="80" eb="83">
      <t>アンゼンメン</t>
    </rPh>
    <rPh sb="84" eb="86">
      <t>ハイリョ</t>
    </rPh>
    <rPh sb="87" eb="89">
      <t>キョウユウ</t>
    </rPh>
    <phoneticPr fontId="5"/>
  </si>
  <si>
    <t>※このエクセルファイルは吉岡有隆の嫁の為に作成したものです。皆さんにもご活用いただけましたら、嬉しいです。</t>
    <rPh sb="12" eb="16">
      <t>ヨシオカアリタカシ</t>
    </rPh>
    <rPh sb="17" eb="18">
      <t>ヨメ</t>
    </rPh>
    <rPh sb="19" eb="20">
      <t>タメ</t>
    </rPh>
    <rPh sb="21" eb="23">
      <t>サクセイ</t>
    </rPh>
    <rPh sb="30" eb="31">
      <t>ミナ</t>
    </rPh>
    <rPh sb="36" eb="38">
      <t>カツヨウ</t>
    </rPh>
    <rPh sb="47" eb="48">
      <t>ウレ</t>
    </rPh>
    <phoneticPr fontId="5"/>
  </si>
  <si>
    <t>※このエクセルファイル内には簡易なマクロが組み込まれております。ファイルを開いた際にご自身の責任で「コンテンツを有効化」にしてマクロ利用をしご活用ください。安全面には配慮しておりますが、何か起きた際の責任は取りません。</t>
    <rPh sb="11" eb="12">
      <t>ナイ</t>
    </rPh>
    <rPh sb="14" eb="16">
      <t>カンイ</t>
    </rPh>
    <rPh sb="21" eb="22">
      <t>ク</t>
    </rPh>
    <rPh sb="23" eb="24">
      <t>コ</t>
    </rPh>
    <rPh sb="43" eb="45">
      <t>ジシン</t>
    </rPh>
    <rPh sb="46" eb="48">
      <t>セキニン</t>
    </rPh>
    <rPh sb="56" eb="58">
      <t>ユウコウ</t>
    </rPh>
    <rPh sb="58" eb="59">
      <t>カ</t>
    </rPh>
    <rPh sb="66" eb="68">
      <t>リヨウ</t>
    </rPh>
    <rPh sb="71" eb="73">
      <t>カツヨウ</t>
    </rPh>
    <rPh sb="78" eb="81">
      <t>アンゼンメン</t>
    </rPh>
    <rPh sb="83" eb="85">
      <t>ハイリョ</t>
    </rPh>
    <rPh sb="93" eb="94">
      <t>ナニ</t>
    </rPh>
    <rPh sb="95" eb="96">
      <t>オ</t>
    </rPh>
    <rPh sb="98" eb="99">
      <t>サイ</t>
    </rPh>
    <rPh sb="100" eb="102">
      <t>セキニン</t>
    </rPh>
    <rPh sb="103" eb="104">
      <t>ト</t>
    </rPh>
    <phoneticPr fontId="5"/>
  </si>
  <si>
    <t>※基本的にこのエクセルファイル一つに対して「業務効率化システム_●●●（個人名など）_2025.xlsm」という名称をつけ別途保管し、一つのエクセルファイル内には既存のシートと「2025_01」～「2025_12」までのシートのみ存在する形でご使用お願いします。</t>
    <rPh sb="1" eb="4">
      <t>キホンテキ</t>
    </rPh>
    <rPh sb="15" eb="16">
      <t>ヒト</t>
    </rPh>
    <rPh sb="18" eb="19">
      <t>タイ</t>
    </rPh>
    <rPh sb="22" eb="26">
      <t>ギョウムコウリツ</t>
    </rPh>
    <rPh sb="26" eb="27">
      <t>カ</t>
    </rPh>
    <rPh sb="36" eb="39">
      <t>コジンメイ</t>
    </rPh>
    <rPh sb="56" eb="58">
      <t>メイショウ</t>
    </rPh>
    <rPh sb="61" eb="63">
      <t>ベット</t>
    </rPh>
    <rPh sb="63" eb="65">
      <t>ホカン</t>
    </rPh>
    <rPh sb="67" eb="68">
      <t>ヒト</t>
    </rPh>
    <rPh sb="78" eb="79">
      <t>ナイ</t>
    </rPh>
    <rPh sb="81" eb="83">
      <t>キゾン</t>
    </rPh>
    <rPh sb="115" eb="117">
      <t>ソンザイ</t>
    </rPh>
    <rPh sb="119" eb="120">
      <t>カタチ</t>
    </rPh>
    <rPh sb="122" eb="124">
      <t>シヨウ</t>
    </rPh>
    <rPh sb="125" eb="126">
      <t>ネガ</t>
    </rPh>
    <phoneticPr fontId="5"/>
  </si>
  <si>
    <t>お読みいただきありがとうございます。</t>
    <rPh sb="1" eb="2">
      <t>ヨ</t>
    </rPh>
    <phoneticPr fontId="5"/>
  </si>
  <si>
    <t>▲トップへ戻る</t>
    <rPh sb="5" eb="6">
      <t>モド</t>
    </rPh>
    <phoneticPr fontId="5"/>
  </si>
  <si>
    <t>　今月単価売上合計</t>
    <rPh sb="1" eb="3">
      <t>コンゲツ</t>
    </rPh>
    <rPh sb="3" eb="5">
      <t>タンカ</t>
    </rPh>
    <rPh sb="5" eb="7">
      <t>ウリアゲ</t>
    </rPh>
    <rPh sb="7" eb="9">
      <t>ゴウケイ</t>
    </rPh>
    <phoneticPr fontId="5"/>
  </si>
  <si>
    <t>　今月時給売上合計（-利用料）</t>
    <rPh sb="1" eb="3">
      <t>コンゲツ</t>
    </rPh>
    <rPh sb="3" eb="5">
      <t>ジキュウ</t>
    </rPh>
    <rPh sb="5" eb="7">
      <t>ウリアゲ</t>
    </rPh>
    <rPh sb="7" eb="9">
      <t>ゴウケイ</t>
    </rPh>
    <rPh sb="11" eb="14">
      <t>リヨウリョウ</t>
    </rPh>
    <phoneticPr fontId="5"/>
  </si>
  <si>
    <t>　 ▶給料（工賃）＋単価＋年金年度額合計</t>
    <rPh sb="3" eb="5">
      <t>キュウリョウ</t>
    </rPh>
    <rPh sb="6" eb="8">
      <t>コウチン</t>
    </rPh>
    <rPh sb="10" eb="12">
      <t>タンカ</t>
    </rPh>
    <rPh sb="13" eb="15">
      <t>ネンキン</t>
    </rPh>
    <rPh sb="15" eb="17">
      <t>ネンド</t>
    </rPh>
    <rPh sb="17" eb="18">
      <t>ガク</t>
    </rPh>
    <rPh sb="18" eb="20">
      <t>ゴウケイ</t>
    </rPh>
    <phoneticPr fontId="5"/>
  </si>
  <si>
    <r>
      <t>※月額売上額年度合計と扶養内年額限度額を</t>
    </r>
    <r>
      <rPr>
        <b/>
        <u val="double"/>
        <sz val="11"/>
        <color rgb="FFFF0000"/>
        <rFont val="游ゴシック"/>
        <family val="3"/>
        <charset val="128"/>
        <scheme val="minor"/>
      </rPr>
      <t>比較</t>
    </r>
    <rPh sb="1" eb="3">
      <t>ゲツガク</t>
    </rPh>
    <rPh sb="3" eb="5">
      <t>ウリアゲ</t>
    </rPh>
    <rPh sb="5" eb="6">
      <t>ガク</t>
    </rPh>
    <rPh sb="6" eb="8">
      <t>ネンド</t>
    </rPh>
    <rPh sb="8" eb="10">
      <t>ゴウケイ</t>
    </rPh>
    <rPh sb="11" eb="14">
      <t>フヨウナイ</t>
    </rPh>
    <rPh sb="14" eb="16">
      <t>ネンガク</t>
    </rPh>
    <rPh sb="16" eb="19">
      <t>ゲンドガク</t>
    </rPh>
    <rPh sb="20" eb="22">
      <t>ヒカク</t>
    </rPh>
    <phoneticPr fontId="5"/>
  </si>
  <si>
    <t>※ ファイルが重くなり実装中止。あとから表追加可能</t>
    <rPh sb="20" eb="21">
      <t>ヒョウ</t>
    </rPh>
    <rPh sb="21" eb="23">
      <t>ツイカ</t>
    </rPh>
    <rPh sb="23" eb="25">
      <t>カノウ</t>
    </rPh>
    <phoneticPr fontId="5"/>
  </si>
  <si>
    <t xml:space="preserve"> ※ 後から表追加可能</t>
    <rPh sb="3" eb="4">
      <t>アト</t>
    </rPh>
    <rPh sb="6" eb="7">
      <t>ヒョウ</t>
    </rPh>
    <rPh sb="7" eb="9">
      <t>ツイカ</t>
    </rPh>
    <rPh sb="9" eb="11">
      <t>カノウ</t>
    </rPh>
    <phoneticPr fontId="5"/>
  </si>
  <si>
    <t>※タスク管理表内と黄色セル以外はいじらない。</t>
    <rPh sb="4" eb="6">
      <t>カンリ</t>
    </rPh>
    <rPh sb="6" eb="8">
      <t>ヒョウナイ</t>
    </rPh>
    <rPh sb="9" eb="11">
      <t>キイロ</t>
    </rPh>
    <rPh sb="13" eb="15">
      <t>イガイ</t>
    </rPh>
    <phoneticPr fontId="5"/>
  </si>
  <si>
    <t>▼日付または未定または納期なし</t>
    <rPh sb="1" eb="3">
      <t>ヒヅケ</t>
    </rPh>
    <rPh sb="6" eb="8">
      <t>ミテイ</t>
    </rPh>
    <rPh sb="11" eb="13">
      <t>ノウキ</t>
    </rPh>
    <phoneticPr fontId="5"/>
  </si>
  <si>
    <t>▼都度変更・完了フィルターオフにしても可</t>
    <rPh sb="1" eb="3">
      <t>ツド</t>
    </rPh>
    <rPh sb="3" eb="5">
      <t>ヘンコウ</t>
    </rPh>
    <rPh sb="6" eb="8">
      <t>カンリョウ</t>
    </rPh>
    <rPh sb="19" eb="20">
      <t>カ</t>
    </rPh>
    <phoneticPr fontId="5"/>
  </si>
  <si>
    <t>　※毎月このシートをコピーペーストしてファイルの末尾に追加、シート名を「yyyy_mm」形式へ変更。同じシート名を2つ作らないように。1ファイルにつき固定シートと「yyyy_mm」形式シートは1月～12月まで。年度ごとにファイル変えてください。</t>
    <rPh sb="2" eb="4">
      <t>マイツキ</t>
    </rPh>
    <rPh sb="24" eb="26">
      <t>マツビ</t>
    </rPh>
    <rPh sb="27" eb="29">
      <t>ツイカ</t>
    </rPh>
    <rPh sb="33" eb="34">
      <t>メイ</t>
    </rPh>
    <rPh sb="44" eb="46">
      <t>ケイシキ</t>
    </rPh>
    <rPh sb="47" eb="49">
      <t>ヘンコウ</t>
    </rPh>
    <rPh sb="50" eb="51">
      <t>オナ</t>
    </rPh>
    <rPh sb="55" eb="56">
      <t>メイ</t>
    </rPh>
    <rPh sb="59" eb="60">
      <t>ツク</t>
    </rPh>
    <rPh sb="75" eb="77">
      <t>コテイ</t>
    </rPh>
    <rPh sb="97" eb="98">
      <t>ガツ</t>
    </rPh>
    <rPh sb="101" eb="102">
      <t>ガツ</t>
    </rPh>
    <rPh sb="105" eb="107">
      <t>ネンド</t>
    </rPh>
    <rPh sb="114" eb="115">
      <t>カ</t>
    </rPh>
    <phoneticPr fontId="5"/>
  </si>
  <si>
    <t>円＝給料</t>
    <rPh sb="2" eb="4">
      <t>キュウリョウ</t>
    </rPh>
    <phoneticPr fontId="5"/>
  </si>
  <si>
    <t xml:space="preserve"> ※ 任意</t>
    <rPh sb="3" eb="5">
      <t>ニンイ</t>
    </rPh>
    <phoneticPr fontId="5"/>
  </si>
  <si>
    <t xml:space="preserve"> リンク集 --------------------</t>
    <rPh sb="4" eb="5">
      <t>シュウ</t>
    </rPh>
    <phoneticPr fontId="5"/>
  </si>
  <si>
    <t xml:space="preserve"> 知識ベース </t>
    <rPh sb="1" eb="3">
      <t>チシキ</t>
    </rPh>
    <phoneticPr fontId="5"/>
  </si>
  <si>
    <t>※雑メモ・参考リンク集</t>
    <phoneticPr fontId="5"/>
  </si>
  <si>
    <t>←手動で給料日入力</t>
    <rPh sb="1" eb="3">
      <t>シュドウ</t>
    </rPh>
    <rPh sb="4" eb="6">
      <t>キュウリョウ</t>
    </rPh>
    <rPh sb="6" eb="7">
      <t>ヒ</t>
    </rPh>
    <rPh sb="7" eb="9">
      <t>ニュウリョク</t>
    </rPh>
    <phoneticPr fontId="5"/>
  </si>
  <si>
    <t>毎月：</t>
    <rPh sb="0" eb="2">
      <t>マイツキ</t>
    </rPh>
    <phoneticPr fontId="5"/>
  </si>
  <si>
    <t>支払い方法：</t>
    <rPh sb="0" eb="2">
      <t>シハラ</t>
    </rPh>
    <rPh sb="3" eb="5">
      <t>ホウホウ</t>
    </rPh>
    <phoneticPr fontId="5"/>
  </si>
  <si>
    <t>▼ 内容任意で手動入力</t>
    <rPh sb="2" eb="4">
      <t>ナイヨウ</t>
    </rPh>
    <rPh sb="4" eb="6">
      <t>ニンイ</t>
    </rPh>
    <rPh sb="7" eb="11">
      <t>シュドウニュウリョク</t>
    </rPh>
    <phoneticPr fontId="5"/>
  </si>
  <si>
    <t>※知識ベースコーナーと黄色セル以外はいじらないでください。</t>
    <phoneticPr fontId="5"/>
  </si>
  <si>
    <t>関数により本日の日付や時間表示、今月の単価合計、月額給料、平均時給との差額、目標時給との差額をKPIサマリーに自動で表示されます。</t>
    <rPh sb="0" eb="2">
      <t>カンスウ</t>
    </rPh>
    <rPh sb="5" eb="7">
      <t>ホンジツ</t>
    </rPh>
    <rPh sb="8" eb="10">
      <t>ヒヅケ</t>
    </rPh>
    <rPh sb="11" eb="13">
      <t>ジカン</t>
    </rPh>
    <rPh sb="13" eb="15">
      <t>ヒョウジ</t>
    </rPh>
    <rPh sb="16" eb="18">
      <t>コンゲツ</t>
    </rPh>
    <rPh sb="19" eb="23">
      <t>タンカゴウケイ</t>
    </rPh>
    <rPh sb="24" eb="28">
      <t>ゲツガクキュウリョウ</t>
    </rPh>
    <rPh sb="29" eb="33">
      <t>ヘイキンジキュウ</t>
    </rPh>
    <rPh sb="35" eb="37">
      <t>サガク</t>
    </rPh>
    <rPh sb="38" eb="40">
      <t>モクヒョウ</t>
    </rPh>
    <rPh sb="40" eb="42">
      <t>ジキュウ</t>
    </rPh>
    <rPh sb="44" eb="46">
      <t>サガク</t>
    </rPh>
    <rPh sb="55" eb="57">
      <t>ジドウ</t>
    </rPh>
    <rPh sb="58" eb="60">
      <t>ヒョウジ</t>
    </rPh>
    <phoneticPr fontId="5"/>
  </si>
  <si>
    <t>リソース使用状況には、今月の作業時間合計と案件別リソース内訳が自動で記載されます。</t>
    <rPh sb="4" eb="6">
      <t>シヨウ</t>
    </rPh>
    <rPh sb="6" eb="8">
      <t>ジョウキョウ</t>
    </rPh>
    <rPh sb="11" eb="13">
      <t>コンゲツ</t>
    </rPh>
    <rPh sb="14" eb="20">
      <t>サギョウジカンゴウケイ</t>
    </rPh>
    <rPh sb="21" eb="24">
      <t>アンケンベツ</t>
    </rPh>
    <rPh sb="28" eb="30">
      <t>ウチワケ</t>
    </rPh>
    <rPh sb="31" eb="33">
      <t>ジドウ</t>
    </rPh>
    <rPh sb="34" eb="36">
      <t>キサイ</t>
    </rPh>
    <phoneticPr fontId="5"/>
  </si>
  <si>
    <t>Webデザイン</t>
    <phoneticPr fontId="5"/>
  </si>
  <si>
    <t>・</t>
    <phoneticPr fontId="5"/>
  </si>
  <si>
    <t>業務メモ_Webデザイン</t>
    <phoneticPr fontId="5"/>
  </si>
  <si>
    <t>プログラミング</t>
    <phoneticPr fontId="5"/>
  </si>
  <si>
    <t>ライティング</t>
    <phoneticPr fontId="5"/>
  </si>
  <si>
    <t>　←エラーメッセージ表示欄。エラーが出たら新規シートを作成か、確認をしてください。D2は手動削除。</t>
    <rPh sb="10" eb="12">
      <t>ヒョウジ</t>
    </rPh>
    <rPh sb="12" eb="13">
      <t>ラン</t>
    </rPh>
    <rPh sb="18" eb="19">
      <t>デ</t>
    </rPh>
    <rPh sb="21" eb="23">
      <t>シンキ</t>
    </rPh>
    <rPh sb="27" eb="29">
      <t>サクセイ</t>
    </rPh>
    <rPh sb="31" eb="33">
      <t>カクニン</t>
    </rPh>
    <rPh sb="44" eb="48">
      <t>シュドウサクジョ</t>
    </rPh>
    <phoneticPr fontId="5"/>
  </si>
  <si>
    <t>A1に毎年年を記入ください。「2025年」なら「2025」と半角数値で記入。自動で日付が更新されます。</t>
    <rPh sb="3" eb="5">
      <t>マイトシ</t>
    </rPh>
    <rPh sb="5" eb="6">
      <t>ネン</t>
    </rPh>
    <rPh sb="6" eb="7">
      <t>マイツキ</t>
    </rPh>
    <rPh sb="7" eb="9">
      <t>キニュウ</t>
    </rPh>
    <rPh sb="19" eb="20">
      <t>ネン</t>
    </rPh>
    <rPh sb="30" eb="32">
      <t>ハンカク</t>
    </rPh>
    <rPh sb="32" eb="34">
      <t>スウチ</t>
    </rPh>
    <rPh sb="35" eb="37">
      <t>キニュウ</t>
    </rPh>
    <rPh sb="38" eb="40">
      <t>ジドウ</t>
    </rPh>
    <rPh sb="41" eb="43">
      <t>ヒヅケ</t>
    </rPh>
    <rPh sb="44" eb="46">
      <t>コウシン</t>
    </rPh>
    <phoneticPr fontId="5"/>
  </si>
  <si>
    <t>※Webデザイン・プログラミングなど大きな括りで入力</t>
    <phoneticPr fontId="5"/>
  </si>
  <si>
    <t>※I1にエラーメッセージが出る際は、年月が誤っている可能性があります。黄色セルを正しく修正するとI1の内容は時間をおいて自動で元に戻るので、I1の関数を削除しないでください。</t>
    <rPh sb="13" eb="14">
      <t>デ</t>
    </rPh>
    <rPh sb="15" eb="16">
      <t>サイ</t>
    </rPh>
    <rPh sb="18" eb="20">
      <t>ネンゲツ</t>
    </rPh>
    <rPh sb="21" eb="22">
      <t>アヤマ</t>
    </rPh>
    <rPh sb="26" eb="29">
      <t>カノウセイ</t>
    </rPh>
    <rPh sb="35" eb="37">
      <t>キイロ</t>
    </rPh>
    <rPh sb="40" eb="41">
      <t>タダ</t>
    </rPh>
    <rPh sb="43" eb="45">
      <t>シュウセイ</t>
    </rPh>
    <rPh sb="51" eb="53">
      <t>ナイヨウ</t>
    </rPh>
    <rPh sb="54" eb="56">
      <t>ジカン</t>
    </rPh>
    <rPh sb="60" eb="62">
      <t>ジドウ</t>
    </rPh>
    <rPh sb="63" eb="64">
      <t>モト</t>
    </rPh>
    <rPh sb="65" eb="66">
      <t>モド</t>
    </rPh>
    <rPh sb="73" eb="75">
      <t>カンスウ</t>
    </rPh>
    <rPh sb="76" eb="78">
      <t>サクジョ</t>
    </rPh>
    <phoneticPr fontId="5"/>
  </si>
  <si>
    <t>▼規定を記入（給料と比較用）</t>
    <rPh sb="7" eb="9">
      <t>キュウリョウ</t>
    </rPh>
    <rPh sb="10" eb="13">
      <t>ヒカクヨウ</t>
    </rPh>
    <phoneticPr fontId="5"/>
  </si>
  <si>
    <t>▼※いじらない。毎月の最新の「yyyy_mm」シートから自動参照している。</t>
    <rPh sb="8" eb="10">
      <t>マイツキ</t>
    </rPh>
    <rPh sb="11" eb="13">
      <t>サイシン</t>
    </rPh>
    <rPh sb="28" eb="32">
      <t>ジドウサンショウ</t>
    </rPh>
    <phoneticPr fontId="5"/>
  </si>
  <si>
    <t>表は年間案件別作業量比較</t>
    <rPh sb="0" eb="1">
      <t>ヒョウ</t>
    </rPh>
    <rPh sb="2" eb="4">
      <t>ネンカン</t>
    </rPh>
    <rPh sb="4" eb="7">
      <t>アンケンベツ</t>
    </rPh>
    <rPh sb="7" eb="10">
      <t>サギョウリョウ</t>
    </rPh>
    <rPh sb="10" eb="12">
      <t>ヒカク</t>
    </rPh>
    <phoneticPr fontId="5"/>
  </si>
  <si>
    <t>スケジュール管理欄には現在の残タスク数が表示されます。残タスク一覧が最大12件まで自動で表示されます。</t>
    <rPh sb="6" eb="8">
      <t>カンリ</t>
    </rPh>
    <rPh sb="8" eb="9">
      <t>ラン</t>
    </rPh>
    <rPh sb="11" eb="13">
      <t>ゲンザイ</t>
    </rPh>
    <rPh sb="14" eb="15">
      <t>ザン</t>
    </rPh>
    <rPh sb="18" eb="19">
      <t>スウ</t>
    </rPh>
    <rPh sb="20" eb="22">
      <t>ヒョウジ</t>
    </rPh>
    <rPh sb="27" eb="28">
      <t>ザン</t>
    </rPh>
    <rPh sb="31" eb="33">
      <t>イチラン</t>
    </rPh>
    <rPh sb="34" eb="36">
      <t>サイダイ</t>
    </rPh>
    <rPh sb="38" eb="39">
      <t>ケン</t>
    </rPh>
    <rPh sb="41" eb="43">
      <t>ジドウ</t>
    </rPh>
    <rPh sb="44" eb="46">
      <t>ヒョウジ</t>
    </rPh>
    <phoneticPr fontId="5"/>
  </si>
  <si>
    <t>シート内下部にはタスク管理表があります。</t>
    <rPh sb="3" eb="4">
      <t>ナイ</t>
    </rPh>
    <rPh sb="4" eb="6">
      <t>カブ</t>
    </rPh>
    <rPh sb="11" eb="14">
      <t>カンリヒョウ</t>
    </rPh>
    <phoneticPr fontId="5"/>
  </si>
  <si>
    <t>※現在仮のデータを入れています。「yyyy_mm」形式ファイルのみ削除し、マニュアル通りにお使いください。</t>
    <rPh sb="1" eb="3">
      <t>ゲンザイ</t>
    </rPh>
    <rPh sb="3" eb="4">
      <t>カリ</t>
    </rPh>
    <rPh sb="9" eb="10">
      <t>イ</t>
    </rPh>
    <rPh sb="25" eb="27">
      <t>ケイシキ</t>
    </rPh>
    <rPh sb="33" eb="35">
      <t>サクジョ</t>
    </rPh>
    <rPh sb="42" eb="43">
      <t>トオ</t>
    </rPh>
    <rPh sb="46" eb="47">
      <t>ツカ</t>
    </rPh>
    <phoneticPr fontId="5"/>
  </si>
  <si>
    <t>▼ある場合は利用料＋給料（時給・工賃）＋単価</t>
    <rPh sb="3" eb="5">
      <t>バアイ</t>
    </rPh>
    <rPh sb="6" eb="9">
      <t>リヨウリョウ</t>
    </rPh>
    <rPh sb="10" eb="12">
      <t>キュウリョウ</t>
    </rPh>
    <rPh sb="13" eb="15">
      <t>ジキュウ</t>
    </rPh>
    <phoneticPr fontId="5"/>
  </si>
  <si>
    <t>▼給料（時給・工賃）＋単価＋年金</t>
    <rPh sb="1" eb="3">
      <t>キュウリョウ</t>
    </rPh>
    <rPh sb="4" eb="6">
      <t>ジキュウ</t>
    </rPh>
    <rPh sb="14" eb="16">
      <t>ネンキン</t>
    </rPh>
    <phoneticPr fontId="5"/>
  </si>
  <si>
    <t>▼月額売上額（+時給）</t>
    <rPh sb="1" eb="3">
      <t>ゲツガク</t>
    </rPh>
    <rPh sb="3" eb="5">
      <t>ウリアゲ</t>
    </rPh>
    <rPh sb="5" eb="6">
      <t>ガク</t>
    </rPh>
    <rPh sb="8" eb="10">
      <t>ジキュウ</t>
    </rPh>
    <phoneticPr fontId="5"/>
  </si>
  <si>
    <t>▼※黄色セル以外いじらない。毎月の「yyyy_mm」シートから自動参照して売上工数管理シートとダッシュボードシートに反映させている。</t>
    <rPh sb="2" eb="4">
      <t>キイロ</t>
    </rPh>
    <rPh sb="6" eb="8">
      <t>イガイ</t>
    </rPh>
    <rPh sb="14" eb="16">
      <t>マイツキ</t>
    </rPh>
    <rPh sb="31" eb="35">
      <t>ジドウサンショウ</t>
    </rPh>
    <rPh sb="37" eb="39">
      <t>ウリアゲ</t>
    </rPh>
    <rPh sb="39" eb="43">
      <t>コウスウカンリ</t>
    </rPh>
    <rPh sb="58" eb="60">
      <t>ハンエイ</t>
    </rPh>
    <phoneticPr fontId="5"/>
  </si>
  <si>
    <t>※マクロ内容は、「本日のシートへ移動」としてシート内移動、「先月の手動入力欄を削除」として手動入力セルを一括で削除するマクロのみ入れております。</t>
    <rPh sb="4" eb="6">
      <t>ナイヨウ</t>
    </rPh>
    <rPh sb="9" eb="11">
      <t>ホンジツ</t>
    </rPh>
    <rPh sb="16" eb="18">
      <t>イドウ</t>
    </rPh>
    <rPh sb="25" eb="26">
      <t>ナイ</t>
    </rPh>
    <rPh sb="26" eb="28">
      <t>イドウ</t>
    </rPh>
    <rPh sb="30" eb="32">
      <t>センゲツ</t>
    </rPh>
    <rPh sb="33" eb="35">
      <t>シュドウ</t>
    </rPh>
    <rPh sb="35" eb="37">
      <t>ニュウリョク</t>
    </rPh>
    <rPh sb="37" eb="38">
      <t>ラン</t>
    </rPh>
    <rPh sb="39" eb="41">
      <t>サクジョ</t>
    </rPh>
    <rPh sb="45" eb="49">
      <t>シュドウニュウリョク</t>
    </rPh>
    <rPh sb="52" eb="54">
      <t>イッカツ</t>
    </rPh>
    <rPh sb="55" eb="57">
      <t>サクジョ</t>
    </rPh>
    <rPh sb="64" eb="65">
      <t>イ</t>
    </rPh>
    <phoneticPr fontId="5"/>
  </si>
  <si>
    <t>口座振り込み</t>
    <rPh sb="0" eb="3">
      <t>コウザフ</t>
    </rPh>
    <rPh sb="4" eb="5">
      <t>コ</t>
    </rPh>
    <phoneticPr fontId="5"/>
  </si>
  <si>
    <t>サンプル：1タスク</t>
    <phoneticPr fontId="5"/>
  </si>
  <si>
    <t>サンプル：2タスク</t>
    <phoneticPr fontId="5"/>
  </si>
  <si>
    <t>サンプル：3タスク</t>
    <phoneticPr fontId="5"/>
  </si>
  <si>
    <t>※サンプルシートです。</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</si>
</sst>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5" formatCode="&quot;¥&quot;#,##0;&quot;¥&quot;\-#,##0"/>
    <numFmt numFmtId="6" formatCode="&quot;¥&quot;#,##0;[Red]&quot;¥&quot;\-#,##0"/>
    <numFmt numFmtId="176" formatCode="m/d\(aaa\)"/>
    <numFmt numFmtId="177" formatCode="m&quot;月&quot;d&quot;日(&quot;aaa\)"/>
    <numFmt numFmtId="178" formatCode="h:mm;@"/>
    <numFmt numFmtId="179" formatCode="0\ "/>
    <numFmt numFmtId="180" formatCode="yyyy_mm"/>
    <numFmt numFmtId="181" formatCode="yyyy"/>
    <numFmt numFmtId="182" formatCode="&quot;月&quot;d&quot;日(&quot;aaa\)"/>
    <numFmt numFmtId="183" formatCode="aaa&quot;曜日&quot;"/>
    <numFmt numFmtId="184" formatCode="m"/>
    <numFmt numFmtId="185" formatCode="m/d;@"/>
    <numFmt numFmtId="186" formatCode="h&quot;時&quot;\ mm&quot;分&quot;"/>
    <numFmt numFmtId="187" formatCode="yyyy/m/d&quot;～&quot;yyyy/m/d"/>
    <numFmt numFmtId="188" formatCode="0_ ;[Red]\-0\ "/>
    <numFmt numFmtId="189" formatCode="&quot;年&quot;m&quot;月&quot;d&quot;日&quot;"/>
  </numFmts>
  <fonts count="51">
    <font>
      <sz val="11"/>
      <color rgb="FF000000"/>
      <name val="游ゴシック"/>
      <family val="2"/>
      <charset val="128"/>
    </font>
    <font>
      <u/>
      <sz val="11"/>
      <color rgb="FF0563C1"/>
      <name val="游ゴシック"/>
      <family val="2"/>
      <charset val="128"/>
    </font>
    <font>
      <b/>
      <sz val="11"/>
      <color rgb="FF000000"/>
      <name val="游ゴシック"/>
      <family val="3"/>
      <charset val="128"/>
    </font>
    <font>
      <b/>
      <sz val="11"/>
      <name val="游ゴシック"/>
      <family val="3"/>
      <charset val="128"/>
    </font>
    <font>
      <sz val="11"/>
      <name val="游ゴシック"/>
      <family val="3"/>
      <charset val="128"/>
    </font>
    <font>
      <sz val="6"/>
      <name val="游ゴシック"/>
      <family val="2"/>
      <charset val="128"/>
    </font>
    <font>
      <b/>
      <sz val="11"/>
      <color rgb="FFFF0000"/>
      <name val="游ゴシック"/>
      <family val="3"/>
      <charset val="128"/>
    </font>
    <font>
      <b/>
      <u val="double"/>
      <sz val="11"/>
      <color rgb="FFFF0000"/>
      <name val="游ゴシック"/>
      <family val="3"/>
      <charset val="128"/>
    </font>
    <font>
      <b/>
      <u val="double"/>
      <sz val="11"/>
      <color rgb="FF000000"/>
      <name val="游ゴシック"/>
      <family val="3"/>
      <charset val="128"/>
    </font>
    <font>
      <b/>
      <sz val="11"/>
      <color theme="0"/>
      <name val="游ゴシック"/>
      <family val="3"/>
      <charset val="128"/>
    </font>
    <font>
      <sz val="11"/>
      <color rgb="FF000000"/>
      <name val="游ゴシック"/>
      <family val="3"/>
      <charset val="128"/>
    </font>
    <font>
      <b/>
      <sz val="16"/>
      <color theme="0"/>
      <name val="游ゴシック"/>
      <family val="3"/>
      <charset val="128"/>
    </font>
    <font>
      <b/>
      <u/>
      <sz val="11"/>
      <color theme="0"/>
      <name val="游ゴシック"/>
      <family val="3"/>
      <charset val="128"/>
    </font>
    <font>
      <b/>
      <u/>
      <sz val="11"/>
      <name val="游ゴシック"/>
      <family val="3"/>
      <charset val="128"/>
    </font>
    <font>
      <sz val="16"/>
      <color rgb="FF000000"/>
      <name val="游ゴシック"/>
      <family val="3"/>
      <charset val="128"/>
    </font>
    <font>
      <b/>
      <sz val="16"/>
      <color theme="0"/>
      <name val="游ゴシック"/>
      <family val="3"/>
      <charset val="128"/>
      <scheme val="minor"/>
    </font>
    <font>
      <sz val="22"/>
      <color theme="0"/>
      <name val="游ゴシック"/>
      <family val="3"/>
      <charset val="128"/>
      <scheme val="minor"/>
    </font>
    <font>
      <sz val="11"/>
      <color theme="0"/>
      <name val="游ゴシック"/>
      <family val="3"/>
      <charset val="128"/>
      <scheme val="minor"/>
    </font>
    <font>
      <b/>
      <sz val="11"/>
      <color theme="0"/>
      <name val="游ゴシック"/>
      <family val="3"/>
      <charset val="128"/>
      <scheme val="minor"/>
    </font>
    <font>
      <sz val="11"/>
      <color rgb="FF000000"/>
      <name val="游ゴシック"/>
      <family val="3"/>
      <charset val="128"/>
      <scheme val="minor"/>
    </font>
    <font>
      <sz val="11"/>
      <name val="游ゴシック"/>
      <family val="3"/>
      <charset val="128"/>
      <scheme val="minor"/>
    </font>
    <font>
      <b/>
      <sz val="11"/>
      <color rgb="FF000000"/>
      <name val="游ゴシック"/>
      <family val="3"/>
      <charset val="128"/>
      <scheme val="minor"/>
    </font>
    <font>
      <b/>
      <sz val="14"/>
      <color theme="0"/>
      <name val="游ゴシック"/>
      <family val="3"/>
      <charset val="128"/>
      <scheme val="minor"/>
    </font>
    <font>
      <b/>
      <sz val="11"/>
      <name val="游ゴシック"/>
      <family val="3"/>
      <charset val="128"/>
      <scheme val="minor"/>
    </font>
    <font>
      <b/>
      <sz val="12"/>
      <color theme="0"/>
      <name val="游ゴシック"/>
      <family val="3"/>
      <charset val="128"/>
      <scheme val="minor"/>
    </font>
    <font>
      <b/>
      <u/>
      <sz val="11"/>
      <name val="游ゴシック"/>
      <family val="3"/>
      <charset val="128"/>
      <scheme val="minor"/>
    </font>
    <font>
      <b/>
      <sz val="11"/>
      <color rgb="FFFF0000"/>
      <name val="游ゴシック"/>
      <family val="3"/>
      <charset val="128"/>
      <scheme val="minor"/>
    </font>
    <font>
      <b/>
      <sz val="11"/>
      <color rgb="FFFFFFFF"/>
      <name val="游ゴシック"/>
      <family val="3"/>
      <charset val="128"/>
      <scheme val="minor"/>
    </font>
    <font>
      <b/>
      <u val="double"/>
      <sz val="11"/>
      <color rgb="FF000000"/>
      <name val="游ゴシック"/>
      <family val="3"/>
      <charset val="128"/>
      <scheme val="minor"/>
    </font>
    <font>
      <b/>
      <u val="double"/>
      <sz val="11"/>
      <name val="游ゴシック"/>
      <family val="3"/>
      <charset val="128"/>
      <scheme val="minor"/>
    </font>
    <font>
      <b/>
      <u val="double"/>
      <sz val="11"/>
      <color rgb="FFFF0000"/>
      <name val="游ゴシック"/>
      <family val="3"/>
      <charset val="128"/>
      <scheme val="minor"/>
    </font>
    <font>
      <b/>
      <sz val="20"/>
      <color theme="0"/>
      <name val="游ゴシック"/>
      <family val="3"/>
      <charset val="128"/>
      <scheme val="minor"/>
    </font>
    <font>
      <b/>
      <sz val="24"/>
      <color theme="0"/>
      <name val="游ゴシック"/>
      <family val="3"/>
      <charset val="128"/>
      <scheme val="minor"/>
    </font>
    <font>
      <b/>
      <sz val="18"/>
      <color theme="0"/>
      <name val="游ゴシック"/>
      <family val="3"/>
      <charset val="128"/>
      <scheme val="minor"/>
    </font>
    <font>
      <b/>
      <u/>
      <sz val="12"/>
      <name val="游ゴシック"/>
      <family val="3"/>
      <charset val="128"/>
    </font>
    <font>
      <b/>
      <u/>
      <sz val="16"/>
      <name val="游ゴシック"/>
      <family val="3"/>
      <charset val="128"/>
    </font>
    <font>
      <u/>
      <sz val="11"/>
      <name val="游ゴシック"/>
      <family val="3"/>
      <charset val="128"/>
    </font>
    <font>
      <b/>
      <u/>
      <sz val="10"/>
      <name val="游ゴシック"/>
      <family val="3"/>
      <charset val="128"/>
      <scheme val="minor"/>
    </font>
    <font>
      <b/>
      <sz val="18"/>
      <color rgb="FF000000"/>
      <name val="游ゴシック"/>
      <family val="3"/>
      <charset val="128"/>
      <scheme val="minor"/>
    </font>
    <font>
      <b/>
      <sz val="11"/>
      <color rgb="FFC00000"/>
      <name val="游ゴシック"/>
      <family val="3"/>
      <charset val="128"/>
    </font>
    <font>
      <b/>
      <sz val="11"/>
      <color rgb="FFC00000"/>
      <name val="游ゴシック"/>
      <family val="3"/>
      <charset val="128"/>
      <scheme val="minor"/>
    </font>
    <font>
      <b/>
      <u/>
      <sz val="11"/>
      <color theme="0"/>
      <name val="游ゴシック"/>
      <family val="3"/>
      <charset val="128"/>
      <scheme val="minor"/>
    </font>
    <font>
      <b/>
      <sz val="9"/>
      <color theme="0"/>
      <name val="游ゴシック"/>
      <family val="3"/>
      <charset val="128"/>
      <scheme val="minor"/>
    </font>
    <font>
      <sz val="9"/>
      <color theme="0"/>
      <name val="游ゴシック"/>
      <family val="3"/>
      <charset val="128"/>
      <scheme val="minor"/>
    </font>
    <font>
      <b/>
      <sz val="14"/>
      <name val="游ゴシック"/>
      <family val="3"/>
      <charset val="128"/>
      <scheme val="minor"/>
    </font>
    <font>
      <sz val="11"/>
      <color theme="4"/>
      <name val="游ゴシック"/>
      <family val="3"/>
      <charset val="128"/>
      <scheme val="minor"/>
    </font>
    <font>
      <b/>
      <u/>
      <sz val="12"/>
      <color theme="4"/>
      <name val="游ゴシック"/>
      <family val="3"/>
      <charset val="128"/>
      <scheme val="minor"/>
    </font>
    <font>
      <b/>
      <u/>
      <sz val="12"/>
      <color theme="4"/>
      <name val="游ゴシック"/>
      <family val="3"/>
      <charset val="128"/>
    </font>
    <font>
      <b/>
      <sz val="11"/>
      <color theme="4"/>
      <name val="游ゴシック"/>
      <family val="3"/>
      <charset val="128"/>
      <scheme val="minor"/>
    </font>
    <font>
      <u/>
      <sz val="12"/>
      <color theme="4"/>
      <name val="游ゴシック"/>
      <family val="3"/>
      <charset val="128"/>
    </font>
    <font>
      <b/>
      <sz val="11"/>
      <color theme="3"/>
      <name val="游ゴシック"/>
      <family val="3"/>
      <charset val="128"/>
      <scheme val="minor"/>
    </font>
  </fonts>
  <fills count="15">
    <fill>
      <patternFill patternType="none"/>
    </fill>
    <fill>
      <patternFill patternType="gray125"/>
    </fill>
    <fill>
      <patternFill patternType="solid">
        <fgColor rgb="FFFFFF00"/>
        <bgColor rgb="FFFFFF00"/>
      </patternFill>
    </fill>
    <fill>
      <patternFill patternType="solid">
        <fgColor rgb="FFBDD7EE"/>
        <bgColor rgb="FFCCCCCC"/>
      </patternFill>
    </fill>
    <fill>
      <patternFill patternType="solid">
        <fgColor rgb="FFDEEBF7"/>
        <bgColor rgb="FFF3F3F3"/>
      </patternFill>
    </fill>
    <fill>
      <patternFill patternType="solid">
        <fgColor rgb="FF4472C4"/>
        <bgColor rgb="FF666699"/>
      </patternFill>
    </fill>
    <fill>
      <patternFill patternType="solid">
        <fgColor rgb="FFFFFF00"/>
        <bgColor indexed="64"/>
      </patternFill>
    </fill>
    <fill>
      <patternFill patternType="solid">
        <fgColor theme="4"/>
        <bgColor indexed="64"/>
      </patternFill>
    </fill>
    <fill>
      <patternFill patternType="solid">
        <fgColor theme="0"/>
        <bgColor indexed="64"/>
      </patternFill>
    </fill>
    <fill>
      <patternFill patternType="solid">
        <fgColor rgb="FF0070C0"/>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rgb="FFFF0000"/>
        <bgColor indexed="64"/>
      </patternFill>
    </fill>
    <fill>
      <patternFill patternType="solid">
        <fgColor theme="4"/>
        <bgColor rgb="FFFFFF00"/>
      </patternFill>
    </fill>
    <fill>
      <patternFill patternType="solid">
        <fgColor rgb="FFFFFF00"/>
        <bgColor rgb="FFF3F3F3"/>
      </patternFill>
    </fill>
  </fills>
  <borders count="143">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auto="1"/>
      </right>
      <top style="medium">
        <color auto="1"/>
      </top>
      <bottom style="medium">
        <color auto="1"/>
      </bottom>
      <diagonal/>
    </border>
    <border>
      <left/>
      <right/>
      <top/>
      <bottom style="thin">
        <color auto="1"/>
      </bottom>
      <diagonal/>
    </border>
    <border>
      <left style="thin">
        <color auto="1"/>
      </left>
      <right style="thin">
        <color auto="1"/>
      </right>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style="thin">
        <color auto="1"/>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auto="1"/>
      </left>
      <right/>
      <top/>
      <bottom style="thin">
        <color auto="1"/>
      </bottom>
      <diagonal/>
    </border>
    <border>
      <left/>
      <right/>
      <top/>
      <bottom style="thick">
        <color theme="4" tint="0.79998168889431442"/>
      </bottom>
      <diagonal/>
    </border>
    <border>
      <left/>
      <right/>
      <top style="thick">
        <color theme="4" tint="0.79998168889431442"/>
      </top>
      <bottom style="thick">
        <color theme="4" tint="0.79998168889431442"/>
      </bottom>
      <diagonal/>
    </border>
    <border>
      <left/>
      <right/>
      <top/>
      <bottom style="thick">
        <color theme="3"/>
      </bottom>
      <diagonal/>
    </border>
    <border>
      <left/>
      <right/>
      <top style="thick">
        <color theme="3"/>
      </top>
      <bottom style="thick">
        <color theme="3"/>
      </bottom>
      <diagonal/>
    </border>
    <border>
      <left style="medium">
        <color theme="1"/>
      </left>
      <right style="medium">
        <color theme="1"/>
      </right>
      <top style="medium">
        <color theme="1"/>
      </top>
      <bottom style="medium">
        <color theme="1"/>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style="medium">
        <color theme="1"/>
      </left>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medium">
        <color theme="1"/>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medium">
        <color theme="1"/>
      </left>
      <right style="thin">
        <color theme="1"/>
      </right>
      <top/>
      <bottom style="thin">
        <color theme="1"/>
      </bottom>
      <diagonal/>
    </border>
    <border>
      <left style="thin">
        <color theme="1"/>
      </left>
      <right style="medium">
        <color theme="1"/>
      </right>
      <top/>
      <bottom style="thin">
        <color theme="1"/>
      </bottom>
      <diagonal/>
    </border>
    <border>
      <left style="medium">
        <color theme="1"/>
      </left>
      <right style="thin">
        <color theme="1"/>
      </right>
      <top style="thin">
        <color theme="1"/>
      </top>
      <bottom style="thin">
        <color theme="1"/>
      </bottom>
      <diagonal/>
    </border>
    <border>
      <left style="thin">
        <color theme="1"/>
      </left>
      <right style="medium">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right style="thin">
        <color auto="1"/>
      </right>
      <top style="thin">
        <color auto="1"/>
      </top>
      <bottom/>
      <diagonal/>
    </border>
    <border>
      <left style="medium">
        <color theme="1"/>
      </left>
      <right style="thin">
        <color auto="1"/>
      </right>
      <top style="medium">
        <color theme="1"/>
      </top>
      <bottom/>
      <diagonal/>
    </border>
    <border>
      <left style="thin">
        <color auto="1"/>
      </left>
      <right style="thin">
        <color auto="1"/>
      </right>
      <top style="medium">
        <color theme="1"/>
      </top>
      <bottom/>
      <diagonal/>
    </border>
    <border>
      <left/>
      <right style="medium">
        <color theme="1"/>
      </right>
      <top style="medium">
        <color theme="1"/>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style="thin">
        <color auto="1"/>
      </left>
      <right/>
      <top style="medium">
        <color theme="1"/>
      </top>
      <bottom/>
      <diagonal/>
    </border>
    <border>
      <left style="medium">
        <color theme="1"/>
      </left>
      <right style="thin">
        <color auto="1"/>
      </right>
      <top style="thin">
        <color auto="1"/>
      </top>
      <bottom style="medium">
        <color theme="1"/>
      </bottom>
      <diagonal/>
    </border>
    <border>
      <left style="medium">
        <color indexed="64"/>
      </left>
      <right style="thin">
        <color auto="1"/>
      </right>
      <top style="thin">
        <color auto="1"/>
      </top>
      <bottom style="medium">
        <color theme="1"/>
      </bottom>
      <diagonal/>
    </border>
    <border>
      <left style="medium">
        <color indexed="64"/>
      </left>
      <right/>
      <top/>
      <bottom style="medium">
        <color theme="1"/>
      </bottom>
      <diagonal/>
    </border>
    <border>
      <left style="medium">
        <color theme="1"/>
      </left>
      <right style="thin">
        <color auto="1"/>
      </right>
      <top/>
      <bottom style="thin">
        <color auto="1"/>
      </bottom>
      <diagonal/>
    </border>
    <border>
      <left style="medium">
        <color indexed="64"/>
      </left>
      <right style="thin">
        <color auto="1"/>
      </right>
      <top/>
      <bottom style="thin">
        <color auto="1"/>
      </bottom>
      <diagonal/>
    </border>
    <border>
      <left/>
      <right/>
      <top style="thick">
        <color theme="4" tint="0.79998168889431442"/>
      </top>
      <bottom/>
      <diagonal/>
    </border>
    <border>
      <left style="medium">
        <color theme="4" tint="0.79998168889431442"/>
      </left>
      <right/>
      <top/>
      <bottom/>
      <diagonal/>
    </border>
    <border>
      <left style="thick">
        <color theme="4" tint="0.79998168889431442"/>
      </left>
      <right/>
      <top style="thick">
        <color theme="4" tint="0.79998168889431442"/>
      </top>
      <bottom/>
      <diagonal/>
    </border>
    <border>
      <left/>
      <right style="thick">
        <color theme="4" tint="0.79998168889431442"/>
      </right>
      <top/>
      <bottom/>
      <diagonal/>
    </border>
    <border>
      <left style="thick">
        <color theme="4" tint="0.79998168889431442"/>
      </left>
      <right/>
      <top/>
      <bottom style="thick">
        <color theme="4" tint="0.79998168889431442"/>
      </bottom>
      <diagonal/>
    </border>
    <border>
      <left style="thick">
        <color theme="4" tint="0.79998168889431442"/>
      </left>
      <right/>
      <top/>
      <bottom/>
      <diagonal/>
    </border>
    <border>
      <left style="thick">
        <color theme="4" tint="0.79998168889431442"/>
      </left>
      <right/>
      <top style="thick">
        <color theme="4" tint="0.79998168889431442"/>
      </top>
      <bottom style="thick">
        <color theme="4" tint="0.79998168889431442"/>
      </bottom>
      <diagonal/>
    </border>
    <border>
      <left/>
      <right style="thick">
        <color theme="4" tint="0.79998168889431442"/>
      </right>
      <top/>
      <bottom style="thick">
        <color theme="4" tint="0.79998168889431442"/>
      </bottom>
      <diagonal/>
    </border>
    <border>
      <left/>
      <right style="thick">
        <color theme="4" tint="0.79998168889431442"/>
      </right>
      <top style="thick">
        <color theme="4" tint="0.79998168889431442"/>
      </top>
      <bottom/>
      <diagonal/>
    </border>
    <border>
      <left/>
      <right style="thick">
        <color theme="4" tint="0.79998168889431442"/>
      </right>
      <top style="thick">
        <color theme="4" tint="0.79998168889431442"/>
      </top>
      <bottom style="thick">
        <color theme="4" tint="0.79998168889431442"/>
      </bottom>
      <diagonal/>
    </border>
    <border>
      <left/>
      <right style="thin">
        <color auto="1"/>
      </right>
      <top style="medium">
        <color indexed="64"/>
      </top>
      <bottom style="medium">
        <color indexed="64"/>
      </bottom>
      <diagonal/>
    </border>
    <border>
      <left style="medium">
        <color indexed="64"/>
      </left>
      <right style="thin">
        <color theme="1"/>
      </right>
      <top style="thin">
        <color theme="1"/>
      </top>
      <bottom style="thin">
        <color theme="1"/>
      </bottom>
      <diagonal/>
    </border>
    <border>
      <left style="thin">
        <color theme="1"/>
      </left>
      <right style="medium">
        <color indexed="64"/>
      </right>
      <top style="thin">
        <color theme="1"/>
      </top>
      <bottom style="thin">
        <color theme="1"/>
      </bottom>
      <diagonal/>
    </border>
    <border>
      <left style="thin">
        <color auto="1"/>
      </left>
      <right style="medium">
        <color indexed="64"/>
      </right>
      <top style="thin">
        <color auto="1"/>
      </top>
      <bottom style="thin">
        <color auto="1"/>
      </bottom>
      <diagonal/>
    </border>
    <border>
      <left style="medium">
        <color indexed="64"/>
      </left>
      <right style="thin">
        <color theme="1"/>
      </right>
      <top style="thin">
        <color theme="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medium">
        <color indexed="64"/>
      </bottom>
      <diagonal/>
    </border>
    <border>
      <left/>
      <right/>
      <top style="thick">
        <color theme="3"/>
      </top>
      <bottom style="thick">
        <color theme="4" tint="-0.249977111117893"/>
      </bottom>
      <diagonal/>
    </border>
    <border>
      <left/>
      <right style="thick">
        <color theme="4" tint="0.79998168889431442"/>
      </right>
      <top/>
      <bottom style="thick">
        <color theme="4" tint="-0.249977111117893"/>
      </bottom>
      <diagonal/>
    </border>
    <border>
      <left/>
      <right style="thick">
        <color theme="4" tint="0.79998168889431442"/>
      </right>
      <top style="thick">
        <color theme="4" tint="-0.249977111117893"/>
      </top>
      <bottom style="thick">
        <color theme="4" tint="-0.249977111117893"/>
      </bottom>
      <diagonal/>
    </border>
    <border>
      <left style="medium">
        <color theme="4" tint="-0.249977111117893"/>
      </left>
      <right style="medium">
        <color theme="4" tint="-0.249977111117893"/>
      </right>
      <top/>
      <bottom/>
      <diagonal/>
    </border>
    <border>
      <left style="thin">
        <color theme="4" tint="-0.249977111117893"/>
      </left>
      <right style="thin">
        <color theme="4" tint="-0.249977111117893"/>
      </right>
      <top style="thin">
        <color theme="4" tint="-0.249977111117893"/>
      </top>
      <bottom style="thin">
        <color theme="4" tint="-0.249977111117893"/>
      </bottom>
      <diagonal/>
    </border>
    <border>
      <left/>
      <right/>
      <top style="medium">
        <color indexed="64"/>
      </top>
      <bottom/>
      <diagonal/>
    </border>
    <border>
      <left style="thin">
        <color theme="4" tint="-0.249977111117893"/>
      </left>
      <right style="thin">
        <color theme="4" tint="-0.249977111117893"/>
      </right>
      <top/>
      <bottom style="thin">
        <color theme="4" tint="-0.249977111117893"/>
      </bottom>
      <diagonal/>
    </border>
    <border>
      <left style="thin">
        <color theme="4" tint="-0.249977111117893"/>
      </left>
      <right style="medium">
        <color theme="4" tint="-0.249977111117893"/>
      </right>
      <top/>
      <bottom style="thin">
        <color theme="4" tint="-0.249977111117893"/>
      </bottom>
      <diagonal/>
    </border>
    <border>
      <left style="thin">
        <color theme="4" tint="-0.249977111117893"/>
      </left>
      <right style="medium">
        <color theme="4" tint="-0.249977111117893"/>
      </right>
      <top style="thin">
        <color theme="4" tint="-0.249977111117893"/>
      </top>
      <bottom style="thin">
        <color theme="4" tint="-0.249977111117893"/>
      </bottom>
      <diagonal/>
    </border>
    <border>
      <left style="thin">
        <color theme="4" tint="-0.249977111117893"/>
      </left>
      <right style="thin">
        <color theme="4" tint="-0.249977111117893"/>
      </right>
      <top style="thin">
        <color theme="4" tint="-0.249977111117893"/>
      </top>
      <bottom style="medium">
        <color theme="4" tint="-0.249977111117893"/>
      </bottom>
      <diagonal/>
    </border>
    <border>
      <left style="thin">
        <color theme="4" tint="-0.249977111117893"/>
      </left>
      <right style="medium">
        <color theme="4" tint="-0.249977111117893"/>
      </right>
      <top style="thin">
        <color theme="4" tint="-0.249977111117893"/>
      </top>
      <bottom style="medium">
        <color theme="4" tint="-0.249977111117893"/>
      </bottom>
      <diagonal/>
    </border>
    <border>
      <left style="medium">
        <color theme="4" tint="-0.249977111117893"/>
      </left>
      <right style="medium">
        <color theme="4" tint="-0.249977111117893"/>
      </right>
      <top style="medium">
        <color theme="1"/>
      </top>
      <bottom/>
      <diagonal/>
    </border>
    <border>
      <left style="medium">
        <color theme="4" tint="-0.249977111117893"/>
      </left>
      <right style="medium">
        <color theme="4" tint="-0.249977111117893"/>
      </right>
      <top style="medium">
        <color theme="1"/>
      </top>
      <bottom style="medium">
        <color theme="4" tint="-0.249977111117893"/>
      </bottom>
      <diagonal/>
    </border>
    <border>
      <left style="medium">
        <color theme="4" tint="-0.249977111117893"/>
      </left>
      <right style="medium">
        <color theme="1"/>
      </right>
      <top style="medium">
        <color theme="4" tint="-0.249977111117893"/>
      </top>
      <bottom style="medium">
        <color theme="1"/>
      </bottom>
      <diagonal/>
    </border>
    <border>
      <left style="medium">
        <color theme="1"/>
      </left>
      <right style="medium">
        <color theme="1"/>
      </right>
      <top style="medium">
        <color theme="4" tint="-0.249977111117893"/>
      </top>
      <bottom style="medium">
        <color theme="1"/>
      </bottom>
      <diagonal/>
    </border>
    <border>
      <left style="medium">
        <color theme="1"/>
      </left>
      <right style="medium">
        <color theme="4" tint="-0.249977111117893"/>
      </right>
      <top style="medium">
        <color theme="4" tint="-0.249977111117893"/>
      </top>
      <bottom style="medium">
        <color theme="1"/>
      </bottom>
      <diagonal/>
    </border>
    <border>
      <left style="medium">
        <color theme="4" tint="-0.249977111117893"/>
      </left>
      <right style="medium">
        <color theme="1"/>
      </right>
      <top style="medium">
        <color theme="1"/>
      </top>
      <bottom/>
      <diagonal/>
    </border>
    <border>
      <left style="medium">
        <color theme="1"/>
      </left>
      <right style="medium">
        <color theme="4" tint="-0.249977111117893"/>
      </right>
      <top/>
      <bottom/>
      <diagonal/>
    </border>
    <border>
      <left style="medium">
        <color theme="4" tint="-0.249977111117893"/>
      </left>
      <right style="medium">
        <color theme="1"/>
      </right>
      <top/>
      <bottom/>
      <diagonal/>
    </border>
    <border>
      <left style="medium">
        <color theme="4" tint="-0.249977111117893"/>
      </left>
      <right style="medium">
        <color theme="1"/>
      </right>
      <top/>
      <bottom style="medium">
        <color theme="4" tint="-0.249977111117893"/>
      </bottom>
      <diagonal/>
    </border>
    <border>
      <left style="medium">
        <color theme="1"/>
      </left>
      <right style="medium">
        <color theme="1"/>
      </right>
      <top/>
      <bottom style="medium">
        <color theme="4" tint="-0.249977111117893"/>
      </bottom>
      <diagonal/>
    </border>
    <border>
      <left/>
      <right style="medium">
        <color theme="1"/>
      </right>
      <top/>
      <bottom style="medium">
        <color theme="4" tint="-0.249977111117893"/>
      </bottom>
      <diagonal/>
    </border>
    <border>
      <left style="medium">
        <color theme="1"/>
      </left>
      <right style="medium">
        <color theme="4" tint="-0.249977111117893"/>
      </right>
      <top/>
      <bottom style="medium">
        <color theme="4" tint="-0.249977111117893"/>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theme="4" tint="-0.249977111117893"/>
      </right>
      <top/>
      <bottom style="thin">
        <color theme="4" tint="-0.249977111117893"/>
      </bottom>
      <diagonal/>
    </border>
    <border>
      <left/>
      <right style="thin">
        <color theme="4" tint="-0.249977111117893"/>
      </right>
      <top style="thin">
        <color theme="4" tint="-0.249977111117893"/>
      </top>
      <bottom style="thin">
        <color theme="4" tint="-0.249977111117893"/>
      </bottom>
      <diagonal/>
    </border>
    <border>
      <left/>
      <right style="thin">
        <color theme="4" tint="-0.249977111117893"/>
      </right>
      <top style="thin">
        <color theme="4" tint="-0.249977111117893"/>
      </top>
      <bottom style="medium">
        <color theme="4" tint="-0.249977111117893"/>
      </bottom>
      <diagonal/>
    </border>
    <border>
      <left style="medium">
        <color theme="1"/>
      </left>
      <right/>
      <top style="medium">
        <color indexed="64"/>
      </top>
      <bottom style="medium">
        <color indexed="64"/>
      </bottom>
      <diagonal/>
    </border>
    <border>
      <left style="medium">
        <color theme="4" tint="0.79998168889431442"/>
      </left>
      <right/>
      <top style="thick">
        <color theme="4" tint="0.79998168889431442"/>
      </top>
      <bottom style="thick">
        <color theme="4" tint="0.79998168889431442"/>
      </bottom>
      <diagonal/>
    </border>
    <border>
      <left style="thin">
        <color theme="1"/>
      </left>
      <right style="thin">
        <color theme="1"/>
      </right>
      <top/>
      <bottom style="medium">
        <color indexed="64"/>
      </bottom>
      <diagonal/>
    </border>
    <border>
      <left style="thin">
        <color theme="1"/>
      </left>
      <right style="medium">
        <color indexed="64"/>
      </right>
      <top style="thin">
        <color theme="1"/>
      </top>
      <bottom style="medium">
        <color indexed="64"/>
      </bottom>
      <diagonal/>
    </border>
    <border>
      <left style="medium">
        <color indexed="64"/>
      </left>
      <right style="thin">
        <color theme="1"/>
      </right>
      <top style="medium">
        <color indexed="64"/>
      </top>
      <bottom/>
      <diagonal/>
    </border>
    <border>
      <left style="thin">
        <color theme="1"/>
      </left>
      <right style="thin">
        <color theme="1"/>
      </right>
      <top style="medium">
        <color indexed="64"/>
      </top>
      <bottom/>
      <diagonal/>
    </border>
    <border>
      <left style="thin">
        <color theme="1"/>
      </left>
      <right style="medium">
        <color indexed="64"/>
      </right>
      <top style="medium">
        <color indexed="64"/>
      </top>
      <bottom/>
      <diagonal/>
    </border>
    <border>
      <left style="medium">
        <color indexed="64"/>
      </left>
      <right style="thin">
        <color theme="1"/>
      </right>
      <top style="medium">
        <color indexed="64"/>
      </top>
      <bottom style="thin">
        <color theme="1"/>
      </bottom>
      <diagonal/>
    </border>
    <border>
      <left style="thin">
        <color theme="1"/>
      </left>
      <right style="thin">
        <color theme="1"/>
      </right>
      <top style="medium">
        <color indexed="64"/>
      </top>
      <bottom style="thin">
        <color theme="1"/>
      </bottom>
      <diagonal/>
    </border>
    <border>
      <left style="thin">
        <color theme="1"/>
      </left>
      <right style="medium">
        <color indexed="64"/>
      </right>
      <top style="medium">
        <color indexed="64"/>
      </top>
      <bottom style="thin">
        <color theme="1"/>
      </bottom>
      <diagonal/>
    </border>
    <border>
      <left style="medium">
        <color theme="4" tint="-0.249977111117893"/>
      </left>
      <right/>
      <top/>
      <bottom style="thin">
        <color theme="4" tint="-0.249977111117893"/>
      </bottom>
      <diagonal/>
    </border>
    <border>
      <left style="medium">
        <color theme="4" tint="-0.249977111117893"/>
      </left>
      <right/>
      <top style="thin">
        <color theme="4" tint="-0.249977111117893"/>
      </top>
      <bottom style="thin">
        <color theme="4" tint="-0.249977111117893"/>
      </bottom>
      <diagonal/>
    </border>
    <border>
      <left style="medium">
        <color theme="4" tint="-0.249977111117893"/>
      </left>
      <right/>
      <top style="thin">
        <color theme="4" tint="-0.249977111117893"/>
      </top>
      <bottom style="medium">
        <color theme="4" tint="-0.249977111117893"/>
      </bottom>
      <diagonal/>
    </border>
    <border>
      <left/>
      <right/>
      <top/>
      <bottom style="medium">
        <color theme="4" tint="-0.249977111117893"/>
      </bottom>
      <diagonal/>
    </border>
    <border>
      <left style="medium">
        <color indexed="64"/>
      </left>
      <right style="thin">
        <color theme="4" tint="-0.249977111117893"/>
      </right>
      <top/>
      <bottom style="thin">
        <color theme="4" tint="-0.249977111117893"/>
      </bottom>
      <diagonal/>
    </border>
    <border>
      <left style="thin">
        <color theme="4" tint="-0.249977111117893"/>
      </left>
      <right style="medium">
        <color indexed="64"/>
      </right>
      <top/>
      <bottom style="thin">
        <color theme="4" tint="-0.249977111117893"/>
      </bottom>
      <diagonal/>
    </border>
    <border>
      <left style="medium">
        <color indexed="64"/>
      </left>
      <right style="thin">
        <color theme="4" tint="-0.249977111117893"/>
      </right>
      <top style="thin">
        <color theme="4" tint="-0.249977111117893"/>
      </top>
      <bottom style="thin">
        <color theme="4" tint="-0.249977111117893"/>
      </bottom>
      <diagonal/>
    </border>
    <border>
      <left style="medium">
        <color indexed="64"/>
      </left>
      <right style="thin">
        <color theme="4" tint="-0.249977111117893"/>
      </right>
      <top style="thin">
        <color theme="4" tint="-0.249977111117893"/>
      </top>
      <bottom style="medium">
        <color indexed="64"/>
      </bottom>
      <diagonal/>
    </border>
    <border>
      <left style="thin">
        <color theme="4" tint="-0.249977111117893"/>
      </left>
      <right style="medium">
        <color indexed="64"/>
      </right>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bottom style="thin">
        <color auto="1"/>
      </bottom>
      <diagonal/>
    </border>
    <border>
      <left/>
      <right style="medium">
        <color indexed="64"/>
      </right>
      <top style="medium">
        <color indexed="64"/>
      </top>
      <bottom/>
      <diagonal/>
    </border>
    <border>
      <left/>
      <right style="medium">
        <color indexed="64"/>
      </right>
      <top/>
      <bottom style="medium">
        <color indexed="64"/>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top style="medium">
        <color indexed="64"/>
      </top>
      <bottom style="thin">
        <color auto="1"/>
      </bottom>
      <diagonal/>
    </border>
    <border>
      <left style="thin">
        <color auto="1"/>
      </left>
      <right/>
      <top style="thin">
        <color auto="1"/>
      </top>
      <bottom style="medium">
        <color indexed="64"/>
      </bottom>
      <diagonal/>
    </border>
    <border>
      <left/>
      <right style="medium">
        <color theme="1"/>
      </right>
      <top style="medium">
        <color theme="1"/>
      </top>
      <bottom/>
      <diagonal/>
    </border>
    <border>
      <left style="medium">
        <color indexed="64"/>
      </left>
      <right/>
      <top style="thin">
        <color auto="1"/>
      </top>
      <bottom style="thin">
        <color auto="1"/>
      </bottom>
      <diagonal/>
    </border>
    <border>
      <left style="thin">
        <color auto="1"/>
      </left>
      <right style="medium">
        <color indexed="64"/>
      </right>
      <top style="thin">
        <color auto="1"/>
      </top>
      <bottom/>
      <diagonal/>
    </border>
    <border>
      <left style="medium">
        <color indexed="64"/>
      </left>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theme="1"/>
      </left>
      <right style="thin">
        <color auto="1"/>
      </right>
      <top style="medium">
        <color indexed="64"/>
      </top>
      <bottom style="medium">
        <color indexed="64"/>
      </bottom>
      <diagonal/>
    </border>
    <border>
      <left style="medium">
        <color theme="1"/>
      </left>
      <right style="medium">
        <color indexed="64"/>
      </right>
      <top style="medium">
        <color indexed="64"/>
      </top>
      <bottom style="medium">
        <color indexed="64"/>
      </bottom>
      <diagonal/>
    </border>
    <border>
      <left/>
      <right style="thick">
        <color theme="4"/>
      </right>
      <top/>
      <bottom/>
      <diagonal/>
    </border>
    <border>
      <left style="thick">
        <color theme="4"/>
      </left>
      <right/>
      <top/>
      <bottom/>
      <diagonal/>
    </border>
    <border>
      <left/>
      <right/>
      <top style="medium">
        <color theme="1"/>
      </top>
      <bottom/>
      <diagonal/>
    </border>
    <border>
      <left style="medium">
        <color theme="1"/>
      </left>
      <right style="thin">
        <color auto="1"/>
      </right>
      <top/>
      <bottom style="medium">
        <color theme="1"/>
      </bottom>
      <diagonal/>
    </border>
  </borders>
  <cellStyleXfs count="2">
    <xf numFmtId="0" fontId="0" fillId="0" borderId="0">
      <alignment vertical="center"/>
    </xf>
    <xf numFmtId="0" fontId="1" fillId="0" borderId="0" applyBorder="0" applyProtection="0">
      <alignment vertical="center"/>
    </xf>
  </cellStyleXfs>
  <cellXfs count="412">
    <xf numFmtId="0" fontId="0" fillId="0" borderId="0" xfId="0">
      <alignment vertical="center"/>
    </xf>
    <xf numFmtId="0" fontId="2" fillId="0" borderId="5" xfId="0" applyFont="1" applyBorder="1">
      <alignment vertical="center"/>
    </xf>
    <xf numFmtId="0" fontId="2" fillId="0" borderId="0" xfId="0" applyFont="1">
      <alignment vertical="center"/>
    </xf>
    <xf numFmtId="0" fontId="6" fillId="0" borderId="0" xfId="0" applyFont="1">
      <alignment vertical="center"/>
    </xf>
    <xf numFmtId="0" fontId="7" fillId="0" borderId="0" xfId="0" applyFont="1">
      <alignment vertical="center"/>
    </xf>
    <xf numFmtId="0" fontId="2" fillId="0" borderId="1" xfId="0" applyFont="1" applyBorder="1">
      <alignment vertical="center"/>
    </xf>
    <xf numFmtId="0" fontId="0" fillId="0" borderId="0" xfId="0" applyAlignment="1">
      <alignment vertical="center" wrapText="1"/>
    </xf>
    <xf numFmtId="0" fontId="8" fillId="0" borderId="0" xfId="0" applyFont="1">
      <alignment vertical="center"/>
    </xf>
    <xf numFmtId="0" fontId="0" fillId="7" borderId="0" xfId="0" applyFill="1">
      <alignment vertical="center"/>
    </xf>
    <xf numFmtId="0" fontId="11" fillId="7" borderId="0" xfId="0" applyFont="1" applyFill="1">
      <alignment vertical="center"/>
    </xf>
    <xf numFmtId="0" fontId="13" fillId="0" borderId="0" xfId="1" applyFont="1">
      <alignment vertical="center"/>
    </xf>
    <xf numFmtId="0" fontId="2" fillId="0" borderId="36" xfId="0" applyFont="1" applyBorder="1">
      <alignment vertical="center"/>
    </xf>
    <xf numFmtId="0" fontId="2" fillId="0" borderId="37" xfId="0" applyFont="1" applyBorder="1">
      <alignment vertical="center"/>
    </xf>
    <xf numFmtId="0" fontId="2" fillId="0" borderId="38" xfId="0" applyFont="1" applyBorder="1">
      <alignment vertical="center"/>
    </xf>
    <xf numFmtId="0" fontId="2" fillId="0" borderId="39" xfId="0" applyFont="1" applyBorder="1">
      <alignment vertical="center"/>
    </xf>
    <xf numFmtId="0" fontId="2" fillId="0" borderId="41" xfId="0" applyFont="1" applyBorder="1">
      <alignment vertical="center"/>
    </xf>
    <xf numFmtId="0" fontId="2" fillId="0" borderId="43" xfId="0" applyFont="1" applyBorder="1">
      <alignment vertical="center"/>
    </xf>
    <xf numFmtId="0" fontId="3" fillId="0" borderId="0" xfId="0" applyFont="1">
      <alignment vertical="center"/>
    </xf>
    <xf numFmtId="0" fontId="9" fillId="11" borderId="0" xfId="0" applyFont="1" applyFill="1">
      <alignment vertical="center"/>
    </xf>
    <xf numFmtId="0" fontId="13" fillId="6" borderId="50" xfId="1" applyFont="1" applyFill="1" applyBorder="1">
      <alignment vertical="center"/>
    </xf>
    <xf numFmtId="0" fontId="14" fillId="6" borderId="49" xfId="0" applyFont="1" applyFill="1" applyBorder="1">
      <alignment vertical="center"/>
    </xf>
    <xf numFmtId="0" fontId="0" fillId="11" borderId="0" xfId="0" applyFill="1">
      <alignment vertical="center"/>
    </xf>
    <xf numFmtId="0" fontId="12" fillId="11" borderId="0" xfId="1" applyFont="1" applyFill="1" applyBorder="1">
      <alignment vertical="center"/>
    </xf>
    <xf numFmtId="49" fontId="9" fillId="11" borderId="0" xfId="0" applyNumberFormat="1" applyFont="1" applyFill="1">
      <alignment vertical="center"/>
    </xf>
    <xf numFmtId="0" fontId="0" fillId="6" borderId="51" xfId="0" applyFill="1" applyBorder="1">
      <alignment vertical="center"/>
    </xf>
    <xf numFmtId="0" fontId="0" fillId="6" borderId="49" xfId="0" applyFill="1" applyBorder="1">
      <alignment vertical="center"/>
    </xf>
    <xf numFmtId="0" fontId="11" fillId="13" borderId="0" xfId="0" applyFont="1" applyFill="1">
      <alignment vertical="center"/>
    </xf>
    <xf numFmtId="185" fontId="2" fillId="0" borderId="35" xfId="0" applyNumberFormat="1" applyFont="1" applyBorder="1" applyAlignment="1">
      <alignment horizontal="right" vertical="center"/>
    </xf>
    <xf numFmtId="185" fontId="2" fillId="0" borderId="34" xfId="0" applyNumberFormat="1" applyFont="1" applyBorder="1" applyAlignment="1">
      <alignment horizontal="right" vertical="center"/>
    </xf>
    <xf numFmtId="185" fontId="2" fillId="0" borderId="44" xfId="0" applyNumberFormat="1" applyFont="1" applyBorder="1" applyAlignment="1">
      <alignment horizontal="right" vertical="center"/>
    </xf>
    <xf numFmtId="0" fontId="2" fillId="0" borderId="35" xfId="0" applyFont="1" applyBorder="1" applyAlignment="1">
      <alignment horizontal="right" vertical="center"/>
    </xf>
    <xf numFmtId="0" fontId="2" fillId="0" borderId="40" xfId="0" applyFont="1" applyBorder="1" applyAlignment="1">
      <alignment horizontal="right" vertical="center"/>
    </xf>
    <xf numFmtId="0" fontId="2" fillId="0" borderId="34" xfId="0" applyFont="1" applyBorder="1" applyAlignment="1">
      <alignment horizontal="right" vertical="center"/>
    </xf>
    <xf numFmtId="0" fontId="2" fillId="0" borderId="42" xfId="0" applyFont="1" applyBorder="1" applyAlignment="1">
      <alignment horizontal="right" vertical="center"/>
    </xf>
    <xf numFmtId="0" fontId="2" fillId="0" borderId="44" xfId="0" applyFont="1" applyBorder="1" applyAlignment="1">
      <alignment horizontal="right" vertical="center"/>
    </xf>
    <xf numFmtId="0" fontId="2" fillId="0" borderId="45" xfId="0" applyFont="1" applyBorder="1" applyAlignment="1">
      <alignment horizontal="right" vertical="center"/>
    </xf>
    <xf numFmtId="0" fontId="15" fillId="7" borderId="0" xfId="0" applyFont="1" applyFill="1">
      <alignment vertical="center"/>
    </xf>
    <xf numFmtId="0" fontId="16" fillId="7" borderId="0" xfId="0" applyFont="1" applyFill="1">
      <alignment vertical="center"/>
    </xf>
    <xf numFmtId="0" fontId="17" fillId="7" borderId="0" xfId="0" applyFont="1" applyFill="1">
      <alignment vertical="center"/>
    </xf>
    <xf numFmtId="0" fontId="18" fillId="7" borderId="0" xfId="0" applyFont="1" applyFill="1">
      <alignment vertical="center"/>
    </xf>
    <xf numFmtId="0" fontId="19" fillId="10" borderId="0" xfId="0" applyFont="1" applyFill="1">
      <alignment vertical="center"/>
    </xf>
    <xf numFmtId="0" fontId="19" fillId="0" borderId="0" xfId="0" applyFont="1">
      <alignment vertical="center"/>
    </xf>
    <xf numFmtId="0" fontId="18" fillId="7" borderId="63" xfId="0" applyFont="1" applyFill="1" applyBorder="1">
      <alignment vertical="center"/>
    </xf>
    <xf numFmtId="0" fontId="21" fillId="7" borderId="63" xfId="0" applyFont="1" applyFill="1" applyBorder="1">
      <alignment vertical="center"/>
    </xf>
    <xf numFmtId="0" fontId="19" fillId="7" borderId="61" xfId="0" applyFont="1" applyFill="1" applyBorder="1">
      <alignment vertical="center"/>
    </xf>
    <xf numFmtId="0" fontId="15" fillId="7" borderId="63" xfId="0" applyFont="1" applyFill="1" applyBorder="1">
      <alignment vertical="center"/>
    </xf>
    <xf numFmtId="0" fontId="17" fillId="7" borderId="61" xfId="0" applyFont="1" applyFill="1" applyBorder="1">
      <alignment vertical="center"/>
    </xf>
    <xf numFmtId="0" fontId="17" fillId="7" borderId="20" xfId="0" applyFont="1" applyFill="1" applyBorder="1">
      <alignment vertical="center"/>
    </xf>
    <xf numFmtId="187" fontId="18" fillId="7" borderId="0" xfId="0" applyNumberFormat="1" applyFont="1" applyFill="1">
      <alignment vertical="center"/>
    </xf>
    <xf numFmtId="0" fontId="18" fillId="7" borderId="61" xfId="0" applyFont="1" applyFill="1" applyBorder="1">
      <alignment vertical="center"/>
    </xf>
    <xf numFmtId="0" fontId="19" fillId="7" borderId="0" xfId="0" applyFont="1" applyFill="1">
      <alignment vertical="center"/>
    </xf>
    <xf numFmtId="0" fontId="17" fillId="7" borderId="63" xfId="0" applyFont="1" applyFill="1" applyBorder="1">
      <alignment vertical="center"/>
    </xf>
    <xf numFmtId="0" fontId="19" fillId="7" borderId="63" xfId="0" applyFont="1" applyFill="1" applyBorder="1">
      <alignment vertical="center"/>
    </xf>
    <xf numFmtId="0" fontId="18" fillId="7" borderId="0" xfId="0" applyFont="1" applyFill="1" applyAlignment="1">
      <alignment horizontal="right" vertical="center"/>
    </xf>
    <xf numFmtId="0" fontId="18" fillId="7" borderId="62" xfId="0" applyFont="1" applyFill="1" applyBorder="1">
      <alignment vertical="center"/>
    </xf>
    <xf numFmtId="0" fontId="18" fillId="7" borderId="20" xfId="0" applyFont="1" applyFill="1" applyBorder="1">
      <alignment vertical="center"/>
    </xf>
    <xf numFmtId="0" fontId="22" fillId="7" borderId="20" xfId="0" applyFont="1" applyFill="1" applyBorder="1">
      <alignment vertical="center"/>
    </xf>
    <xf numFmtId="0" fontId="18" fillId="7" borderId="65" xfId="0" applyFont="1" applyFill="1" applyBorder="1">
      <alignment vertical="center"/>
    </xf>
    <xf numFmtId="0" fontId="23" fillId="7" borderId="0" xfId="0" applyFont="1" applyFill="1">
      <alignment vertical="center"/>
    </xf>
    <xf numFmtId="0" fontId="17" fillId="7" borderId="60" xfId="0" applyFont="1" applyFill="1" applyBorder="1">
      <alignment vertical="center"/>
    </xf>
    <xf numFmtId="0" fontId="19" fillId="7" borderId="20" xfId="0" applyFont="1" applyFill="1" applyBorder="1">
      <alignment vertical="center"/>
    </xf>
    <xf numFmtId="0" fontId="17" fillId="7" borderId="64" xfId="0" applyFont="1" applyFill="1" applyBorder="1">
      <alignment vertical="center"/>
    </xf>
    <xf numFmtId="0" fontId="18" fillId="7" borderId="21" xfId="0" applyFont="1" applyFill="1" applyBorder="1">
      <alignment vertical="center"/>
    </xf>
    <xf numFmtId="0" fontId="22" fillId="7" borderId="21" xfId="0" applyFont="1" applyFill="1" applyBorder="1">
      <alignment vertical="center"/>
    </xf>
    <xf numFmtId="0" fontId="20" fillId="7" borderId="0" xfId="0" applyFont="1" applyFill="1">
      <alignment vertical="center"/>
    </xf>
    <xf numFmtId="2" fontId="22" fillId="7" borderId="20" xfId="0" applyNumberFormat="1" applyFont="1" applyFill="1" applyBorder="1">
      <alignment vertical="center"/>
    </xf>
    <xf numFmtId="0" fontId="19" fillId="7" borderId="65" xfId="0" applyFont="1" applyFill="1" applyBorder="1">
      <alignment vertical="center"/>
    </xf>
    <xf numFmtId="0" fontId="17" fillId="7" borderId="21" xfId="0" applyFont="1" applyFill="1" applyBorder="1">
      <alignment vertical="center"/>
    </xf>
    <xf numFmtId="0" fontId="18" fillId="7" borderId="66" xfId="0" applyFont="1" applyFill="1" applyBorder="1">
      <alignment vertical="center"/>
    </xf>
    <xf numFmtId="0" fontId="19" fillId="7" borderId="66" xfId="0" applyFont="1" applyFill="1" applyBorder="1">
      <alignment vertical="center"/>
    </xf>
    <xf numFmtId="0" fontId="25" fillId="10" borderId="22" xfId="1" applyFont="1" applyFill="1" applyBorder="1">
      <alignment vertical="center"/>
    </xf>
    <xf numFmtId="0" fontId="23" fillId="10" borderId="0" xfId="0" applyFont="1" applyFill="1">
      <alignment vertical="center"/>
    </xf>
    <xf numFmtId="188" fontId="22" fillId="7" borderId="20" xfId="0" applyNumberFormat="1" applyFont="1" applyFill="1" applyBorder="1">
      <alignment vertical="center"/>
    </xf>
    <xf numFmtId="0" fontId="18" fillId="7" borderId="60" xfId="0" applyFont="1" applyFill="1" applyBorder="1">
      <alignment vertical="center"/>
    </xf>
    <xf numFmtId="0" fontId="18" fillId="7" borderId="21" xfId="0" applyFont="1" applyFill="1" applyBorder="1" applyAlignment="1">
      <alignment horizontal="right" vertical="center"/>
    </xf>
    <xf numFmtId="0" fontId="19" fillId="7" borderId="60" xfId="0" applyFont="1" applyFill="1" applyBorder="1">
      <alignment vertical="center"/>
    </xf>
    <xf numFmtId="0" fontId="19" fillId="7" borderId="58" xfId="0" applyFont="1" applyFill="1" applyBorder="1">
      <alignment vertical="center"/>
    </xf>
    <xf numFmtId="0" fontId="21" fillId="7" borderId="66" xfId="0" applyFont="1" applyFill="1" applyBorder="1">
      <alignment vertical="center"/>
    </xf>
    <xf numFmtId="0" fontId="21" fillId="7" borderId="61" xfId="0" applyFont="1" applyFill="1" applyBorder="1">
      <alignment vertical="center"/>
    </xf>
    <xf numFmtId="0" fontId="22" fillId="7" borderId="20" xfId="0" applyFont="1" applyFill="1" applyBorder="1" applyAlignment="1">
      <alignment horizontal="right" vertical="center"/>
    </xf>
    <xf numFmtId="0" fontId="22" fillId="7" borderId="65" xfId="0" applyFont="1" applyFill="1" applyBorder="1" applyAlignment="1">
      <alignment horizontal="left" vertical="center"/>
    </xf>
    <xf numFmtId="0" fontId="17" fillId="7" borderId="58" xfId="0" applyFont="1" applyFill="1" applyBorder="1">
      <alignment vertical="center"/>
    </xf>
    <xf numFmtId="0" fontId="19" fillId="7" borderId="67" xfId="0" applyFont="1" applyFill="1" applyBorder="1">
      <alignment vertical="center"/>
    </xf>
    <xf numFmtId="0" fontId="17" fillId="10" borderId="0" xfId="0" applyFont="1" applyFill="1">
      <alignment vertical="center"/>
    </xf>
    <xf numFmtId="0" fontId="21" fillId="10" borderId="32" xfId="0" applyFont="1" applyFill="1" applyBorder="1" applyAlignment="1">
      <alignment horizontal="right" vertical="center"/>
    </xf>
    <xf numFmtId="184" fontId="21" fillId="10" borderId="32" xfId="0" applyNumberFormat="1" applyFont="1" applyFill="1" applyBorder="1">
      <alignment vertical="center"/>
    </xf>
    <xf numFmtId="181" fontId="21" fillId="10" borderId="32" xfId="0" applyNumberFormat="1" applyFont="1" applyFill="1" applyBorder="1" applyAlignment="1">
      <alignment horizontal="right" vertical="center"/>
    </xf>
    <xf numFmtId="0" fontId="21" fillId="10" borderId="0" xfId="0" applyFont="1" applyFill="1">
      <alignment vertical="center"/>
    </xf>
    <xf numFmtId="0" fontId="21" fillId="10" borderId="24" xfId="0" applyFont="1" applyFill="1" applyBorder="1">
      <alignment vertical="center"/>
    </xf>
    <xf numFmtId="0" fontId="21" fillId="10" borderId="25" xfId="0" applyFont="1" applyFill="1" applyBorder="1">
      <alignment vertical="center"/>
    </xf>
    <xf numFmtId="0" fontId="21" fillId="10" borderId="30" xfId="0" applyFont="1" applyFill="1" applyBorder="1">
      <alignment vertical="center"/>
    </xf>
    <xf numFmtId="0" fontId="21" fillId="10" borderId="26" xfId="0" applyFont="1" applyFill="1" applyBorder="1">
      <alignment vertical="center"/>
    </xf>
    <xf numFmtId="0" fontId="21" fillId="10" borderId="27" xfId="0" applyFont="1" applyFill="1" applyBorder="1">
      <alignment vertical="center"/>
    </xf>
    <xf numFmtId="0" fontId="21" fillId="10" borderId="33" xfId="0" applyFont="1" applyFill="1" applyBorder="1">
      <alignment vertical="center"/>
    </xf>
    <xf numFmtId="177" fontId="21" fillId="10" borderId="0" xfId="0" applyNumberFormat="1" applyFont="1" applyFill="1">
      <alignment vertical="center"/>
    </xf>
    <xf numFmtId="0" fontId="22" fillId="7" borderId="0" xfId="0" applyFont="1" applyFill="1">
      <alignment vertical="center"/>
    </xf>
    <xf numFmtId="14" fontId="22" fillId="7" borderId="0" xfId="0" applyNumberFormat="1" applyFont="1" applyFill="1" applyAlignment="1">
      <alignment horizontal="left" vertical="center"/>
    </xf>
    <xf numFmtId="0" fontId="21" fillId="0" borderId="0" xfId="0" applyFont="1">
      <alignment vertical="center"/>
    </xf>
    <xf numFmtId="0" fontId="21" fillId="2" borderId="0" xfId="0" applyFont="1" applyFill="1" applyAlignment="1">
      <alignment horizontal="right" vertical="center"/>
    </xf>
    <xf numFmtId="0" fontId="21" fillId="0" borderId="0" xfId="0" applyFont="1" applyAlignment="1">
      <alignment horizontal="left" vertical="center"/>
    </xf>
    <xf numFmtId="0" fontId="23" fillId="0" borderId="0" xfId="0" applyFont="1">
      <alignment vertical="center"/>
    </xf>
    <xf numFmtId="0" fontId="26" fillId="0" borderId="0" xfId="0" applyFont="1">
      <alignment vertical="center"/>
    </xf>
    <xf numFmtId="0" fontId="21" fillId="4" borderId="1" xfId="0" applyFont="1" applyFill="1" applyBorder="1">
      <alignment vertical="center"/>
    </xf>
    <xf numFmtId="38" fontId="19" fillId="0" borderId="4" xfId="0" applyNumberFormat="1" applyFont="1" applyBorder="1">
      <alignment vertical="center"/>
    </xf>
    <xf numFmtId="0" fontId="19" fillId="0" borderId="19" xfId="0" applyFont="1" applyBorder="1">
      <alignment vertical="center"/>
    </xf>
    <xf numFmtId="38" fontId="21" fillId="4" borderId="1" xfId="0" applyNumberFormat="1" applyFont="1" applyFill="1" applyBorder="1">
      <alignment vertical="center"/>
    </xf>
    <xf numFmtId="0" fontId="21" fillId="0" borderId="5" xfId="0" applyFont="1" applyBorder="1">
      <alignment vertical="center"/>
    </xf>
    <xf numFmtId="0" fontId="19" fillId="0" borderId="5" xfId="0" applyFont="1" applyBorder="1">
      <alignment vertical="center"/>
    </xf>
    <xf numFmtId="0" fontId="19" fillId="0" borderId="2" xfId="0" applyFont="1" applyBorder="1">
      <alignment vertical="center"/>
    </xf>
    <xf numFmtId="0" fontId="21" fillId="0" borderId="0" xfId="0" applyFont="1" applyAlignment="1">
      <alignment horizontal="right" vertical="center"/>
    </xf>
    <xf numFmtId="0" fontId="21" fillId="0" borderId="1" xfId="0" applyFont="1" applyBorder="1">
      <alignment vertical="center"/>
    </xf>
    <xf numFmtId="38" fontId="21" fillId="0" borderId="1" xfId="0" applyNumberFormat="1" applyFont="1" applyBorder="1">
      <alignment vertical="center"/>
    </xf>
    <xf numFmtId="38" fontId="26" fillId="9" borderId="1" xfId="0" applyNumberFormat="1" applyFont="1" applyFill="1" applyBorder="1">
      <alignment vertical="center"/>
    </xf>
    <xf numFmtId="0" fontId="19" fillId="0" borderId="2" xfId="0" applyFont="1" applyBorder="1" applyAlignment="1">
      <alignment horizontal="right" vertical="center"/>
    </xf>
    <xf numFmtId="0" fontId="19" fillId="0" borderId="0" xfId="0" applyFont="1" applyAlignment="1">
      <alignment horizontal="right" vertical="center"/>
    </xf>
    <xf numFmtId="0" fontId="19" fillId="0" borderId="0" xfId="0" applyFont="1" applyAlignment="1">
      <alignment horizontal="left" vertical="center"/>
    </xf>
    <xf numFmtId="0" fontId="19" fillId="0" borderId="0" xfId="0" applyFont="1" applyAlignment="1">
      <alignment horizontal="center" vertical="center"/>
    </xf>
    <xf numFmtId="179" fontId="19" fillId="0" borderId="0" xfId="0" applyNumberFormat="1" applyFont="1">
      <alignment vertical="center"/>
    </xf>
    <xf numFmtId="0" fontId="28" fillId="0" borderId="0" xfId="0" applyFont="1">
      <alignment vertical="center"/>
    </xf>
    <xf numFmtId="0" fontId="21" fillId="0" borderId="47" xfId="0" applyFont="1" applyBorder="1">
      <alignment vertical="center"/>
    </xf>
    <xf numFmtId="0" fontId="21" fillId="0" borderId="48" xfId="0" applyFont="1" applyBorder="1">
      <alignment vertical="center"/>
    </xf>
    <xf numFmtId="0" fontId="21" fillId="0" borderId="52" xfId="0" applyFont="1" applyBorder="1">
      <alignment vertical="center"/>
    </xf>
    <xf numFmtId="0" fontId="21" fillId="0" borderId="28" xfId="0" applyFont="1" applyBorder="1">
      <alignment vertical="center"/>
    </xf>
    <xf numFmtId="0" fontId="21" fillId="0" borderId="25" xfId="0" applyFont="1" applyBorder="1">
      <alignment vertical="center"/>
    </xf>
    <xf numFmtId="0" fontId="21" fillId="0" borderId="50" xfId="0" applyFont="1" applyBorder="1">
      <alignment vertical="center"/>
    </xf>
    <xf numFmtId="0" fontId="21" fillId="0" borderId="56" xfId="0" applyFont="1" applyBorder="1">
      <alignment vertical="center"/>
    </xf>
    <xf numFmtId="0" fontId="21" fillId="0" borderId="57" xfId="0" applyFont="1" applyBorder="1">
      <alignment vertical="center"/>
    </xf>
    <xf numFmtId="0" fontId="21" fillId="0" borderId="19" xfId="0" applyFont="1" applyBorder="1">
      <alignment vertical="center"/>
    </xf>
    <xf numFmtId="0" fontId="21" fillId="0" borderId="31" xfId="0" applyFont="1" applyBorder="1">
      <alignment vertical="center"/>
    </xf>
    <xf numFmtId="0" fontId="21" fillId="0" borderId="27" xfId="0" applyFont="1" applyBorder="1">
      <alignment vertical="center"/>
    </xf>
    <xf numFmtId="0" fontId="21" fillId="0" borderId="53" xfId="0" applyFont="1" applyBorder="1">
      <alignment vertical="center"/>
    </xf>
    <xf numFmtId="0" fontId="21" fillId="0" borderId="54" xfId="0" applyFont="1" applyBorder="1">
      <alignment vertical="center"/>
    </xf>
    <xf numFmtId="0" fontId="21" fillId="0" borderId="55" xfId="0" applyFont="1" applyBorder="1">
      <alignment vertical="center"/>
    </xf>
    <xf numFmtId="49" fontId="19" fillId="0" borderId="2" xfId="0" applyNumberFormat="1" applyFont="1" applyBorder="1">
      <alignment vertical="center"/>
    </xf>
    <xf numFmtId="0" fontId="15" fillId="7" borderId="50" xfId="0" applyFont="1" applyFill="1" applyBorder="1">
      <alignment vertical="center"/>
    </xf>
    <xf numFmtId="0" fontId="29" fillId="6" borderId="7" xfId="0" applyFont="1" applyFill="1" applyBorder="1">
      <alignment vertical="center"/>
    </xf>
    <xf numFmtId="0" fontId="21" fillId="0" borderId="8" xfId="0" applyFont="1" applyBorder="1">
      <alignment vertical="center"/>
    </xf>
    <xf numFmtId="6" fontId="21" fillId="0" borderId="1" xfId="0" applyNumberFormat="1" applyFont="1" applyBorder="1">
      <alignment vertical="center"/>
    </xf>
    <xf numFmtId="14" fontId="18" fillId="7" borderId="0" xfId="0" applyNumberFormat="1" applyFont="1" applyFill="1">
      <alignment vertical="center"/>
    </xf>
    <xf numFmtId="6" fontId="21" fillId="0" borderId="9" xfId="0" applyNumberFormat="1" applyFont="1" applyBorder="1">
      <alignment vertical="center"/>
    </xf>
    <xf numFmtId="6" fontId="23" fillId="0" borderId="25" xfId="0" applyNumberFormat="1" applyFont="1" applyBorder="1">
      <alignment vertical="center"/>
    </xf>
    <xf numFmtId="6" fontId="23" fillId="0" borderId="9" xfId="0" applyNumberFormat="1" applyFont="1" applyBorder="1">
      <alignment vertical="center"/>
    </xf>
    <xf numFmtId="6" fontId="21" fillId="0" borderId="10" xfId="0" applyNumberFormat="1" applyFont="1" applyBorder="1">
      <alignment vertical="center"/>
    </xf>
    <xf numFmtId="6" fontId="23" fillId="0" borderId="26" xfId="0" applyNumberFormat="1" applyFont="1" applyBorder="1">
      <alignment vertical="center"/>
    </xf>
    <xf numFmtId="6" fontId="23" fillId="0" borderId="10" xfId="0" applyNumberFormat="1" applyFont="1" applyBorder="1">
      <alignment vertical="center"/>
    </xf>
    <xf numFmtId="6" fontId="26" fillId="0" borderId="1" xfId="0" applyNumberFormat="1" applyFont="1" applyBorder="1">
      <alignment vertical="center"/>
    </xf>
    <xf numFmtId="6" fontId="28" fillId="6" borderId="1" xfId="0" applyNumberFormat="1" applyFont="1" applyFill="1" applyBorder="1">
      <alignment vertical="center"/>
    </xf>
    <xf numFmtId="6" fontId="21" fillId="0" borderId="11" xfId="0" applyNumberFormat="1" applyFont="1" applyBorder="1">
      <alignment vertical="center"/>
    </xf>
    <xf numFmtId="6" fontId="23" fillId="0" borderId="27" xfId="0" applyNumberFormat="1" applyFont="1" applyBorder="1">
      <alignment vertical="center"/>
    </xf>
    <xf numFmtId="6" fontId="23" fillId="0" borderId="11" xfId="0" applyNumberFormat="1" applyFont="1" applyBorder="1">
      <alignment vertical="center"/>
    </xf>
    <xf numFmtId="6" fontId="21" fillId="0" borderId="0" xfId="0" applyNumberFormat="1" applyFont="1">
      <alignment vertical="center"/>
    </xf>
    <xf numFmtId="14" fontId="21" fillId="0" borderId="0" xfId="0" applyNumberFormat="1" applyFont="1">
      <alignment vertical="center"/>
    </xf>
    <xf numFmtId="6" fontId="23" fillId="0" borderId="0" xfId="0" applyNumberFormat="1" applyFont="1">
      <alignment vertical="center"/>
    </xf>
    <xf numFmtId="14" fontId="21" fillId="0" borderId="9" xfId="0" applyNumberFormat="1" applyFont="1" applyBorder="1">
      <alignment vertical="center"/>
    </xf>
    <xf numFmtId="6" fontId="21" fillId="0" borderId="16" xfId="0" applyNumberFormat="1" applyFont="1" applyBorder="1">
      <alignment vertical="center"/>
    </xf>
    <xf numFmtId="6" fontId="19" fillId="0" borderId="29" xfId="0" applyNumberFormat="1" applyFont="1" applyBorder="1">
      <alignment vertical="center"/>
    </xf>
    <xf numFmtId="6" fontId="19" fillId="0" borderId="0" xfId="0" applyNumberFormat="1" applyFont="1">
      <alignment vertical="center"/>
    </xf>
    <xf numFmtId="6" fontId="19" fillId="0" borderId="30" xfId="0" applyNumberFormat="1" applyFont="1" applyBorder="1">
      <alignment vertical="center"/>
    </xf>
    <xf numFmtId="14" fontId="21" fillId="0" borderId="10" xfId="0" applyNumberFormat="1" applyFont="1" applyBorder="1">
      <alignment vertical="center"/>
    </xf>
    <xf numFmtId="6" fontId="21" fillId="0" borderId="17" xfId="0" applyNumberFormat="1" applyFont="1" applyBorder="1">
      <alignment vertical="center"/>
    </xf>
    <xf numFmtId="14" fontId="21" fillId="0" borderId="11" xfId="0" applyNumberFormat="1" applyFont="1" applyBorder="1">
      <alignment vertical="center"/>
    </xf>
    <xf numFmtId="6" fontId="21" fillId="0" borderId="18" xfId="0" applyNumberFormat="1" applyFont="1" applyBorder="1">
      <alignment vertical="center"/>
    </xf>
    <xf numFmtId="6" fontId="19" fillId="0" borderId="50" xfId="0" applyNumberFormat="1" applyFont="1" applyBorder="1">
      <alignment vertical="center"/>
    </xf>
    <xf numFmtId="6" fontId="19" fillId="0" borderId="51" xfId="0" applyNumberFormat="1" applyFont="1" applyBorder="1">
      <alignment vertical="center"/>
    </xf>
    <xf numFmtId="6" fontId="19" fillId="0" borderId="49" xfId="0" applyNumberFormat="1" applyFont="1" applyBorder="1">
      <alignment vertical="center"/>
    </xf>
    <xf numFmtId="0" fontId="21" fillId="0" borderId="16" xfId="0" applyFont="1" applyBorder="1">
      <alignment vertical="center"/>
    </xf>
    <xf numFmtId="0" fontId="19" fillId="0" borderId="29" xfId="0" applyFont="1" applyBorder="1">
      <alignment vertical="center"/>
    </xf>
    <xf numFmtId="0" fontId="19" fillId="0" borderId="30" xfId="0" applyFont="1" applyBorder="1">
      <alignment vertical="center"/>
    </xf>
    <xf numFmtId="0" fontId="21" fillId="0" borderId="17" xfId="0" applyFont="1" applyBorder="1">
      <alignment vertical="center"/>
    </xf>
    <xf numFmtId="0" fontId="21" fillId="0" borderId="18" xfId="0" applyFont="1" applyBorder="1">
      <alignment vertical="center"/>
    </xf>
    <xf numFmtId="0" fontId="19" fillId="0" borderId="50" xfId="0" applyFont="1" applyBorder="1">
      <alignment vertical="center"/>
    </xf>
    <xf numFmtId="0" fontId="19" fillId="0" borderId="51" xfId="0" applyFont="1" applyBorder="1">
      <alignment vertical="center"/>
    </xf>
    <xf numFmtId="0" fontId="19" fillId="0" borderId="49" xfId="0" applyFont="1" applyBorder="1">
      <alignment vertical="center"/>
    </xf>
    <xf numFmtId="14" fontId="21" fillId="0" borderId="16" xfId="0" applyNumberFormat="1" applyFont="1" applyBorder="1">
      <alignment vertical="center"/>
    </xf>
    <xf numFmtId="14" fontId="21" fillId="0" borderId="17" xfId="0" applyNumberFormat="1" applyFont="1" applyBorder="1">
      <alignment vertical="center"/>
    </xf>
    <xf numFmtId="14" fontId="21" fillId="0" borderId="18" xfId="0" applyNumberFormat="1" applyFont="1" applyBorder="1">
      <alignment vertical="center"/>
    </xf>
    <xf numFmtId="0" fontId="31" fillId="7" borderId="63" xfId="0" applyFont="1" applyFill="1" applyBorder="1">
      <alignment vertical="center"/>
    </xf>
    <xf numFmtId="0" fontId="31" fillId="7" borderId="0" xfId="0" applyFont="1" applyFill="1">
      <alignment vertical="center"/>
    </xf>
    <xf numFmtId="0" fontId="32" fillId="7" borderId="0" xfId="0" applyFont="1" applyFill="1">
      <alignment vertical="center"/>
    </xf>
    <xf numFmtId="0" fontId="31" fillId="7" borderId="59" xfId="0" applyFont="1" applyFill="1" applyBorder="1" applyAlignment="1">
      <alignment horizontal="right" vertical="center"/>
    </xf>
    <xf numFmtId="0" fontId="31" fillId="7" borderId="0" xfId="0" applyFont="1" applyFill="1" applyAlignment="1">
      <alignment horizontal="left" vertical="center"/>
    </xf>
    <xf numFmtId="0" fontId="33" fillId="7" borderId="0" xfId="0" applyFont="1" applyFill="1">
      <alignment vertical="center"/>
    </xf>
    <xf numFmtId="0" fontId="34" fillId="6" borderId="50" xfId="1" applyFont="1" applyFill="1" applyBorder="1">
      <alignment vertical="center"/>
    </xf>
    <xf numFmtId="0" fontId="26" fillId="10" borderId="0" xfId="0" applyFont="1" applyFill="1">
      <alignment vertical="center"/>
    </xf>
    <xf numFmtId="6" fontId="21" fillId="8" borderId="1" xfId="0" applyNumberFormat="1" applyFont="1" applyFill="1" applyBorder="1">
      <alignment vertical="center"/>
    </xf>
    <xf numFmtId="0" fontId="36" fillId="0" borderId="0" xfId="1" applyFont="1">
      <alignment vertical="center"/>
    </xf>
    <xf numFmtId="0" fontId="10" fillId="0" borderId="15" xfId="0" applyFont="1" applyBorder="1">
      <alignment vertical="center"/>
    </xf>
    <xf numFmtId="0" fontId="10" fillId="0" borderId="8" xfId="0" applyFont="1" applyBorder="1">
      <alignment vertical="center"/>
    </xf>
    <xf numFmtId="0" fontId="10" fillId="0" borderId="68" xfId="0" applyFont="1" applyBorder="1">
      <alignment vertical="center"/>
    </xf>
    <xf numFmtId="0" fontId="10" fillId="0" borderId="0" xfId="0" applyFont="1">
      <alignment vertical="center"/>
    </xf>
    <xf numFmtId="0" fontId="2" fillId="0" borderId="69" xfId="0" applyFont="1" applyBorder="1">
      <alignment vertical="center"/>
    </xf>
    <xf numFmtId="0" fontId="2" fillId="0" borderId="72" xfId="0" applyFont="1" applyBorder="1">
      <alignment vertical="center"/>
    </xf>
    <xf numFmtId="180" fontId="21" fillId="10" borderId="75" xfId="0" applyNumberFormat="1" applyFont="1" applyFill="1" applyBorder="1">
      <alignment vertical="center"/>
    </xf>
    <xf numFmtId="0" fontId="23" fillId="10" borderId="81" xfId="0" applyFont="1" applyFill="1" applyBorder="1">
      <alignment vertical="center"/>
    </xf>
    <xf numFmtId="177" fontId="21" fillId="10" borderId="79" xfId="0" applyNumberFormat="1" applyFont="1" applyFill="1" applyBorder="1">
      <alignment vertical="center"/>
    </xf>
    <xf numFmtId="177" fontId="21" fillId="10" borderId="87" xfId="0" applyNumberFormat="1" applyFont="1" applyFill="1" applyBorder="1">
      <alignment vertical="center"/>
    </xf>
    <xf numFmtId="177" fontId="21" fillId="10" borderId="88" xfId="0" applyNumberFormat="1" applyFont="1" applyFill="1" applyBorder="1">
      <alignment vertical="center"/>
    </xf>
    <xf numFmtId="0" fontId="12" fillId="7" borderId="20" xfId="1" applyFont="1" applyFill="1" applyBorder="1">
      <alignment vertical="center"/>
    </xf>
    <xf numFmtId="0" fontId="21" fillId="10" borderId="90" xfId="0" applyFont="1" applyFill="1" applyBorder="1">
      <alignment vertical="center"/>
    </xf>
    <xf numFmtId="0" fontId="21" fillId="10" borderId="91" xfId="0" applyFont="1" applyFill="1" applyBorder="1">
      <alignment vertical="center"/>
    </xf>
    <xf numFmtId="0" fontId="21" fillId="10" borderId="93" xfId="0" applyFont="1" applyFill="1" applyBorder="1">
      <alignment vertical="center"/>
    </xf>
    <xf numFmtId="0" fontId="21" fillId="10" borderId="96" xfId="0" applyFont="1" applyFill="1" applyBorder="1">
      <alignment vertical="center"/>
    </xf>
    <xf numFmtId="0" fontId="21" fillId="10" borderId="97" xfId="0" applyFont="1" applyFill="1" applyBorder="1">
      <alignment vertical="center"/>
    </xf>
    <xf numFmtId="0" fontId="21" fillId="10" borderId="98" xfId="0" applyFont="1" applyFill="1" applyBorder="1">
      <alignment vertical="center"/>
    </xf>
    <xf numFmtId="181" fontId="24" fillId="7" borderId="59" xfId="0" applyNumberFormat="1" applyFont="1" applyFill="1" applyBorder="1" applyAlignment="1">
      <alignment horizontal="right" vertical="center"/>
    </xf>
    <xf numFmtId="0" fontId="25" fillId="10" borderId="0" xfId="1" applyFont="1" applyFill="1" applyBorder="1">
      <alignment vertical="center"/>
    </xf>
    <xf numFmtId="0" fontId="33" fillId="7" borderId="99" xfId="0" applyFont="1" applyFill="1" applyBorder="1">
      <alignment vertical="center"/>
    </xf>
    <xf numFmtId="0" fontId="19" fillId="7" borderId="100" xfId="0" applyFont="1" applyFill="1" applyBorder="1">
      <alignment vertical="center"/>
    </xf>
    <xf numFmtId="0" fontId="18" fillId="7" borderId="100" xfId="0" applyFont="1" applyFill="1" applyBorder="1">
      <alignment vertical="center"/>
    </xf>
    <xf numFmtId="0" fontId="19" fillId="7" borderId="4" xfId="0" applyFont="1" applyFill="1" applyBorder="1">
      <alignment vertical="center"/>
    </xf>
    <xf numFmtId="0" fontId="21" fillId="10" borderId="1" xfId="0" applyFont="1" applyFill="1" applyBorder="1" applyAlignment="1">
      <alignment horizontal="right" vertical="center"/>
    </xf>
    <xf numFmtId="0" fontId="19" fillId="10" borderId="71" xfId="0" applyFont="1" applyFill="1" applyBorder="1">
      <alignment vertical="center"/>
    </xf>
    <xf numFmtId="0" fontId="19" fillId="10" borderId="74" xfId="0" applyFont="1" applyFill="1" applyBorder="1">
      <alignment vertical="center"/>
    </xf>
    <xf numFmtId="0" fontId="18" fillId="7" borderId="0" xfId="0" applyFont="1" applyFill="1" applyAlignment="1">
      <alignment horizontal="left" vertical="center"/>
    </xf>
    <xf numFmtId="0" fontId="15" fillId="7" borderId="99" xfId="0" applyFont="1" applyFill="1" applyBorder="1">
      <alignment vertical="center"/>
    </xf>
    <xf numFmtId="0" fontId="17" fillId="7" borderId="100" xfId="0" applyFont="1" applyFill="1" applyBorder="1">
      <alignment vertical="center"/>
    </xf>
    <xf numFmtId="0" fontId="18" fillId="12" borderId="100" xfId="0" applyFont="1" applyFill="1" applyBorder="1">
      <alignment vertical="center"/>
    </xf>
    <xf numFmtId="0" fontId="17" fillId="12" borderId="100" xfId="0" applyFont="1" applyFill="1" applyBorder="1">
      <alignment vertical="center"/>
    </xf>
    <xf numFmtId="0" fontId="18" fillId="12" borderId="104" xfId="0" applyFont="1" applyFill="1" applyBorder="1">
      <alignment vertical="center"/>
    </xf>
    <xf numFmtId="0" fontId="25" fillId="12" borderId="100" xfId="0" applyFont="1" applyFill="1" applyBorder="1">
      <alignment vertical="center"/>
    </xf>
    <xf numFmtId="0" fontId="19" fillId="12" borderId="100" xfId="0" applyFont="1" applyFill="1" applyBorder="1">
      <alignment vertical="center"/>
    </xf>
    <xf numFmtId="0" fontId="17" fillId="6" borderId="100" xfId="0" applyFont="1" applyFill="1" applyBorder="1">
      <alignment vertical="center"/>
    </xf>
    <xf numFmtId="0" fontId="17" fillId="7" borderId="4" xfId="0" applyFont="1" applyFill="1" applyBorder="1">
      <alignment vertical="center"/>
    </xf>
    <xf numFmtId="0" fontId="21" fillId="8" borderId="1" xfId="0" applyFont="1" applyFill="1" applyBorder="1">
      <alignment vertical="center"/>
    </xf>
    <xf numFmtId="0" fontId="19" fillId="7" borderId="99" xfId="0" applyFont="1" applyFill="1" applyBorder="1">
      <alignment vertical="center"/>
    </xf>
    <xf numFmtId="0" fontId="19" fillId="7" borderId="21" xfId="0" applyFont="1" applyFill="1" applyBorder="1">
      <alignment vertical="center"/>
    </xf>
    <xf numFmtId="0" fontId="21" fillId="7" borderId="20" xfId="0" applyFont="1" applyFill="1" applyBorder="1">
      <alignment vertical="center"/>
    </xf>
    <xf numFmtId="0" fontId="20" fillId="7" borderId="65" xfId="0" applyFont="1" applyFill="1" applyBorder="1">
      <alignment vertical="center"/>
    </xf>
    <xf numFmtId="0" fontId="24" fillId="7" borderId="20" xfId="0" applyFont="1" applyFill="1" applyBorder="1">
      <alignment vertical="center"/>
    </xf>
    <xf numFmtId="0" fontId="20" fillId="7" borderId="58" xfId="0" applyFont="1" applyFill="1" applyBorder="1">
      <alignment vertical="center"/>
    </xf>
    <xf numFmtId="186" fontId="24" fillId="7" borderId="20" xfId="0" applyNumberFormat="1" applyFont="1" applyFill="1" applyBorder="1" applyAlignment="1">
      <alignment horizontal="left" vertical="center"/>
    </xf>
    <xf numFmtId="0" fontId="24" fillId="7" borderId="21" xfId="0" applyFont="1" applyFill="1" applyBorder="1" applyAlignment="1">
      <alignment horizontal="right" vertical="center"/>
    </xf>
    <xf numFmtId="189" fontId="24" fillId="7" borderId="20" xfId="0" applyNumberFormat="1" applyFont="1" applyFill="1" applyBorder="1" applyAlignment="1">
      <alignment horizontal="left" vertical="center"/>
    </xf>
    <xf numFmtId="183" fontId="24" fillId="7" borderId="105" xfId="0" applyNumberFormat="1" applyFont="1" applyFill="1" applyBorder="1" applyAlignment="1">
      <alignment horizontal="right" vertical="center"/>
    </xf>
    <xf numFmtId="6" fontId="23" fillId="0" borderId="28" xfId="0" applyNumberFormat="1" applyFont="1" applyBorder="1">
      <alignment vertical="center"/>
    </xf>
    <xf numFmtId="6" fontId="23" fillId="0" borderId="29" xfId="0" applyNumberFormat="1" applyFont="1" applyBorder="1">
      <alignment vertical="center"/>
    </xf>
    <xf numFmtId="6" fontId="23" fillId="0" borderId="31" xfId="0" applyNumberFormat="1" applyFont="1" applyBorder="1">
      <alignment vertical="center"/>
    </xf>
    <xf numFmtId="0" fontId="21" fillId="10" borderId="1" xfId="0" applyFont="1" applyFill="1" applyBorder="1" applyAlignment="1">
      <alignment horizontal="left" vertical="center"/>
    </xf>
    <xf numFmtId="185" fontId="2" fillId="0" borderId="70" xfId="0" applyNumberFormat="1" applyFont="1" applyBorder="1" applyAlignment="1">
      <alignment horizontal="right" vertical="center"/>
    </xf>
    <xf numFmtId="185" fontId="2" fillId="0" borderId="106" xfId="0" applyNumberFormat="1" applyFont="1" applyBorder="1" applyAlignment="1">
      <alignment horizontal="right" vertical="center"/>
    </xf>
    <xf numFmtId="185" fontId="2" fillId="0" borderId="107" xfId="0" applyNumberFormat="1" applyFont="1" applyBorder="1" applyAlignment="1">
      <alignment horizontal="right" vertical="center"/>
    </xf>
    <xf numFmtId="0" fontId="2" fillId="0" borderId="108" xfId="0" applyFont="1" applyBorder="1">
      <alignment vertical="center"/>
    </xf>
    <xf numFmtId="0" fontId="2" fillId="0" borderId="109" xfId="0" applyFont="1" applyBorder="1">
      <alignment vertical="center"/>
    </xf>
    <xf numFmtId="0" fontId="2" fillId="0" borderId="110" xfId="0" applyFont="1" applyBorder="1">
      <alignment vertical="center"/>
    </xf>
    <xf numFmtId="0" fontId="2" fillId="0" borderId="111" xfId="0" applyFont="1" applyBorder="1">
      <alignment vertical="center"/>
    </xf>
    <xf numFmtId="185" fontId="2" fillId="0" borderId="112" xfId="0" applyNumberFormat="1" applyFont="1" applyBorder="1" applyAlignment="1">
      <alignment horizontal="right" vertical="center"/>
    </xf>
    <xf numFmtId="185" fontId="2" fillId="0" borderId="113" xfId="0" applyNumberFormat="1" applyFont="1" applyBorder="1" applyAlignment="1">
      <alignment horizontal="right" vertical="center"/>
    </xf>
    <xf numFmtId="0" fontId="21" fillId="10" borderId="11" xfId="0" applyFont="1" applyFill="1" applyBorder="1" applyAlignment="1">
      <alignment horizontal="left" vertical="center"/>
    </xf>
    <xf numFmtId="0" fontId="21" fillId="10" borderId="99" xfId="0" applyFont="1" applyFill="1" applyBorder="1" applyAlignment="1">
      <alignment horizontal="right" vertical="center"/>
    </xf>
    <xf numFmtId="0" fontId="19" fillId="10" borderId="114" xfId="0" applyFont="1" applyFill="1" applyBorder="1">
      <alignment vertical="center"/>
    </xf>
    <xf numFmtId="0" fontId="19" fillId="10" borderId="115" xfId="0" applyFont="1" applyFill="1" applyBorder="1">
      <alignment vertical="center"/>
    </xf>
    <xf numFmtId="0" fontId="19" fillId="10" borderId="116" xfId="0" applyFont="1" applyFill="1" applyBorder="1">
      <alignment vertical="center"/>
    </xf>
    <xf numFmtId="0" fontId="19" fillId="6" borderId="118" xfId="0" applyFont="1" applyFill="1" applyBorder="1">
      <alignment vertical="center"/>
    </xf>
    <xf numFmtId="0" fontId="19" fillId="10" borderId="119" xfId="0" applyFont="1" applyFill="1" applyBorder="1">
      <alignment vertical="center"/>
    </xf>
    <xf numFmtId="0" fontId="19" fillId="6" borderId="120" xfId="0" applyFont="1" applyFill="1" applyBorder="1">
      <alignment vertical="center"/>
    </xf>
    <xf numFmtId="0" fontId="19" fillId="6" borderId="121" xfId="0" applyFont="1" applyFill="1" applyBorder="1">
      <alignment vertical="center"/>
    </xf>
    <xf numFmtId="0" fontId="19" fillId="10" borderId="122" xfId="0" applyFont="1" applyFill="1" applyBorder="1">
      <alignment vertical="center"/>
    </xf>
    <xf numFmtId="0" fontId="19" fillId="6" borderId="123" xfId="0" applyFont="1" applyFill="1" applyBorder="1">
      <alignment vertical="center"/>
    </xf>
    <xf numFmtId="0" fontId="19" fillId="6" borderId="13" xfId="0" applyFont="1" applyFill="1" applyBorder="1">
      <alignment vertical="center"/>
    </xf>
    <xf numFmtId="0" fontId="19" fillId="6" borderId="57" xfId="0" applyFont="1" applyFill="1" applyBorder="1">
      <alignment vertical="center"/>
    </xf>
    <xf numFmtId="0" fontId="19" fillId="10" borderId="124" xfId="0" applyFont="1" applyFill="1" applyBorder="1">
      <alignment vertical="center"/>
    </xf>
    <xf numFmtId="0" fontId="24" fillId="7" borderId="20" xfId="0" applyFont="1" applyFill="1" applyBorder="1" applyAlignment="1">
      <alignment horizontal="left" vertical="center"/>
    </xf>
    <xf numFmtId="0" fontId="24" fillId="7" borderId="0" xfId="0" applyFont="1" applyFill="1" applyAlignment="1">
      <alignment horizontal="left" vertical="center"/>
    </xf>
    <xf numFmtId="0" fontId="18" fillId="7" borderId="62" xfId="0" applyFont="1" applyFill="1" applyBorder="1" applyAlignment="1">
      <alignment horizontal="center" vertical="center"/>
    </xf>
    <xf numFmtId="0" fontId="18" fillId="7" borderId="64" xfId="0" applyFont="1" applyFill="1" applyBorder="1" applyAlignment="1">
      <alignment horizontal="center" vertical="center"/>
    </xf>
    <xf numFmtId="0" fontId="18" fillId="7" borderId="21" xfId="0" applyFont="1" applyFill="1" applyBorder="1" applyAlignment="1">
      <alignment horizontal="center" vertical="center"/>
    </xf>
    <xf numFmtId="0" fontId="0" fillId="6" borderId="100" xfId="0" applyFill="1" applyBorder="1">
      <alignment vertical="center"/>
    </xf>
    <xf numFmtId="0" fontId="0" fillId="6" borderId="4" xfId="0" applyFill="1" applyBorder="1">
      <alignment vertical="center"/>
    </xf>
    <xf numFmtId="0" fontId="30" fillId="10" borderId="0" xfId="0" applyFont="1" applyFill="1">
      <alignment vertical="center"/>
    </xf>
    <xf numFmtId="0" fontId="39" fillId="0" borderId="0" xfId="0" applyFont="1">
      <alignment vertical="center"/>
    </xf>
    <xf numFmtId="0" fontId="40" fillId="0" borderId="0" xfId="0" applyFont="1">
      <alignment vertical="center"/>
    </xf>
    <xf numFmtId="0" fontId="20" fillId="0" borderId="0" xfId="0" applyFont="1">
      <alignment vertical="center"/>
    </xf>
    <xf numFmtId="0" fontId="4" fillId="0" borderId="0" xfId="0" applyFont="1">
      <alignment vertical="center"/>
    </xf>
    <xf numFmtId="0" fontId="39" fillId="0" borderId="16" xfId="0" applyFont="1" applyBorder="1">
      <alignment vertical="center"/>
    </xf>
    <xf numFmtId="0" fontId="0" fillId="0" borderId="81" xfId="0" applyBorder="1">
      <alignment vertical="center"/>
    </xf>
    <xf numFmtId="0" fontId="0" fillId="0" borderId="125" xfId="0" applyBorder="1">
      <alignment vertical="center"/>
    </xf>
    <xf numFmtId="0" fontId="39" fillId="0" borderId="18" xfId="0" applyFont="1" applyBorder="1">
      <alignment vertical="center"/>
    </xf>
    <xf numFmtId="0" fontId="0" fillId="0" borderId="75" xfId="0" applyBorder="1">
      <alignment vertical="center"/>
    </xf>
    <xf numFmtId="0" fontId="0" fillId="0" borderId="126" xfId="0" applyBorder="1">
      <alignment vertical="center"/>
    </xf>
    <xf numFmtId="0" fontId="17" fillId="6" borderId="99" xfId="0" applyFont="1" applyFill="1" applyBorder="1">
      <alignment vertical="center"/>
    </xf>
    <xf numFmtId="0" fontId="35" fillId="6" borderId="99" xfId="1" applyFont="1" applyFill="1" applyBorder="1">
      <alignment vertical="center"/>
    </xf>
    <xf numFmtId="0" fontId="13" fillId="6" borderId="99" xfId="1" applyFont="1" applyFill="1" applyBorder="1">
      <alignment vertical="center"/>
    </xf>
    <xf numFmtId="0" fontId="20" fillId="6" borderId="4" xfId="0" applyFont="1" applyFill="1" applyBorder="1">
      <alignment vertical="center"/>
    </xf>
    <xf numFmtId="38" fontId="22" fillId="7" borderId="20" xfId="0" applyNumberFormat="1" applyFont="1" applyFill="1" applyBorder="1">
      <alignment vertical="center"/>
    </xf>
    <xf numFmtId="0" fontId="19" fillId="6" borderId="3" xfId="0" applyFont="1" applyFill="1" applyBorder="1" applyAlignment="1">
      <alignment horizontal="right" vertical="center"/>
    </xf>
    <xf numFmtId="0" fontId="19" fillId="6" borderId="2" xfId="0" applyFont="1" applyFill="1" applyBorder="1" applyAlignment="1">
      <alignment horizontal="right" vertical="center"/>
    </xf>
    <xf numFmtId="0" fontId="19" fillId="6" borderId="2" xfId="0" applyFont="1" applyFill="1" applyBorder="1">
      <alignment vertical="center"/>
    </xf>
    <xf numFmtId="178" fontId="19" fillId="6" borderId="0" xfId="0" applyNumberFormat="1" applyFont="1" applyFill="1" applyAlignment="1">
      <alignment horizontal="right" vertical="center"/>
    </xf>
    <xf numFmtId="38" fontId="21" fillId="14" borderId="1" xfId="0" applyNumberFormat="1" applyFont="1" applyFill="1" applyBorder="1">
      <alignment vertical="center"/>
    </xf>
    <xf numFmtId="178" fontId="19" fillId="6" borderId="73" xfId="0" applyNumberFormat="1" applyFont="1" applyFill="1" applyBorder="1">
      <alignment vertical="center"/>
    </xf>
    <xf numFmtId="178" fontId="19" fillId="0" borderId="73" xfId="0" applyNumberFormat="1" applyFont="1" applyBorder="1">
      <alignment vertical="center"/>
    </xf>
    <xf numFmtId="0" fontId="19" fillId="0" borderId="74" xfId="0" applyFont="1" applyBorder="1" applyAlignment="1">
      <alignment horizontal="right" vertical="center"/>
    </xf>
    <xf numFmtId="0" fontId="21" fillId="3" borderId="12" xfId="0" applyFont="1" applyFill="1" applyBorder="1" applyAlignment="1">
      <alignment horizontal="right" vertical="center"/>
    </xf>
    <xf numFmtId="0" fontId="19" fillId="0" borderId="129" xfId="0" applyFont="1" applyBorder="1" applyAlignment="1">
      <alignment horizontal="right" vertical="center"/>
    </xf>
    <xf numFmtId="0" fontId="19" fillId="0" borderId="113" xfId="0" applyFont="1" applyBorder="1">
      <alignment vertical="center"/>
    </xf>
    <xf numFmtId="0" fontId="21" fillId="3" borderId="13" xfId="0" applyFont="1" applyFill="1" applyBorder="1" applyAlignment="1">
      <alignment horizontal="right" vertical="center"/>
    </xf>
    <xf numFmtId="0" fontId="19" fillId="0" borderId="130" xfId="0" applyFont="1" applyBorder="1">
      <alignment vertical="center"/>
    </xf>
    <xf numFmtId="0" fontId="19" fillId="0" borderId="126" xfId="0" applyFont="1" applyBorder="1">
      <alignment vertical="center"/>
    </xf>
    <xf numFmtId="0" fontId="23" fillId="8" borderId="46" xfId="0" applyFont="1" applyFill="1" applyBorder="1">
      <alignment vertical="center"/>
    </xf>
    <xf numFmtId="0" fontId="41" fillId="7" borderId="28" xfId="1" applyFont="1" applyFill="1" applyBorder="1">
      <alignment vertical="center"/>
    </xf>
    <xf numFmtId="0" fontId="17" fillId="7" borderId="131" xfId="0" applyFont="1" applyFill="1" applyBorder="1">
      <alignment vertical="center"/>
    </xf>
    <xf numFmtId="176" fontId="19" fillId="0" borderId="12" xfId="0" applyNumberFormat="1" applyFont="1" applyBorder="1">
      <alignment vertical="center"/>
    </xf>
    <xf numFmtId="176" fontId="19" fillId="0" borderId="127" xfId="0" applyNumberFormat="1" applyFont="1" applyBorder="1">
      <alignment vertical="center"/>
    </xf>
    <xf numFmtId="176" fontId="19" fillId="0" borderId="128" xfId="0" applyNumberFormat="1" applyFont="1" applyBorder="1">
      <alignment vertical="center"/>
    </xf>
    <xf numFmtId="0" fontId="19" fillId="0" borderId="13" xfId="0" applyFont="1" applyBorder="1">
      <alignment vertical="center"/>
    </xf>
    <xf numFmtId="0" fontId="19" fillId="0" borderId="73" xfId="0" applyFont="1" applyBorder="1">
      <alignment vertical="center"/>
    </xf>
    <xf numFmtId="0" fontId="19" fillId="0" borderId="74" xfId="0" applyFont="1" applyBorder="1">
      <alignment vertical="center"/>
    </xf>
    <xf numFmtId="0" fontId="19" fillId="4" borderId="11" xfId="0" applyFont="1" applyFill="1" applyBorder="1">
      <alignment vertical="center"/>
    </xf>
    <xf numFmtId="0" fontId="19" fillId="4" borderId="12" xfId="0" applyFont="1" applyFill="1" applyBorder="1" applyAlignment="1">
      <alignment horizontal="center" vertical="center"/>
    </xf>
    <xf numFmtId="0" fontId="19" fillId="4" borderId="127" xfId="0" applyFont="1" applyFill="1" applyBorder="1" applyAlignment="1">
      <alignment horizontal="center" vertical="center"/>
    </xf>
    <xf numFmtId="0" fontId="19" fillId="4" borderId="129" xfId="0" applyFont="1" applyFill="1" applyBorder="1" applyAlignment="1">
      <alignment horizontal="center" vertical="center"/>
    </xf>
    <xf numFmtId="0" fontId="19" fillId="4" borderId="110" xfId="0" applyFont="1" applyFill="1" applyBorder="1" applyAlignment="1">
      <alignment horizontal="center" vertical="center"/>
    </xf>
    <xf numFmtId="0" fontId="19" fillId="6" borderId="132" xfId="0" applyFont="1" applyFill="1" applyBorder="1" applyAlignment="1">
      <alignment horizontal="right" vertical="center"/>
    </xf>
    <xf numFmtId="0" fontId="19" fillId="6" borderId="133" xfId="0" applyFont="1" applyFill="1" applyBorder="1" applyAlignment="1">
      <alignment horizontal="left" vertical="center" indent="1"/>
    </xf>
    <xf numFmtId="0" fontId="19" fillId="6" borderId="14" xfId="0" applyFont="1" applyFill="1" applyBorder="1" applyAlignment="1">
      <alignment horizontal="left" vertical="center" indent="1"/>
    </xf>
    <xf numFmtId="0" fontId="19" fillId="6" borderId="134" xfId="0" applyFont="1" applyFill="1" applyBorder="1" applyAlignment="1">
      <alignment horizontal="right" vertical="center"/>
    </xf>
    <xf numFmtId="0" fontId="19" fillId="0" borderId="73" xfId="0" applyFont="1" applyBorder="1" applyAlignment="1">
      <alignment horizontal="right" vertical="center"/>
    </xf>
    <xf numFmtId="0" fontId="19" fillId="6" borderId="73" xfId="0" applyFont="1" applyFill="1" applyBorder="1" applyAlignment="1">
      <alignment horizontal="right" vertical="center"/>
    </xf>
    <xf numFmtId="0" fontId="19" fillId="6" borderId="130" xfId="0" applyFont="1" applyFill="1" applyBorder="1" applyAlignment="1">
      <alignment horizontal="right" vertical="center"/>
    </xf>
    <xf numFmtId="0" fontId="19" fillId="6" borderId="73" xfId="0" applyFont="1" applyFill="1" applyBorder="1">
      <alignment vertical="center"/>
    </xf>
    <xf numFmtId="0" fontId="19" fillId="6" borderId="136" xfId="0" applyFont="1" applyFill="1" applyBorder="1" applyAlignment="1">
      <alignment horizontal="left" vertical="center" indent="1"/>
    </xf>
    <xf numFmtId="0" fontId="19" fillId="6" borderId="133" xfId="0" applyFont="1" applyFill="1" applyBorder="1">
      <alignment vertical="center"/>
    </xf>
    <xf numFmtId="0" fontId="19" fillId="6" borderId="14" xfId="0" applyFont="1" applyFill="1" applyBorder="1">
      <alignment vertical="center"/>
    </xf>
    <xf numFmtId="0" fontId="19" fillId="6" borderId="136" xfId="0" applyFont="1" applyFill="1" applyBorder="1">
      <alignment vertical="center"/>
    </xf>
    <xf numFmtId="0" fontId="42" fillId="7" borderId="0" xfId="0" applyFont="1" applyFill="1">
      <alignment vertical="center"/>
    </xf>
    <xf numFmtId="0" fontId="43" fillId="7" borderId="0" xfId="0" applyFont="1" applyFill="1">
      <alignment vertical="center"/>
    </xf>
    <xf numFmtId="0" fontId="44" fillId="6" borderId="21" xfId="0" applyFont="1" applyFill="1" applyBorder="1">
      <alignment vertical="center"/>
    </xf>
    <xf numFmtId="0" fontId="20" fillId="6" borderId="21" xfId="0" applyFont="1" applyFill="1" applyBorder="1">
      <alignment vertical="center"/>
    </xf>
    <xf numFmtId="0" fontId="38" fillId="8" borderId="99" xfId="0" applyFont="1" applyFill="1" applyBorder="1">
      <alignment vertical="center"/>
    </xf>
    <xf numFmtId="0" fontId="19" fillId="8" borderId="100" xfId="0" applyFont="1" applyFill="1" applyBorder="1">
      <alignment vertical="center"/>
    </xf>
    <xf numFmtId="0" fontId="37" fillId="8" borderId="4" xfId="1" applyFont="1" applyFill="1" applyBorder="1">
      <alignment vertical="center"/>
    </xf>
    <xf numFmtId="0" fontId="19" fillId="8" borderId="1" xfId="0" applyFont="1" applyFill="1" applyBorder="1">
      <alignment vertical="center"/>
    </xf>
    <xf numFmtId="0" fontId="21" fillId="8" borderId="117" xfId="0" applyFont="1" applyFill="1" applyBorder="1" applyAlignment="1">
      <alignment horizontal="left" vertical="center"/>
    </xf>
    <xf numFmtId="0" fontId="21" fillId="8" borderId="11" xfId="0" applyFont="1" applyFill="1" applyBorder="1" applyAlignment="1">
      <alignment horizontal="left" vertical="center"/>
    </xf>
    <xf numFmtId="0" fontId="21" fillId="8" borderId="99" xfId="0" applyFont="1" applyFill="1" applyBorder="1" applyAlignment="1">
      <alignment horizontal="left" vertical="center"/>
    </xf>
    <xf numFmtId="0" fontId="21" fillId="8" borderId="1" xfId="0" applyFont="1" applyFill="1" applyBorder="1" applyAlignment="1">
      <alignment horizontal="left" vertical="center"/>
    </xf>
    <xf numFmtId="0" fontId="21" fillId="8" borderId="24" xfId="0" applyFont="1" applyFill="1" applyBorder="1">
      <alignment vertical="center"/>
    </xf>
    <xf numFmtId="0" fontId="21" fillId="8" borderId="25" xfId="0" applyFont="1" applyFill="1" applyBorder="1">
      <alignment vertical="center"/>
    </xf>
    <xf numFmtId="0" fontId="21" fillId="8" borderId="26" xfId="0" applyFont="1" applyFill="1" applyBorder="1">
      <alignment vertical="center"/>
    </xf>
    <xf numFmtId="0" fontId="21" fillId="8" borderId="27" xfId="0" applyFont="1" applyFill="1" applyBorder="1">
      <alignment vertical="center"/>
    </xf>
    <xf numFmtId="0" fontId="21" fillId="8" borderId="89" xfId="0" applyFont="1" applyFill="1" applyBorder="1">
      <alignment vertical="center"/>
    </xf>
    <xf numFmtId="0" fontId="21" fillId="8" borderId="92" xfId="0" applyFont="1" applyFill="1" applyBorder="1">
      <alignment vertical="center"/>
    </xf>
    <xf numFmtId="0" fontId="21" fillId="8" borderId="94" xfId="0" applyFont="1" applyFill="1" applyBorder="1">
      <alignment vertical="center"/>
    </xf>
    <xf numFmtId="0" fontId="21" fillId="8" borderId="95" xfId="0" applyFont="1" applyFill="1" applyBorder="1">
      <alignment vertical="center"/>
    </xf>
    <xf numFmtId="0" fontId="21" fillId="8" borderId="90" xfId="0" applyFont="1" applyFill="1" applyBorder="1">
      <alignment vertical="center"/>
    </xf>
    <xf numFmtId="0" fontId="21" fillId="8" borderId="96" xfId="0" applyFont="1" applyFill="1" applyBorder="1">
      <alignment vertical="center"/>
    </xf>
    <xf numFmtId="0" fontId="45" fillId="10" borderId="0" xfId="0" applyFont="1" applyFill="1">
      <alignment vertical="center"/>
    </xf>
    <xf numFmtId="0" fontId="46" fillId="10" borderId="22" xfId="1" applyFont="1" applyFill="1" applyBorder="1">
      <alignment vertical="center"/>
    </xf>
    <xf numFmtId="0" fontId="45" fillId="10" borderId="77" xfId="0" applyFont="1" applyFill="1" applyBorder="1">
      <alignment vertical="center"/>
    </xf>
    <xf numFmtId="0" fontId="47" fillId="10" borderId="23" xfId="1" applyFont="1" applyFill="1" applyBorder="1">
      <alignment vertical="center"/>
    </xf>
    <xf numFmtId="0" fontId="45" fillId="10" borderId="23" xfId="0" applyFont="1" applyFill="1" applyBorder="1">
      <alignment vertical="center"/>
    </xf>
    <xf numFmtId="0" fontId="45" fillId="10" borderId="78" xfId="0" applyFont="1" applyFill="1" applyBorder="1">
      <alignment vertical="center"/>
    </xf>
    <xf numFmtId="0" fontId="47" fillId="10" borderId="76" xfId="1" applyFont="1" applyFill="1" applyBorder="1">
      <alignment vertical="center"/>
    </xf>
    <xf numFmtId="0" fontId="48" fillId="10" borderId="0" xfId="0" applyFont="1" applyFill="1">
      <alignment vertical="center"/>
    </xf>
    <xf numFmtId="0" fontId="44" fillId="10" borderId="0" xfId="0" applyFont="1" applyFill="1">
      <alignment vertical="center"/>
    </xf>
    <xf numFmtId="0" fontId="12" fillId="11" borderId="0" xfId="1" applyFont="1" applyFill="1">
      <alignment vertical="center"/>
    </xf>
    <xf numFmtId="0" fontId="21" fillId="0" borderId="131" xfId="0" applyFont="1" applyBorder="1">
      <alignment vertical="center"/>
    </xf>
    <xf numFmtId="0" fontId="21" fillId="8" borderId="7" xfId="0" applyFont="1" applyFill="1" applyBorder="1">
      <alignment vertical="center"/>
    </xf>
    <xf numFmtId="0" fontId="21" fillId="8" borderId="137" xfId="0" applyFont="1" applyFill="1" applyBorder="1">
      <alignment vertical="center"/>
    </xf>
    <xf numFmtId="0" fontId="21" fillId="8" borderId="138" xfId="0" applyFont="1" applyFill="1" applyBorder="1">
      <alignment vertical="center"/>
    </xf>
    <xf numFmtId="0" fontId="19" fillId="10" borderId="100" xfId="0" applyFont="1" applyFill="1" applyBorder="1">
      <alignment vertical="center"/>
    </xf>
    <xf numFmtId="0" fontId="26" fillId="10" borderId="100" xfId="0" applyFont="1" applyFill="1" applyBorder="1">
      <alignment vertical="center"/>
    </xf>
    <xf numFmtId="0" fontId="19" fillId="10" borderId="139" xfId="0" applyFont="1" applyFill="1" applyBorder="1">
      <alignment vertical="center"/>
    </xf>
    <xf numFmtId="0" fontId="21" fillId="10" borderId="100" xfId="0" applyFont="1" applyFill="1" applyBorder="1">
      <alignment vertical="center"/>
    </xf>
    <xf numFmtId="0" fontId="21" fillId="6" borderId="0" xfId="0" applyFont="1" applyFill="1">
      <alignment vertical="center"/>
    </xf>
    <xf numFmtId="0" fontId="47" fillId="10" borderId="0" xfId="1" applyFont="1" applyFill="1" applyBorder="1">
      <alignment vertical="center"/>
    </xf>
    <xf numFmtId="0" fontId="49" fillId="10" borderId="0" xfId="1" applyFont="1" applyFill="1" applyBorder="1">
      <alignment vertical="center"/>
    </xf>
    <xf numFmtId="0" fontId="50" fillId="10" borderId="140" xfId="0" applyFont="1" applyFill="1" applyBorder="1">
      <alignment vertical="center"/>
    </xf>
    <xf numFmtId="0" fontId="21" fillId="0" borderId="141" xfId="0" applyFont="1" applyBorder="1">
      <alignment vertical="center"/>
    </xf>
    <xf numFmtId="0" fontId="21" fillId="8" borderId="142" xfId="0" applyFont="1" applyFill="1" applyBorder="1">
      <alignment vertical="center"/>
    </xf>
    <xf numFmtId="0" fontId="21" fillId="8" borderId="31" xfId="0" applyFont="1" applyFill="1" applyBorder="1">
      <alignment vertical="center"/>
    </xf>
    <xf numFmtId="0" fontId="21" fillId="2" borderId="1" xfId="0" applyFont="1" applyFill="1" applyBorder="1" applyAlignment="1">
      <alignment horizontal="right" vertical="center"/>
    </xf>
    <xf numFmtId="0" fontId="21" fillId="6" borderId="1" xfId="0" applyFont="1" applyFill="1" applyBorder="1">
      <alignment vertical="center"/>
    </xf>
    <xf numFmtId="0" fontId="23" fillId="6" borderId="21" xfId="0" applyFont="1" applyFill="1" applyBorder="1" applyAlignment="1">
      <alignment horizontal="left" vertical="center"/>
    </xf>
    <xf numFmtId="0" fontId="2" fillId="0" borderId="35" xfId="0" applyFont="1" applyBorder="1" applyAlignment="1">
      <alignment horizontal="left" vertical="center"/>
    </xf>
    <xf numFmtId="0" fontId="2" fillId="0" borderId="106" xfId="0" applyFont="1" applyBorder="1" applyAlignment="1">
      <alignment horizontal="left" vertical="center"/>
    </xf>
    <xf numFmtId="6" fontId="26" fillId="7" borderId="17" xfId="0" applyNumberFormat="1" applyFont="1" applyFill="1" applyBorder="1" applyAlignment="1">
      <alignment horizontal="right" vertical="center"/>
    </xf>
    <xf numFmtId="6" fontId="26" fillId="7" borderId="0" xfId="0" applyNumberFormat="1" applyFont="1" applyFill="1" applyAlignment="1">
      <alignment horizontal="right" vertical="center"/>
    </xf>
    <xf numFmtId="0" fontId="2" fillId="0" borderId="109" xfId="0" applyFont="1" applyBorder="1" applyAlignment="1">
      <alignment horizontal="left" vertical="center"/>
    </xf>
    <xf numFmtId="0" fontId="2" fillId="0" borderId="112" xfId="0" applyFont="1" applyBorder="1" applyAlignment="1">
      <alignment horizontal="left" vertical="center"/>
    </xf>
    <xf numFmtId="0" fontId="2" fillId="0" borderId="34" xfId="0" applyFont="1" applyBorder="1" applyAlignment="1">
      <alignment horizontal="left" vertical="center"/>
    </xf>
    <xf numFmtId="0" fontId="2" fillId="0" borderId="44" xfId="0" applyFont="1" applyBorder="1" applyAlignment="1">
      <alignment horizontal="left" vertical="center"/>
    </xf>
    <xf numFmtId="5" fontId="18" fillId="7" borderId="17" xfId="0" applyNumberFormat="1" applyFont="1" applyFill="1" applyBorder="1" applyAlignment="1">
      <alignment horizontal="right" vertical="center"/>
    </xf>
    <xf numFmtId="5" fontId="18" fillId="7" borderId="0" xfId="0" applyNumberFormat="1" applyFont="1" applyFill="1" applyAlignment="1">
      <alignment horizontal="right" vertical="center"/>
    </xf>
    <xf numFmtId="0" fontId="2" fillId="0" borderId="37" xfId="0" applyFont="1" applyBorder="1" applyAlignment="1">
      <alignment horizontal="left" vertical="center"/>
    </xf>
    <xf numFmtId="179" fontId="19" fillId="0" borderId="6" xfId="0" applyNumberFormat="1" applyFont="1" applyBorder="1" applyAlignment="1">
      <alignment horizontal="left" vertical="center" indent="1"/>
    </xf>
    <xf numFmtId="179" fontId="19" fillId="0" borderId="135" xfId="0" applyNumberFormat="1" applyFont="1" applyBorder="1" applyAlignment="1">
      <alignment horizontal="left" vertical="center" indent="1"/>
    </xf>
    <xf numFmtId="177" fontId="19" fillId="0" borderId="13" xfId="0" applyNumberFormat="1" applyFont="1" applyBorder="1">
      <alignment vertical="center"/>
    </xf>
    <xf numFmtId="177" fontId="19" fillId="0" borderId="73" xfId="0" applyNumberFormat="1" applyFont="1" applyBorder="1">
      <alignment vertical="center"/>
    </xf>
    <xf numFmtId="0" fontId="19" fillId="4" borderId="127" xfId="0" applyFont="1" applyFill="1" applyBorder="1" applyAlignment="1">
      <alignment horizontal="center" vertical="center"/>
    </xf>
    <xf numFmtId="0" fontId="20" fillId="3" borderId="12" xfId="0" applyFont="1" applyFill="1" applyBorder="1" applyAlignment="1">
      <alignment horizontal="center" vertical="center"/>
    </xf>
    <xf numFmtId="0" fontId="20" fillId="3" borderId="127" xfId="0" applyFont="1" applyFill="1" applyBorder="1" applyAlignment="1">
      <alignment horizontal="center" vertical="center"/>
    </xf>
    <xf numFmtId="0" fontId="20" fillId="3" borderId="128" xfId="0" applyFont="1" applyFill="1" applyBorder="1" applyAlignment="1">
      <alignment horizontal="center" vertical="center"/>
    </xf>
    <xf numFmtId="38" fontId="27" fillId="5" borderId="17" xfId="0" applyNumberFormat="1" applyFont="1" applyFill="1" applyBorder="1" applyAlignment="1">
      <alignment horizontal="right" vertical="center"/>
    </xf>
    <xf numFmtId="38" fontId="27" fillId="5" borderId="0" xfId="0" applyNumberFormat="1" applyFont="1" applyFill="1" applyAlignment="1">
      <alignment horizontal="right" vertical="center"/>
    </xf>
    <xf numFmtId="0" fontId="21" fillId="0" borderId="0" xfId="0" applyFont="1" applyAlignment="1">
      <alignment horizontal="left" vertical="center"/>
    </xf>
    <xf numFmtId="0" fontId="18" fillId="7" borderId="64" xfId="0" applyFont="1" applyFill="1" applyBorder="1" applyAlignment="1">
      <alignment horizontal="right" vertical="center"/>
    </xf>
    <xf numFmtId="0" fontId="18" fillId="7" borderId="21" xfId="0" applyFont="1" applyFill="1" applyBorder="1" applyAlignment="1">
      <alignment horizontal="right" vertical="center"/>
    </xf>
    <xf numFmtId="0" fontId="21" fillId="8" borderId="99" xfId="0" applyFont="1" applyFill="1" applyBorder="1" applyAlignment="1">
      <alignment horizontal="left" vertical="center"/>
    </xf>
    <xf numFmtId="0" fontId="21" fillId="8" borderId="100" xfId="0" applyFont="1" applyFill="1" applyBorder="1" applyAlignment="1">
      <alignment horizontal="left" vertical="center"/>
    </xf>
    <xf numFmtId="0" fontId="21" fillId="8" borderId="4" xfId="0" applyFont="1" applyFill="1" applyBorder="1" applyAlignment="1">
      <alignment horizontal="left" vertical="center"/>
    </xf>
    <xf numFmtId="0" fontId="19" fillId="6" borderId="102" xfId="0" applyFont="1" applyFill="1" applyBorder="1" applyAlignment="1">
      <alignment horizontal="left" vertical="center"/>
    </xf>
    <xf numFmtId="0" fontId="19" fillId="6" borderId="80" xfId="0" applyFont="1" applyFill="1" applyBorder="1" applyAlignment="1">
      <alignment horizontal="left" vertical="center"/>
    </xf>
    <xf numFmtId="0" fontId="19" fillId="6" borderId="84" xfId="0" applyFont="1" applyFill="1" applyBorder="1" applyAlignment="1">
      <alignment horizontal="left" vertical="center"/>
    </xf>
    <xf numFmtId="0" fontId="19" fillId="6" borderId="103" xfId="0" applyFont="1" applyFill="1" applyBorder="1" applyAlignment="1">
      <alignment horizontal="left" vertical="center"/>
    </xf>
    <xf numFmtId="0" fontId="19" fillId="6" borderId="85" xfId="0" applyFont="1" applyFill="1" applyBorder="1" applyAlignment="1">
      <alignment horizontal="left" vertical="center"/>
    </xf>
    <xf numFmtId="0" fontId="19" fillId="6" borderId="86" xfId="0" applyFont="1" applyFill="1" applyBorder="1" applyAlignment="1">
      <alignment horizontal="left" vertical="center"/>
    </xf>
    <xf numFmtId="0" fontId="21" fillId="10" borderId="0" xfId="0" applyFont="1" applyFill="1" applyAlignment="1">
      <alignment horizontal="right" vertical="center"/>
    </xf>
    <xf numFmtId="182" fontId="21" fillId="10" borderId="32" xfId="0" applyNumberFormat="1" applyFont="1" applyFill="1" applyBorder="1" applyAlignment="1">
      <alignment horizontal="left" vertical="center"/>
    </xf>
    <xf numFmtId="0" fontId="19" fillId="6" borderId="101" xfId="0" applyFont="1" applyFill="1" applyBorder="1" applyAlignment="1">
      <alignment horizontal="left" vertical="center"/>
    </xf>
    <xf numFmtId="0" fontId="19" fillId="6" borderId="82" xfId="0" applyFont="1" applyFill="1" applyBorder="1" applyAlignment="1">
      <alignment horizontal="left" vertical="center"/>
    </xf>
    <xf numFmtId="0" fontId="19" fillId="6" borderId="83" xfId="0" applyFont="1" applyFill="1" applyBorder="1" applyAlignment="1">
      <alignment horizontal="left" vertical="center"/>
    </xf>
  </cellXfs>
  <cellStyles count="2">
    <cellStyle name="ハイパーリンク" xfId="1" builtinId="8"/>
    <cellStyle name="標準" xfId="0" builtinId="0"/>
  </cellStyles>
  <dxfs count="142">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CCCCC"/>
      <rgbColor rgb="FF808080"/>
      <rgbColor rgb="FF9999FF"/>
      <rgbColor rgb="FF993366"/>
      <rgbColor rgb="FFF3F3F3"/>
      <rgbColor rgb="FFDEEBF7"/>
      <rgbColor rgb="FF660066"/>
      <rgbColor rgb="FFFF8080"/>
      <rgbColor rgb="FF0563C1"/>
      <rgbColor rgb="FFBDD7EE"/>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4472C4"/>
      <rgbColor rgb="FF33CCCC"/>
      <rgbColor rgb="FF99CC00"/>
      <rgbColor rgb="FFFFCC00"/>
      <rgbColor rgb="FFFF9900"/>
      <rgbColor rgb="FFFF40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259736224560894E-3"/>
          <c:y val="0.14797767554336608"/>
          <c:w val="0.85300879943198593"/>
          <c:h val="0.7883143118346162"/>
        </c:manualLayout>
      </c:layout>
      <c:doughnutChart>
        <c:varyColors val="1"/>
        <c:ser>
          <c:idx val="0"/>
          <c:order val="0"/>
          <c:tx>
            <c:v>作業時間</c:v>
          </c:tx>
          <c:spPr>
            <a:solidFill>
              <a:schemeClr val="bg1"/>
            </a:solidFill>
            <a:ln>
              <a:solidFill>
                <a:schemeClr val="tx2"/>
              </a:solidFill>
            </a:ln>
          </c:spPr>
          <c:dPt>
            <c:idx val="0"/>
            <c:bubble3D val="0"/>
            <c:spPr>
              <a:solidFill>
                <a:schemeClr val="bg1"/>
              </a:solidFill>
              <a:ln w="19050">
                <a:solidFill>
                  <a:schemeClr val="tx2"/>
                </a:solidFill>
              </a:ln>
              <a:effectLst/>
            </c:spPr>
            <c:extLst>
              <c:ext xmlns:c16="http://schemas.microsoft.com/office/drawing/2014/chart" uri="{C3380CC4-5D6E-409C-BE32-E72D297353CC}">
                <c16:uniqueId val="{00000001-23B1-42D6-86DA-4CB3B6BDD8E1}"/>
              </c:ext>
            </c:extLst>
          </c:dPt>
          <c:dPt>
            <c:idx val="1"/>
            <c:bubble3D val="0"/>
            <c:spPr>
              <a:solidFill>
                <a:schemeClr val="bg1"/>
              </a:solidFill>
              <a:ln w="19050">
                <a:solidFill>
                  <a:schemeClr val="tx2"/>
                </a:solidFill>
              </a:ln>
              <a:effectLst/>
            </c:spPr>
            <c:extLst>
              <c:ext xmlns:c16="http://schemas.microsoft.com/office/drawing/2014/chart" uri="{C3380CC4-5D6E-409C-BE32-E72D297353CC}">
                <c16:uniqueId val="{00000003-23B1-42D6-86DA-4CB3B6BDD8E1}"/>
              </c:ext>
            </c:extLst>
          </c:dPt>
          <c:dPt>
            <c:idx val="2"/>
            <c:bubble3D val="0"/>
            <c:spPr>
              <a:solidFill>
                <a:schemeClr val="bg1"/>
              </a:solidFill>
              <a:ln w="19050">
                <a:solidFill>
                  <a:schemeClr val="tx2"/>
                </a:solidFill>
              </a:ln>
              <a:effectLst/>
            </c:spPr>
            <c:extLst>
              <c:ext xmlns:c16="http://schemas.microsoft.com/office/drawing/2014/chart" uri="{C3380CC4-5D6E-409C-BE32-E72D297353CC}">
                <c16:uniqueId val="{00000005-23B1-42D6-86DA-4CB3B6BDD8E1}"/>
              </c:ext>
            </c:extLst>
          </c:dPt>
          <c:dPt>
            <c:idx val="3"/>
            <c:bubble3D val="0"/>
            <c:spPr>
              <a:solidFill>
                <a:schemeClr val="bg1"/>
              </a:solidFill>
              <a:ln w="19050">
                <a:solidFill>
                  <a:schemeClr val="tx2"/>
                </a:solidFill>
              </a:ln>
              <a:effectLst/>
            </c:spPr>
            <c:extLst>
              <c:ext xmlns:c16="http://schemas.microsoft.com/office/drawing/2014/chart" uri="{C3380CC4-5D6E-409C-BE32-E72D297353CC}">
                <c16:uniqueId val="{00000007-23B1-42D6-86DA-4CB3B6BDD8E1}"/>
              </c:ext>
            </c:extLst>
          </c:dPt>
          <c:dPt>
            <c:idx val="4"/>
            <c:bubble3D val="0"/>
            <c:spPr>
              <a:solidFill>
                <a:schemeClr val="bg1"/>
              </a:solidFill>
              <a:ln w="19050">
                <a:solidFill>
                  <a:schemeClr val="tx2"/>
                </a:solidFill>
              </a:ln>
              <a:effectLst/>
            </c:spPr>
            <c:extLst>
              <c:ext xmlns:c16="http://schemas.microsoft.com/office/drawing/2014/chart" uri="{C3380CC4-5D6E-409C-BE32-E72D297353CC}">
                <c16:uniqueId val="{00000009-23B1-42D6-86DA-4CB3B6BDD8E1}"/>
              </c:ext>
            </c:extLst>
          </c:dPt>
          <c:dPt>
            <c:idx val="5"/>
            <c:bubble3D val="0"/>
            <c:spPr>
              <a:solidFill>
                <a:schemeClr val="bg1"/>
              </a:solidFill>
              <a:ln w="19050">
                <a:solidFill>
                  <a:schemeClr val="tx2"/>
                </a:solidFill>
              </a:ln>
              <a:effectLst/>
            </c:spPr>
            <c:extLst>
              <c:ext xmlns:c16="http://schemas.microsoft.com/office/drawing/2014/chart" uri="{C3380CC4-5D6E-409C-BE32-E72D297353CC}">
                <c16:uniqueId val="{0000000B-23B1-42D6-86DA-4CB3B6BDD8E1}"/>
              </c:ext>
            </c:extLst>
          </c:dPt>
          <c:dPt>
            <c:idx val="6"/>
            <c:bubble3D val="0"/>
            <c:spPr>
              <a:solidFill>
                <a:schemeClr val="bg1"/>
              </a:solidFill>
              <a:ln w="19050">
                <a:solidFill>
                  <a:schemeClr val="tx2"/>
                </a:solidFill>
              </a:ln>
              <a:effectLst/>
            </c:spPr>
            <c:extLst>
              <c:ext xmlns:c16="http://schemas.microsoft.com/office/drawing/2014/chart" uri="{C3380CC4-5D6E-409C-BE32-E72D297353CC}">
                <c16:uniqueId val="{0000000D-23B1-42D6-86DA-4CB3B6BDD8E1}"/>
              </c:ext>
            </c:extLst>
          </c:dPt>
          <c:dPt>
            <c:idx val="7"/>
            <c:bubble3D val="0"/>
            <c:spPr>
              <a:solidFill>
                <a:schemeClr val="bg1"/>
              </a:solidFill>
              <a:ln w="19050">
                <a:solidFill>
                  <a:schemeClr val="tx2"/>
                </a:solidFill>
              </a:ln>
              <a:effectLst/>
            </c:spPr>
            <c:extLst>
              <c:ext xmlns:c16="http://schemas.microsoft.com/office/drawing/2014/chart" uri="{C3380CC4-5D6E-409C-BE32-E72D297353CC}">
                <c16:uniqueId val="{0000000F-23B1-42D6-86DA-4CB3B6BDD8E1}"/>
              </c:ext>
            </c:extLst>
          </c:dPt>
          <c:dPt>
            <c:idx val="8"/>
            <c:bubble3D val="0"/>
            <c:spPr>
              <a:solidFill>
                <a:schemeClr val="bg1"/>
              </a:solidFill>
              <a:ln w="19050">
                <a:solidFill>
                  <a:schemeClr val="tx2"/>
                </a:solidFill>
              </a:ln>
              <a:effectLst/>
            </c:spPr>
            <c:extLst>
              <c:ext xmlns:c16="http://schemas.microsoft.com/office/drawing/2014/chart" uri="{C3380CC4-5D6E-409C-BE32-E72D297353CC}">
                <c16:uniqueId val="{00000011-23B1-42D6-86DA-4CB3B6BDD8E1}"/>
              </c:ext>
            </c:extLst>
          </c:dPt>
          <c:dPt>
            <c:idx val="9"/>
            <c:bubble3D val="0"/>
            <c:spPr>
              <a:solidFill>
                <a:schemeClr val="bg1"/>
              </a:solidFill>
              <a:ln w="19050">
                <a:solidFill>
                  <a:schemeClr val="tx2"/>
                </a:solidFill>
              </a:ln>
              <a:effectLst/>
            </c:spPr>
            <c:extLst>
              <c:ext xmlns:c16="http://schemas.microsoft.com/office/drawing/2014/chart" uri="{C3380CC4-5D6E-409C-BE32-E72D297353CC}">
                <c16:uniqueId val="{00000013-23B1-42D6-86DA-4CB3B6BDD8E1}"/>
              </c:ext>
            </c:extLst>
          </c:dPt>
          <c:dPt>
            <c:idx val="10"/>
            <c:bubble3D val="0"/>
            <c:spPr>
              <a:solidFill>
                <a:schemeClr val="bg1"/>
              </a:solidFill>
              <a:ln w="19050">
                <a:solidFill>
                  <a:schemeClr val="tx2"/>
                </a:solidFill>
              </a:ln>
              <a:effectLst/>
            </c:spPr>
            <c:extLst>
              <c:ext xmlns:c16="http://schemas.microsoft.com/office/drawing/2014/chart" uri="{C3380CC4-5D6E-409C-BE32-E72D297353CC}">
                <c16:uniqueId val="{00000015-23B1-42D6-86DA-4CB3B6BDD8E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numRef>
              <c:f>売上工数管理!$E$51:$O$51</c:f>
              <c:numCache>
                <c:formatCode>General</c:formatCode>
                <c:ptCount val="11"/>
                <c:pt idx="0">
                  <c:v>5</c:v>
                </c:pt>
                <c:pt idx="1">
                  <c:v>2</c:v>
                </c:pt>
                <c:pt idx="2">
                  <c:v>1</c:v>
                </c:pt>
                <c:pt idx="3">
                  <c:v>0</c:v>
                </c:pt>
                <c:pt idx="4">
                  <c:v>0</c:v>
                </c:pt>
                <c:pt idx="5">
                  <c:v>0</c:v>
                </c:pt>
                <c:pt idx="6">
                  <c:v>0</c:v>
                </c:pt>
                <c:pt idx="7">
                  <c:v>0</c:v>
                </c:pt>
                <c:pt idx="8">
                  <c:v>0</c:v>
                </c:pt>
                <c:pt idx="9">
                  <c:v>0</c:v>
                </c:pt>
                <c:pt idx="10">
                  <c:v>0</c:v>
                </c:pt>
              </c:numCache>
            </c:numRef>
          </c:cat>
          <c:val>
            <c:numRef>
              <c:f>売上工数管理!$E$51:$O$51</c:f>
              <c:numCache>
                <c:formatCode>General</c:formatCode>
                <c:ptCount val="11"/>
                <c:pt idx="0">
                  <c:v>5</c:v>
                </c:pt>
                <c:pt idx="1">
                  <c:v>2</c:v>
                </c:pt>
                <c:pt idx="2">
                  <c:v>1</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5-AC60-458C-961D-8D554624420D}"/>
            </c:ext>
          </c:extLst>
        </c:ser>
        <c:dLbls>
          <c:showLegendKey val="0"/>
          <c:showVal val="1"/>
          <c:showCatName val="0"/>
          <c:showSerName val="0"/>
          <c:showPercent val="0"/>
          <c:showBubbleSize val="0"/>
          <c:showLeaderLines val="1"/>
        </c:dLbls>
        <c:firstSliceAng val="0"/>
        <c:holeSize val="50"/>
        <c:extLst/>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dLbls>
          <c:dLblPos val="ctr"/>
          <c:showLegendKey val="0"/>
          <c:showVal val="1"/>
          <c:showCatName val="0"/>
          <c:showSerName val="0"/>
          <c:showPercent val="0"/>
          <c:showBubbleSize val="0"/>
        </c:dLbls>
        <c:gapWidth val="150"/>
        <c:overlap val="100"/>
        <c:axId val="1788788320"/>
        <c:axId val="1788788800"/>
      </c:barChart>
      <c:catAx>
        <c:axId val="17887883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1788788800"/>
        <c:crosses val="autoZero"/>
        <c:auto val="1"/>
        <c:lblAlgn val="ctr"/>
        <c:lblOffset val="100"/>
        <c:noMultiLvlLbl val="0"/>
      </c:catAx>
      <c:valAx>
        <c:axId val="1788788800"/>
        <c:scaling>
          <c:orientation val="minMax"/>
        </c:scaling>
        <c:delete val="0"/>
        <c:axPos val="l"/>
        <c:majorGridlines>
          <c:spPr>
            <a:ln w="25400" cap="sq" cmpd="sng" algn="ctr">
              <a:solidFill>
                <a:schemeClr val="accent1">
                  <a:lumMod val="20000"/>
                  <a:lumOff val="80000"/>
                </a:schemeClr>
              </a:solidFill>
              <a:miter lim="800000"/>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17887883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0622341599823388"/>
          <c:y val="4.0204678362573097E-2"/>
          <c:w val="0.77615914833075772"/>
          <c:h val="0.57096974720265226"/>
        </c:manualLayout>
      </c:layout>
      <c:barChart>
        <c:barDir val="col"/>
        <c:grouping val="clustered"/>
        <c:varyColors val="0"/>
        <c:ser>
          <c:idx val="0"/>
          <c:order val="0"/>
          <c:tx>
            <c:v>案件名</c:v>
          </c:tx>
          <c:spPr>
            <a:solidFill>
              <a:schemeClr val="accent1"/>
            </a:solidFill>
            <a:ln>
              <a:noFill/>
            </a:ln>
            <a:effectLst/>
          </c:spPr>
          <c:invertIfNegative val="0"/>
          <c:cat>
            <c:strRef>
              <c:f>売上工数管理!$E$20:$O$20</c:f>
              <c:strCache>
                <c:ptCount val="11"/>
                <c:pt idx="0">
                  <c:v>Webデザイン</c:v>
                </c:pt>
                <c:pt idx="1">
                  <c:v>プログラミング</c:v>
                </c:pt>
                <c:pt idx="2">
                  <c:v>ライティング</c:v>
                </c:pt>
                <c:pt idx="3">
                  <c:v>0</c:v>
                </c:pt>
                <c:pt idx="4">
                  <c:v>0</c:v>
                </c:pt>
                <c:pt idx="5">
                  <c:v>0</c:v>
                </c:pt>
                <c:pt idx="6">
                  <c:v>0</c:v>
                </c:pt>
                <c:pt idx="7">
                  <c:v>0</c:v>
                </c:pt>
                <c:pt idx="8">
                  <c:v>0</c:v>
                </c:pt>
                <c:pt idx="9">
                  <c:v>0</c:v>
                </c:pt>
                <c:pt idx="10">
                  <c:v>0</c:v>
                </c:pt>
              </c:strCache>
            </c:strRef>
          </c:cat>
          <c:val>
            <c:numRef>
              <c:f>売上工数管理!$E$20:$O$20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FE4-461F-9372-D21724D531A5}"/>
            </c:ext>
          </c:extLst>
        </c:ser>
        <c:ser>
          <c:idx val="1"/>
          <c:order val="1"/>
          <c:tx>
            <c:v>単価売上額合計</c:v>
          </c:tx>
          <c:spPr>
            <a:solidFill>
              <a:schemeClr val="accent2"/>
            </a:solidFill>
            <a:ln>
              <a:noFill/>
            </a:ln>
            <a:effectLst/>
          </c:spPr>
          <c:invertIfNegative val="0"/>
          <c:cat>
            <c:strRef>
              <c:f>売上工数管理!$E$20:$O$20</c:f>
              <c:strCache>
                <c:ptCount val="11"/>
                <c:pt idx="0">
                  <c:v>Webデザイン</c:v>
                </c:pt>
                <c:pt idx="1">
                  <c:v>プログラミング</c:v>
                </c:pt>
                <c:pt idx="2">
                  <c:v>ライティング</c:v>
                </c:pt>
                <c:pt idx="3">
                  <c:v>0</c:v>
                </c:pt>
                <c:pt idx="4">
                  <c:v>0</c:v>
                </c:pt>
                <c:pt idx="5">
                  <c:v>0</c:v>
                </c:pt>
                <c:pt idx="6">
                  <c:v>0</c:v>
                </c:pt>
                <c:pt idx="7">
                  <c:v>0</c:v>
                </c:pt>
                <c:pt idx="8">
                  <c:v>0</c:v>
                </c:pt>
                <c:pt idx="9">
                  <c:v>0</c:v>
                </c:pt>
                <c:pt idx="10">
                  <c:v>0</c:v>
                </c:pt>
              </c:strCache>
            </c:strRef>
          </c:cat>
          <c:val>
            <c:numRef>
              <c:f>売上工数管理!$E$33:$O$33</c:f>
              <c:numCache>
                <c:formatCode>"¥"#,##0_);[Red]\("¥"#,##0\)</c:formatCode>
                <c:ptCount val="11"/>
                <c:pt idx="0">
                  <c:v>70000</c:v>
                </c:pt>
                <c:pt idx="1">
                  <c:v>0</c:v>
                </c:pt>
                <c:pt idx="2">
                  <c:v>10000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4FE4-461F-9372-D21724D531A5}"/>
            </c:ext>
          </c:extLst>
        </c:ser>
        <c:dLbls>
          <c:showLegendKey val="0"/>
          <c:showVal val="0"/>
          <c:showCatName val="0"/>
          <c:showSerName val="0"/>
          <c:showPercent val="0"/>
          <c:showBubbleSize val="0"/>
        </c:dLbls>
        <c:gapWidth val="219"/>
        <c:overlap val="-27"/>
        <c:axId val="649504783"/>
        <c:axId val="649505743"/>
      </c:barChart>
      <c:catAx>
        <c:axId val="649504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649505743"/>
        <c:crosses val="autoZero"/>
        <c:auto val="1"/>
        <c:lblAlgn val="ctr"/>
        <c:lblOffset val="100"/>
        <c:noMultiLvlLbl val="0"/>
      </c:catAx>
      <c:valAx>
        <c:axId val="649505743"/>
        <c:scaling>
          <c:orientation val="minMax"/>
          <c:max val="10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6495047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8</xdr:col>
      <xdr:colOff>243840</xdr:colOff>
      <xdr:row>2</xdr:row>
      <xdr:rowOff>137160</xdr:rowOff>
    </xdr:from>
    <xdr:to>
      <xdr:col>12</xdr:col>
      <xdr:colOff>266700</xdr:colOff>
      <xdr:row>13</xdr:row>
      <xdr:rowOff>167640</xdr:rowOff>
    </xdr:to>
    <xdr:graphicFrame macro="">
      <xdr:nvGraphicFramePr>
        <xdr:cNvPr id="8" name="グラフ 7">
          <a:extLst>
            <a:ext uri="{FF2B5EF4-FFF2-40B4-BE49-F238E27FC236}">
              <a16:creationId xmlns:a16="http://schemas.microsoft.com/office/drawing/2014/main" id="{EF31F418-8128-5EDF-D065-605A028C75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171450</xdr:colOff>
      <xdr:row>17</xdr:row>
      <xdr:rowOff>114300</xdr:rowOff>
    </xdr:from>
    <xdr:to>
      <xdr:col>8</xdr:col>
      <xdr:colOff>571500</xdr:colOff>
      <xdr:row>32</xdr:row>
      <xdr:rowOff>83820</xdr:rowOff>
    </xdr:to>
    <xdr:graphicFrame macro="">
      <xdr:nvGraphicFramePr>
        <xdr:cNvPr id="11" name="グラフ 10">
          <a:extLst>
            <a:ext uri="{FF2B5EF4-FFF2-40B4-BE49-F238E27FC236}">
              <a16:creationId xmlns:a16="http://schemas.microsoft.com/office/drawing/2014/main" id="{33F5A196-C8C6-6724-8634-0756D4CFE2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35</xdr:row>
      <xdr:rowOff>91440</xdr:rowOff>
    </xdr:from>
    <xdr:to>
      <xdr:col>15</xdr:col>
      <xdr:colOff>121920</xdr:colOff>
      <xdr:row>35</xdr:row>
      <xdr:rowOff>434340</xdr:rowOff>
    </xdr:to>
    <xdr:sp macro="[0]!ClearDashboardRange" textlink="">
      <xdr:nvSpPr>
        <xdr:cNvPr id="14" name="正方形/長方形 13">
          <a:extLst>
            <a:ext uri="{FF2B5EF4-FFF2-40B4-BE49-F238E27FC236}">
              <a16:creationId xmlns:a16="http://schemas.microsoft.com/office/drawing/2014/main" id="{7564CF29-1C16-7519-257F-B0A7411BCA1D}"/>
            </a:ext>
          </a:extLst>
        </xdr:cNvPr>
        <xdr:cNvSpPr/>
      </xdr:nvSpPr>
      <xdr:spPr>
        <a:xfrm>
          <a:off x="9273540" y="9944100"/>
          <a:ext cx="1463040" cy="342900"/>
        </a:xfrm>
        <a:prstGeom prst="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ysClr val="windowText" lastClr="000000"/>
              </a:solidFill>
            </a:rPr>
            <a:t>手動入力内容クリア</a:t>
          </a:r>
        </a:p>
      </xdr:txBody>
    </xdr:sp>
    <xdr:clientData/>
  </xdr:twoCellAnchor>
  <xdr:twoCellAnchor>
    <xdr:from>
      <xdr:col>0</xdr:col>
      <xdr:colOff>106680</xdr:colOff>
      <xdr:row>4</xdr:row>
      <xdr:rowOff>152400</xdr:rowOff>
    </xdr:from>
    <xdr:to>
      <xdr:col>2</xdr:col>
      <xdr:colOff>502920</xdr:colOff>
      <xdr:row>6</xdr:row>
      <xdr:rowOff>129540</xdr:rowOff>
    </xdr:to>
    <xdr:sp macro="[0]!本日のセルへ移動" textlink="">
      <xdr:nvSpPr>
        <xdr:cNvPr id="3" name="正方形/長方形 2">
          <a:extLst>
            <a:ext uri="{FF2B5EF4-FFF2-40B4-BE49-F238E27FC236}">
              <a16:creationId xmlns:a16="http://schemas.microsoft.com/office/drawing/2014/main" id="{AD527424-DA22-4B5E-866B-ED7637FD4F0B}"/>
            </a:ext>
          </a:extLst>
        </xdr:cNvPr>
        <xdr:cNvSpPr/>
      </xdr:nvSpPr>
      <xdr:spPr>
        <a:xfrm>
          <a:off x="106680" y="1356360"/>
          <a:ext cx="2339340" cy="441960"/>
        </a:xfrm>
        <a:prstGeom prst="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ysClr val="windowText" lastClr="000000"/>
              </a:solidFill>
            </a:rPr>
            <a:t> </a:t>
          </a:r>
          <a:r>
            <a:rPr kumimoji="1" lang="ja-JP" altLang="en-US" sz="1600" b="1">
              <a:solidFill>
                <a:sysClr val="windowText" lastClr="000000"/>
              </a:solidFill>
            </a:rPr>
            <a:t>▶ 本日のシートへ移動</a:t>
          </a:r>
        </a:p>
      </xdr:txBody>
    </xdr:sp>
    <xdr:clientData/>
  </xdr:twoCellAnchor>
  <xdr:twoCellAnchor>
    <xdr:from>
      <xdr:col>3</xdr:col>
      <xdr:colOff>472440</xdr:colOff>
      <xdr:row>18</xdr:row>
      <xdr:rowOff>121920</xdr:rowOff>
    </xdr:from>
    <xdr:to>
      <xdr:col>9</xdr:col>
      <xdr:colOff>297180</xdr:colOff>
      <xdr:row>31</xdr:row>
      <xdr:rowOff>114300</xdr:rowOff>
    </xdr:to>
    <xdr:graphicFrame macro="">
      <xdr:nvGraphicFramePr>
        <xdr:cNvPr id="4" name="グラフ 3">
          <a:extLst>
            <a:ext uri="{FF2B5EF4-FFF2-40B4-BE49-F238E27FC236}">
              <a16:creationId xmlns:a16="http://schemas.microsoft.com/office/drawing/2014/main" id="{9F1919A3-2C40-E31F-B18A-9FB3536F1A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22860</xdr:colOff>
      <xdr:row>35</xdr:row>
      <xdr:rowOff>106680</xdr:rowOff>
    </xdr:from>
    <xdr:to>
      <xdr:col>15</xdr:col>
      <xdr:colOff>144780</xdr:colOff>
      <xdr:row>35</xdr:row>
      <xdr:rowOff>449580</xdr:rowOff>
    </xdr:to>
    <xdr:sp macro="[0]!手動入力内容クリア" textlink="">
      <xdr:nvSpPr>
        <xdr:cNvPr id="6" name="正方形/長方形 5">
          <a:extLst>
            <a:ext uri="{FF2B5EF4-FFF2-40B4-BE49-F238E27FC236}">
              <a16:creationId xmlns:a16="http://schemas.microsoft.com/office/drawing/2014/main" id="{E21C7F67-1C83-C595-7DD8-2108A986F1EC}"/>
            </a:ext>
          </a:extLst>
        </xdr:cNvPr>
        <xdr:cNvSpPr/>
      </xdr:nvSpPr>
      <xdr:spPr>
        <a:xfrm>
          <a:off x="9525000" y="9898380"/>
          <a:ext cx="1463040" cy="342900"/>
        </a:xfrm>
        <a:prstGeom prst="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ysClr val="windowText" lastClr="000000"/>
              </a:solidFill>
            </a:rPr>
            <a:t>手動入力内容クリア</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5.bin"/><Relationship Id="rId1" Type="http://schemas.openxmlformats.org/officeDocument/2006/relationships/hyperlink" Target="https://zutool.j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60C95-4ED4-41C6-BE18-A461BD543523}">
  <sheetPr codeName="Sheet9">
    <tabColor rgb="FFFFC000"/>
  </sheetPr>
  <dimension ref="A1:U91"/>
  <sheetViews>
    <sheetView tabSelected="1" workbookViewId="0">
      <selection activeCell="A2" sqref="A2"/>
    </sheetView>
  </sheetViews>
  <sheetFormatPr defaultRowHeight="18"/>
  <cols>
    <col min="1" max="1" width="113.3984375" customWidth="1"/>
  </cols>
  <sheetData>
    <row r="1" spans="1:21" ht="40.950000000000003" customHeight="1" thickBot="1">
      <c r="A1" s="134" t="s">
        <v>252</v>
      </c>
      <c r="B1" s="280" t="str">
        <f>HYPERLINK("#ダッシュボード!A2","　▶ ダッシュボードへ")</f>
        <v>　▶ ダッシュボードへ</v>
      </c>
      <c r="C1" s="279"/>
      <c r="D1" s="266"/>
      <c r="E1" s="267"/>
      <c r="F1" s="8"/>
      <c r="G1" s="8"/>
      <c r="H1" s="8"/>
      <c r="I1" s="8"/>
      <c r="J1" s="8"/>
      <c r="K1" s="8"/>
      <c r="L1" s="8"/>
      <c r="M1" s="8"/>
      <c r="N1" s="8"/>
      <c r="O1" s="8"/>
      <c r="P1" s="8"/>
      <c r="Q1" s="8"/>
      <c r="R1" s="8"/>
      <c r="S1" s="8"/>
      <c r="T1" s="8"/>
      <c r="U1" s="8"/>
    </row>
    <row r="3" spans="1:21">
      <c r="A3" t="s">
        <v>254</v>
      </c>
    </row>
    <row r="4" spans="1:21">
      <c r="A4" t="s">
        <v>186</v>
      </c>
    </row>
    <row r="5" spans="1:21">
      <c r="A5" t="s">
        <v>187</v>
      </c>
    </row>
    <row r="6" spans="1:21">
      <c r="A6" s="269" t="s">
        <v>257</v>
      </c>
    </row>
    <row r="7" spans="1:21">
      <c r="A7" s="269" t="s">
        <v>302</v>
      </c>
    </row>
    <row r="8" spans="1:21">
      <c r="A8" s="269" t="s">
        <v>297</v>
      </c>
    </row>
    <row r="9" spans="1:21">
      <c r="A9" s="269"/>
    </row>
    <row r="10" spans="1:21">
      <c r="A10" s="269" t="s">
        <v>205</v>
      </c>
    </row>
    <row r="11" spans="1:21">
      <c r="A11" s="269" t="s">
        <v>206</v>
      </c>
    </row>
    <row r="12" spans="1:21">
      <c r="A12" s="269" t="s">
        <v>220</v>
      </c>
    </row>
    <row r="13" spans="1:21">
      <c r="A13" s="269" t="s">
        <v>221</v>
      </c>
    </row>
    <row r="15" spans="1:21">
      <c r="A15" s="10" t="s">
        <v>188</v>
      </c>
    </row>
    <row r="16" spans="1:21">
      <c r="A16" t="s">
        <v>191</v>
      </c>
    </row>
    <row r="17" spans="1:1">
      <c r="A17" t="s">
        <v>192</v>
      </c>
    </row>
    <row r="18" spans="1:1">
      <c r="A18" t="s">
        <v>281</v>
      </c>
    </row>
    <row r="19" spans="1:1">
      <c r="A19" t="s">
        <v>282</v>
      </c>
    </row>
    <row r="20" spans="1:1">
      <c r="A20" t="s">
        <v>193</v>
      </c>
    </row>
    <row r="21" spans="1:1">
      <c r="A21" t="s">
        <v>194</v>
      </c>
    </row>
    <row r="22" spans="1:1">
      <c r="A22" t="s">
        <v>295</v>
      </c>
    </row>
    <row r="23" spans="1:1">
      <c r="A23" t="s">
        <v>195</v>
      </c>
    </row>
    <row r="24" spans="1:1">
      <c r="A24" t="s">
        <v>198</v>
      </c>
    </row>
    <row r="25" spans="1:1">
      <c r="A25" t="s">
        <v>196</v>
      </c>
    </row>
    <row r="26" spans="1:1">
      <c r="A26" t="s">
        <v>197</v>
      </c>
    </row>
    <row r="28" spans="1:1">
      <c r="A28" t="s">
        <v>199</v>
      </c>
    </row>
    <row r="29" spans="1:1">
      <c r="A29" t="s">
        <v>200</v>
      </c>
    </row>
    <row r="31" spans="1:1">
      <c r="A31" t="s">
        <v>201</v>
      </c>
    </row>
    <row r="32" spans="1:1">
      <c r="A32" t="s">
        <v>203</v>
      </c>
    </row>
    <row r="33" spans="1:1">
      <c r="A33" s="10" t="s">
        <v>210</v>
      </c>
    </row>
    <row r="34" spans="1:1">
      <c r="A34" t="s">
        <v>204</v>
      </c>
    </row>
    <row r="35" spans="1:1">
      <c r="A35" s="269" t="s">
        <v>207</v>
      </c>
    </row>
    <row r="36" spans="1:1">
      <c r="A36" s="269" t="s">
        <v>208</v>
      </c>
    </row>
    <row r="38" spans="1:1">
      <c r="A38" s="10" t="s">
        <v>209</v>
      </c>
    </row>
    <row r="39" spans="1:1">
      <c r="A39" t="s">
        <v>211</v>
      </c>
    </row>
    <row r="41" spans="1:1">
      <c r="A41" s="10" t="s">
        <v>212</v>
      </c>
    </row>
    <row r="42" spans="1:1">
      <c r="A42" t="s">
        <v>213</v>
      </c>
    </row>
    <row r="43" spans="1:1">
      <c r="A43" t="s">
        <v>214</v>
      </c>
    </row>
    <row r="45" spans="1:1">
      <c r="A45" s="10" t="s">
        <v>215</v>
      </c>
    </row>
    <row r="46" spans="1:1">
      <c r="A46" t="s">
        <v>216</v>
      </c>
    </row>
    <row r="48" spans="1:1">
      <c r="A48" s="10" t="s">
        <v>217</v>
      </c>
    </row>
    <row r="49" spans="1:1">
      <c r="A49" s="270" t="s">
        <v>218</v>
      </c>
    </row>
    <row r="50" spans="1:1">
      <c r="A50" s="270" t="s">
        <v>219</v>
      </c>
    </row>
    <row r="51" spans="1:1">
      <c r="A51" s="270" t="s">
        <v>258</v>
      </c>
    </row>
    <row r="52" spans="1:1">
      <c r="A52" s="270" t="s">
        <v>222</v>
      </c>
    </row>
    <row r="53" spans="1:1">
      <c r="A53" s="271" t="s">
        <v>289</v>
      </c>
    </row>
    <row r="54" spans="1:1">
      <c r="A54" s="271" t="s">
        <v>231</v>
      </c>
    </row>
    <row r="55" spans="1:1">
      <c r="A55" s="270" t="s">
        <v>291</v>
      </c>
    </row>
    <row r="56" spans="1:1">
      <c r="A56" s="271" t="s">
        <v>223</v>
      </c>
    </row>
    <row r="57" spans="1:1">
      <c r="A57" s="272" t="s">
        <v>224</v>
      </c>
    </row>
    <row r="58" spans="1:1">
      <c r="A58" s="272" t="s">
        <v>225</v>
      </c>
    </row>
    <row r="59" spans="1:1">
      <c r="A59" s="272" t="s">
        <v>226</v>
      </c>
    </row>
    <row r="60" spans="1:1">
      <c r="A60" s="272" t="s">
        <v>227</v>
      </c>
    </row>
    <row r="61" spans="1:1">
      <c r="A61" s="272" t="s">
        <v>228</v>
      </c>
    </row>
    <row r="62" spans="1:1">
      <c r="A62" s="272" t="s">
        <v>229</v>
      </c>
    </row>
    <row r="63" spans="1:1">
      <c r="A63" s="272" t="s">
        <v>230</v>
      </c>
    </row>
    <row r="64" spans="1:1">
      <c r="A64" s="272" t="s">
        <v>234</v>
      </c>
    </row>
    <row r="65" spans="1:1">
      <c r="A65" s="272" t="s">
        <v>233</v>
      </c>
    </row>
    <row r="66" spans="1:1">
      <c r="A66" s="272" t="s">
        <v>232</v>
      </c>
    </row>
    <row r="67" spans="1:1">
      <c r="A67" s="272" t="s">
        <v>235</v>
      </c>
    </row>
    <row r="68" spans="1:1">
      <c r="A68" s="272" t="s">
        <v>236</v>
      </c>
    </row>
    <row r="69" spans="1:1">
      <c r="A69" s="272" t="s">
        <v>237</v>
      </c>
    </row>
    <row r="70" spans="1:1">
      <c r="A70" s="272" t="s">
        <v>238</v>
      </c>
    </row>
    <row r="71" spans="1:1">
      <c r="A71" s="272" t="s">
        <v>239</v>
      </c>
    </row>
    <row r="72" spans="1:1">
      <c r="A72" s="272" t="s">
        <v>240</v>
      </c>
    </row>
    <row r="73" spans="1:1">
      <c r="A73" s="272" t="s">
        <v>296</v>
      </c>
    </row>
    <row r="74" spans="1:1">
      <c r="A74" s="272" t="s">
        <v>241</v>
      </c>
    </row>
    <row r="75" spans="1:1">
      <c r="A75" s="272" t="s">
        <v>244</v>
      </c>
    </row>
    <row r="76" spans="1:1">
      <c r="A76" s="272" t="s">
        <v>245</v>
      </c>
    </row>
    <row r="77" spans="1:1">
      <c r="A77" s="272" t="s">
        <v>246</v>
      </c>
    </row>
    <row r="78" spans="1:1">
      <c r="A78" s="272" t="s">
        <v>247</v>
      </c>
    </row>
    <row r="80" spans="1:1">
      <c r="A80" s="17" t="s">
        <v>248</v>
      </c>
    </row>
    <row r="81" spans="1:8">
      <c r="A81" s="272" t="s">
        <v>249</v>
      </c>
    </row>
    <row r="82" spans="1:8">
      <c r="A82" s="272" t="s">
        <v>250</v>
      </c>
    </row>
    <row r="83" spans="1:8" ht="409.2" customHeight="1">
      <c r="A83" s="6" t="s">
        <v>251</v>
      </c>
    </row>
    <row r="84" spans="1:8" ht="18.600000000000001" thickBot="1"/>
    <row r="85" spans="1:8">
      <c r="A85" s="273" t="s">
        <v>255</v>
      </c>
      <c r="B85" s="274"/>
      <c r="C85" s="274"/>
      <c r="D85" s="274"/>
      <c r="E85" s="274"/>
      <c r="F85" s="274"/>
      <c r="G85" s="274"/>
      <c r="H85" s="275"/>
    </row>
    <row r="86" spans="1:8" ht="18.600000000000001" thickBot="1">
      <c r="A86" s="276" t="s">
        <v>256</v>
      </c>
      <c r="B86" s="277"/>
      <c r="C86" s="277"/>
      <c r="D86" s="277"/>
      <c r="E86" s="277"/>
      <c r="F86" s="277"/>
      <c r="G86" s="277"/>
      <c r="H86" s="278"/>
    </row>
    <row r="87" spans="1:8">
      <c r="A87" s="269"/>
    </row>
    <row r="88" spans="1:8">
      <c r="A88" s="2" t="s">
        <v>253</v>
      </c>
    </row>
    <row r="90" spans="1:8">
      <c r="A90" s="272" t="s">
        <v>259</v>
      </c>
    </row>
    <row r="91" spans="1:8">
      <c r="A91" s="10" t="s">
        <v>260</v>
      </c>
    </row>
  </sheetData>
  <phoneticPr fontId="5"/>
  <hyperlinks>
    <hyperlink ref="A15" location="ダッシュボード!A2" display="▶ダッシュボード" xr:uid="{32374379-A982-4DDD-9D81-EB9BAEE42352}"/>
    <hyperlink ref="A33" location="ダッシュボード!O37" display="入力番号" xr:uid="{466EF007-3C38-4701-981E-640F440594C3}"/>
    <hyperlink ref="A38" location="売上工数管理!A2" display="▶売上工数管理シート" xr:uid="{D044CB2C-DD70-4940-BD85-ED0A2B53694B}"/>
    <hyperlink ref="A41" location="業務メモ!A2" display="▶業務メモシート" xr:uid="{A4F07902-7807-4AB9-BCB9-8554F4E61873}"/>
    <hyperlink ref="A45" location="案件コード!D3" display="▶案件コードシート" xr:uid="{742A51C4-F63F-4838-B138-9627EE9A6121}"/>
    <hyperlink ref="A48" location="基本データ!A4" display="▶基本データシート" xr:uid="{06FCF64B-878C-4873-8DD0-651B79D1F60A}"/>
    <hyperlink ref="A91" location="マニュアル!A2" display="▲トップへ戻る" xr:uid="{675843EB-DF64-49EF-9441-89608D6C42D6}"/>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4000"/>
  </sheetPr>
  <dimension ref="A1:P42"/>
  <sheetViews>
    <sheetView zoomScaleNormal="100" workbookViewId="0">
      <selection activeCell="A2" sqref="A2"/>
    </sheetView>
  </sheetViews>
  <sheetFormatPr defaultColWidth="10.5" defaultRowHeight="18"/>
  <cols>
    <col min="1" max="2" width="10.69921875" customWidth="1"/>
  </cols>
  <sheetData>
    <row r="1" spans="1:16" ht="40.950000000000003" customHeight="1" thickBot="1">
      <c r="A1" s="26" t="s">
        <v>170</v>
      </c>
      <c r="B1" s="9"/>
      <c r="C1" s="9"/>
      <c r="D1" s="9"/>
      <c r="E1" s="9"/>
      <c r="F1" s="9"/>
      <c r="G1" s="9"/>
      <c r="H1" s="9"/>
      <c r="I1" s="182" t="s">
        <v>111</v>
      </c>
      <c r="J1" s="20"/>
      <c r="K1" s="9"/>
      <c r="L1" s="8"/>
      <c r="M1" s="8"/>
      <c r="N1" s="8"/>
      <c r="O1" s="8"/>
      <c r="P1" s="8"/>
    </row>
    <row r="3" spans="1:16">
      <c r="A3" t="s">
        <v>284</v>
      </c>
    </row>
    <row r="4" spans="1:16">
      <c r="A4" t="s">
        <v>284</v>
      </c>
    </row>
    <row r="5" spans="1:16">
      <c r="A5" t="s">
        <v>284</v>
      </c>
    </row>
    <row r="6" spans="1:16">
      <c r="A6" t="s">
        <v>284</v>
      </c>
    </row>
    <row r="7" spans="1:16">
      <c r="A7" t="s">
        <v>284</v>
      </c>
    </row>
    <row r="8" spans="1:16">
      <c r="A8" t="s">
        <v>284</v>
      </c>
    </row>
    <row r="9" spans="1:16">
      <c r="A9" t="s">
        <v>284</v>
      </c>
    </row>
    <row r="10" spans="1:16">
      <c r="A10" t="s">
        <v>284</v>
      </c>
    </row>
    <row r="11" spans="1:16">
      <c r="A11" t="s">
        <v>284</v>
      </c>
    </row>
    <row r="13" spans="1:16" ht="40.950000000000003" customHeight="1">
      <c r="A13" s="9" t="s">
        <v>169</v>
      </c>
      <c r="B13" s="9"/>
      <c r="C13" s="9"/>
      <c r="D13" s="9"/>
      <c r="E13" s="8"/>
      <c r="F13" s="8"/>
      <c r="G13" s="8"/>
      <c r="H13" s="8"/>
      <c r="I13" s="8"/>
      <c r="J13" s="8"/>
      <c r="K13" s="8"/>
      <c r="L13" s="8"/>
      <c r="M13" s="8"/>
      <c r="N13" s="8"/>
      <c r="O13" s="8"/>
      <c r="P13" s="8"/>
    </row>
    <row r="14" spans="1:16">
      <c r="A14" s="22" t="s">
        <v>82</v>
      </c>
      <c r="B14" s="18"/>
      <c r="C14" s="18"/>
      <c r="D14" s="18"/>
      <c r="E14" s="21"/>
      <c r="F14" s="21"/>
      <c r="G14" s="21"/>
      <c r="H14" s="21"/>
      <c r="I14" s="21"/>
      <c r="J14" s="21"/>
      <c r="K14" s="21"/>
      <c r="L14" s="21"/>
      <c r="M14" s="21"/>
      <c r="N14" s="21"/>
      <c r="O14" s="21"/>
      <c r="P14" s="21"/>
    </row>
    <row r="15" spans="1:16">
      <c r="A15" s="355" t="s">
        <v>283</v>
      </c>
      <c r="B15" s="18"/>
      <c r="C15" s="18"/>
      <c r="D15" s="18"/>
      <c r="E15" s="21"/>
      <c r="F15" s="21"/>
      <c r="G15" s="21"/>
      <c r="H15" s="21"/>
      <c r="I15" s="21"/>
      <c r="J15" s="21"/>
      <c r="K15" s="21"/>
      <c r="L15" s="21"/>
      <c r="M15" s="21"/>
      <c r="N15" s="21"/>
      <c r="O15" s="21"/>
      <c r="P15" s="21"/>
    </row>
    <row r="16" spans="1:16">
      <c r="A16" s="23"/>
      <c r="B16" s="18"/>
      <c r="C16" s="18"/>
      <c r="D16" s="18"/>
      <c r="E16" s="21"/>
      <c r="F16" s="21"/>
      <c r="G16" s="21"/>
      <c r="H16" s="21"/>
      <c r="I16" s="21"/>
      <c r="J16" s="21"/>
      <c r="K16" s="21"/>
      <c r="L16" s="21"/>
      <c r="M16" s="21"/>
      <c r="N16" s="21"/>
      <c r="O16" s="21"/>
      <c r="P16" s="21"/>
    </row>
    <row r="17" spans="1:16">
      <c r="A17" s="23"/>
      <c r="B17" s="18"/>
      <c r="C17" s="18"/>
      <c r="D17" s="18"/>
      <c r="E17" s="21"/>
      <c r="F17" s="21"/>
      <c r="G17" s="21"/>
      <c r="H17" s="21"/>
      <c r="I17" s="21"/>
      <c r="J17" s="21"/>
      <c r="K17" s="21"/>
      <c r="L17" s="21"/>
      <c r="M17" s="21"/>
      <c r="N17" s="21"/>
      <c r="O17" s="21"/>
      <c r="P17" s="21"/>
    </row>
    <row r="18" spans="1:16">
      <c r="A18" s="23"/>
      <c r="B18" s="18"/>
      <c r="C18" s="18"/>
      <c r="D18" s="18"/>
      <c r="E18" s="21"/>
      <c r="F18" s="21"/>
      <c r="G18" s="21"/>
      <c r="H18" s="21"/>
      <c r="I18" s="21"/>
      <c r="J18" s="21"/>
      <c r="K18" s="21"/>
      <c r="L18" s="21"/>
      <c r="M18" s="21"/>
      <c r="N18" s="21"/>
      <c r="O18" s="21"/>
      <c r="P18" s="21"/>
    </row>
    <row r="19" spans="1:16">
      <c r="A19" s="23"/>
      <c r="B19" s="18"/>
      <c r="C19" s="18"/>
      <c r="D19" s="18"/>
      <c r="E19" s="21"/>
      <c r="F19" s="21"/>
      <c r="G19" s="21"/>
      <c r="H19" s="21"/>
      <c r="I19" s="21"/>
      <c r="J19" s="21"/>
      <c r="K19" s="21"/>
      <c r="L19" s="21"/>
      <c r="M19" s="21"/>
      <c r="N19" s="21"/>
      <c r="O19" s="21"/>
      <c r="P19" s="21"/>
    </row>
    <row r="20" spans="1:16">
      <c r="A20" s="23"/>
      <c r="B20" s="18"/>
      <c r="C20" s="18"/>
      <c r="D20" s="18"/>
      <c r="E20" s="21"/>
      <c r="F20" s="21"/>
      <c r="G20" s="21"/>
      <c r="H20" s="21"/>
      <c r="I20" s="21"/>
      <c r="J20" s="21"/>
      <c r="K20" s="21"/>
      <c r="L20" s="21"/>
      <c r="M20" s="21"/>
      <c r="N20" s="21"/>
      <c r="O20" s="21"/>
      <c r="P20" s="21"/>
    </row>
    <row r="21" spans="1:16">
      <c r="A21" s="23"/>
      <c r="B21" s="18"/>
      <c r="C21" s="18"/>
      <c r="D21" s="18"/>
      <c r="E21" s="21"/>
      <c r="F21" s="21"/>
      <c r="G21" s="21"/>
      <c r="H21" s="21"/>
      <c r="I21" s="21"/>
      <c r="J21" s="21"/>
      <c r="K21" s="21"/>
      <c r="L21" s="21"/>
      <c r="M21" s="21"/>
      <c r="N21" s="21"/>
      <c r="O21" s="21"/>
      <c r="P21" s="21"/>
    </row>
    <row r="22" spans="1:16">
      <c r="A22" s="23"/>
      <c r="B22" s="18"/>
      <c r="C22" s="18"/>
      <c r="D22" s="18"/>
      <c r="E22" s="21"/>
      <c r="F22" s="21"/>
      <c r="G22" s="21"/>
      <c r="H22" s="21"/>
      <c r="I22" s="21"/>
      <c r="J22" s="21"/>
      <c r="K22" s="21"/>
      <c r="L22" s="21"/>
      <c r="M22" s="21"/>
      <c r="N22" s="21"/>
      <c r="O22" s="21"/>
      <c r="P22" s="21"/>
    </row>
    <row r="23" spans="1:16">
      <c r="A23" s="22"/>
      <c r="B23" s="18"/>
      <c r="C23" s="18"/>
      <c r="D23" s="18"/>
      <c r="E23" s="21"/>
      <c r="F23" s="21"/>
      <c r="G23" s="21"/>
      <c r="H23" s="21"/>
      <c r="I23" s="21"/>
      <c r="J23" s="21"/>
      <c r="K23" s="21"/>
      <c r="L23" s="21"/>
      <c r="M23" s="21"/>
      <c r="N23" s="21"/>
      <c r="O23" s="21"/>
      <c r="P23" s="21"/>
    </row>
    <row r="24" spans="1:16">
      <c r="A24" s="23"/>
      <c r="B24" s="18"/>
      <c r="C24" s="18"/>
      <c r="D24" s="18"/>
      <c r="E24" s="21"/>
      <c r="F24" s="21"/>
      <c r="G24" s="21"/>
      <c r="H24" s="21"/>
      <c r="I24" s="21"/>
      <c r="J24" s="21"/>
      <c r="K24" s="21"/>
      <c r="L24" s="21"/>
      <c r="M24" s="21"/>
      <c r="N24" s="21"/>
      <c r="O24" s="21"/>
      <c r="P24" s="21"/>
    </row>
    <row r="25" spans="1:16">
      <c r="A25" s="18"/>
      <c r="B25" s="18"/>
      <c r="C25" s="18"/>
      <c r="D25" s="18"/>
      <c r="E25" s="21"/>
      <c r="F25" s="21"/>
      <c r="G25" s="21"/>
      <c r="H25" s="21"/>
      <c r="I25" s="21"/>
      <c r="J25" s="21"/>
      <c r="K25" s="21"/>
      <c r="L25" s="21"/>
      <c r="M25" s="21"/>
      <c r="N25" s="21"/>
      <c r="O25" s="21"/>
      <c r="P25" s="21"/>
    </row>
    <row r="26" spans="1:16">
      <c r="A26" s="18"/>
      <c r="B26" s="18"/>
      <c r="C26" s="18"/>
      <c r="D26" s="18"/>
      <c r="E26" s="21"/>
      <c r="F26" s="21"/>
      <c r="G26" s="21"/>
      <c r="H26" s="21"/>
      <c r="I26" s="21"/>
      <c r="J26" s="21"/>
      <c r="K26" s="21"/>
      <c r="L26" s="21"/>
      <c r="M26" s="21"/>
      <c r="N26" s="21"/>
      <c r="O26" s="21"/>
      <c r="P26" s="21"/>
    </row>
    <row r="27" spans="1:16">
      <c r="A27" s="18"/>
      <c r="B27" s="18"/>
      <c r="C27" s="18"/>
      <c r="D27" s="18"/>
      <c r="E27" s="21"/>
      <c r="F27" s="21"/>
      <c r="G27" s="21"/>
      <c r="H27" s="21"/>
      <c r="I27" s="21"/>
      <c r="J27" s="21"/>
      <c r="K27" s="21"/>
      <c r="L27" s="21"/>
      <c r="M27" s="21"/>
      <c r="N27" s="21"/>
      <c r="O27" s="21"/>
      <c r="P27" s="21"/>
    </row>
    <row r="28" spans="1:16">
      <c r="A28" s="18"/>
      <c r="B28" s="18"/>
      <c r="C28" s="18"/>
      <c r="D28" s="18"/>
      <c r="E28" s="21"/>
      <c r="F28" s="21"/>
      <c r="G28" s="21"/>
      <c r="H28" s="21"/>
      <c r="I28" s="21"/>
      <c r="J28" s="21"/>
      <c r="K28" s="21"/>
      <c r="L28" s="21"/>
      <c r="M28" s="21"/>
      <c r="N28" s="21"/>
      <c r="O28" s="21"/>
      <c r="P28" s="21"/>
    </row>
    <row r="29" spans="1:16">
      <c r="A29" s="18"/>
      <c r="B29" s="18"/>
      <c r="C29" s="18"/>
      <c r="D29" s="18"/>
      <c r="E29" s="21"/>
      <c r="F29" s="21"/>
      <c r="G29" s="21"/>
      <c r="H29" s="21"/>
      <c r="I29" s="21"/>
      <c r="J29" s="21"/>
      <c r="K29" s="21"/>
      <c r="L29" s="21"/>
      <c r="M29" s="21"/>
      <c r="N29" s="21"/>
      <c r="O29" s="21"/>
      <c r="P29" s="21"/>
    </row>
    <row r="30" spans="1:16">
      <c r="A30" s="18"/>
      <c r="B30" s="18"/>
      <c r="C30" s="18"/>
      <c r="D30" s="18"/>
      <c r="E30" s="21"/>
      <c r="F30" s="21"/>
      <c r="G30" s="21"/>
      <c r="H30" s="21"/>
      <c r="I30" s="21"/>
      <c r="J30" s="21"/>
      <c r="K30" s="21"/>
      <c r="L30" s="21"/>
      <c r="M30" s="21"/>
      <c r="N30" s="21"/>
      <c r="O30" s="21"/>
      <c r="P30" s="21"/>
    </row>
    <row r="31" spans="1:16">
      <c r="A31" s="21"/>
      <c r="B31" s="21"/>
      <c r="C31" s="21"/>
      <c r="D31" s="21"/>
      <c r="E31" s="21"/>
      <c r="F31" s="21"/>
      <c r="G31" s="21"/>
      <c r="H31" s="21"/>
      <c r="I31" s="21"/>
      <c r="J31" s="21"/>
      <c r="K31" s="21"/>
      <c r="L31" s="21"/>
      <c r="M31" s="21"/>
      <c r="N31" s="21"/>
      <c r="O31" s="21"/>
      <c r="P31" s="21"/>
    </row>
    <row r="32" spans="1:16">
      <c r="A32" s="21"/>
      <c r="B32" s="21"/>
      <c r="C32" s="21"/>
      <c r="D32" s="21"/>
      <c r="E32" s="21"/>
      <c r="F32" s="21"/>
      <c r="G32" s="21"/>
      <c r="H32" s="21"/>
      <c r="I32" s="21"/>
      <c r="J32" s="21"/>
      <c r="K32" s="21"/>
      <c r="L32" s="21"/>
      <c r="M32" s="21"/>
      <c r="N32" s="21"/>
      <c r="O32" s="21"/>
      <c r="P32" s="21"/>
    </row>
    <row r="33" spans="1:16">
      <c r="A33" s="21"/>
      <c r="B33" s="21"/>
      <c r="C33" s="21"/>
      <c r="D33" s="21"/>
      <c r="E33" s="21"/>
      <c r="F33" s="21"/>
      <c r="G33" s="21"/>
      <c r="H33" s="21"/>
      <c r="I33" s="21"/>
      <c r="J33" s="21"/>
      <c r="K33" s="21"/>
      <c r="L33" s="21"/>
      <c r="M33" s="21"/>
      <c r="N33" s="21"/>
      <c r="O33" s="21"/>
      <c r="P33" s="21"/>
    </row>
    <row r="34" spans="1:16">
      <c r="A34" s="21"/>
      <c r="B34" s="21"/>
      <c r="C34" s="21"/>
      <c r="D34" s="21"/>
      <c r="E34" s="21"/>
      <c r="F34" s="21"/>
      <c r="G34" s="21"/>
      <c r="H34" s="21"/>
      <c r="I34" s="21"/>
      <c r="J34" s="21"/>
      <c r="K34" s="21"/>
      <c r="L34" s="21"/>
      <c r="M34" s="21"/>
      <c r="N34" s="21"/>
      <c r="O34" s="21"/>
      <c r="P34" s="21"/>
    </row>
    <row r="35" spans="1:16">
      <c r="A35" s="21"/>
      <c r="B35" s="21"/>
      <c r="C35" s="21"/>
      <c r="D35" s="21"/>
      <c r="E35" s="21"/>
      <c r="F35" s="21"/>
      <c r="G35" s="21"/>
      <c r="H35" s="21"/>
      <c r="I35" s="21"/>
      <c r="J35" s="21"/>
      <c r="K35" s="21"/>
      <c r="L35" s="21"/>
      <c r="M35" s="21"/>
      <c r="N35" s="21"/>
      <c r="O35" s="21"/>
      <c r="P35" s="21"/>
    </row>
    <row r="36" spans="1:16">
      <c r="A36" s="21"/>
      <c r="B36" s="21"/>
      <c r="C36" s="21"/>
      <c r="D36" s="21"/>
      <c r="E36" s="21"/>
      <c r="F36" s="21"/>
      <c r="G36" s="21"/>
      <c r="H36" s="21"/>
      <c r="I36" s="21"/>
      <c r="J36" s="21"/>
      <c r="K36" s="21"/>
      <c r="L36" s="21"/>
      <c r="M36" s="21"/>
      <c r="N36" s="21"/>
      <c r="O36" s="21"/>
      <c r="P36" s="21"/>
    </row>
    <row r="37" spans="1:16">
      <c r="A37" s="21"/>
      <c r="B37" s="21"/>
      <c r="C37" s="21"/>
      <c r="D37" s="21"/>
      <c r="E37" s="21"/>
      <c r="F37" s="21"/>
      <c r="G37" s="21"/>
      <c r="H37" s="21"/>
      <c r="I37" s="21"/>
      <c r="J37" s="21"/>
      <c r="K37" s="21"/>
      <c r="L37" s="21"/>
      <c r="M37" s="21"/>
      <c r="N37" s="21"/>
      <c r="O37" s="21"/>
      <c r="P37" s="21"/>
    </row>
    <row r="38" spans="1:16">
      <c r="A38" s="21"/>
      <c r="B38" s="21"/>
      <c r="C38" s="21"/>
      <c r="D38" s="21"/>
      <c r="E38" s="21"/>
      <c r="F38" s="21"/>
      <c r="G38" s="21"/>
      <c r="H38" s="21"/>
      <c r="I38" s="21"/>
      <c r="J38" s="21"/>
      <c r="K38" s="21"/>
      <c r="L38" s="21"/>
      <c r="M38" s="21"/>
      <c r="N38" s="21"/>
      <c r="O38" s="21"/>
      <c r="P38" s="21"/>
    </row>
    <row r="39" spans="1:16">
      <c r="A39" s="21"/>
      <c r="B39" s="21"/>
      <c r="C39" s="21"/>
      <c r="D39" s="21"/>
      <c r="E39" s="21"/>
      <c r="F39" s="21"/>
      <c r="G39" s="21"/>
      <c r="H39" s="21"/>
      <c r="I39" s="21"/>
      <c r="J39" s="21"/>
      <c r="K39" s="21"/>
      <c r="L39" s="21"/>
      <c r="M39" s="21"/>
      <c r="N39" s="21"/>
      <c r="O39" s="21"/>
      <c r="P39" s="21"/>
    </row>
    <row r="40" spans="1:16">
      <c r="A40" s="21"/>
      <c r="B40" s="21"/>
      <c r="C40" s="21"/>
      <c r="D40" s="21"/>
      <c r="E40" s="21"/>
      <c r="F40" s="21"/>
      <c r="G40" s="21"/>
      <c r="H40" s="21"/>
      <c r="I40" s="21"/>
      <c r="J40" s="21"/>
      <c r="K40" s="21"/>
      <c r="L40" s="21"/>
      <c r="M40" s="21"/>
      <c r="N40" s="21"/>
      <c r="O40" s="21"/>
      <c r="P40" s="21"/>
    </row>
    <row r="41" spans="1:16">
      <c r="A41" s="21"/>
      <c r="B41" s="21"/>
      <c r="C41" s="21"/>
      <c r="D41" s="21"/>
      <c r="E41" s="21"/>
      <c r="F41" s="21"/>
      <c r="G41" s="21"/>
      <c r="H41" s="21"/>
      <c r="I41" s="21"/>
      <c r="J41" s="21"/>
      <c r="K41" s="21"/>
      <c r="L41" s="21"/>
      <c r="M41" s="21"/>
      <c r="N41" s="21"/>
      <c r="O41" s="21"/>
      <c r="P41" s="21"/>
    </row>
    <row r="42" spans="1:16">
      <c r="A42" s="21"/>
      <c r="B42" s="21"/>
      <c r="C42" s="21"/>
      <c r="D42" s="21"/>
      <c r="E42" s="21"/>
      <c r="F42" s="21"/>
      <c r="G42" s="21"/>
      <c r="H42" s="21"/>
      <c r="I42" s="21"/>
      <c r="J42" s="21"/>
      <c r="K42" s="21"/>
      <c r="L42" s="21"/>
      <c r="M42" s="21"/>
      <c r="N42" s="21"/>
      <c r="O42" s="21"/>
      <c r="P42" s="21"/>
    </row>
  </sheetData>
  <phoneticPr fontId="5"/>
  <hyperlinks>
    <hyperlink ref="I1" location="ダッシュボード!A2" display="▶ダッシュボードへ" xr:uid="{DA19CEFA-07CC-4918-A3F0-F33F2B6DFB9F}"/>
    <hyperlink ref="A14" location="業務メモ!A2" display="全体" xr:uid="{192F92DF-C45E-4971-B0E6-DF557C0A9A84}"/>
    <hyperlink ref="A15" location="業務メモ_Webデザイン!A2" display="Webデザイン" xr:uid="{3707D8E5-8FC9-4350-92C7-63049EF99ABD}"/>
  </hyperlinks>
  <pageMargins left="0.78749999999999998" right="0.78749999999999998" top="1.05277777777778" bottom="1.05277777777778" header="0.78749999999999998" footer="0.78749999999999998"/>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72E50-517A-44DC-93D1-092BA0699678}">
  <sheetPr codeName="Sheet3">
    <tabColor rgb="FFFF4000"/>
  </sheetPr>
  <dimension ref="A1:P11"/>
  <sheetViews>
    <sheetView zoomScaleNormal="100" workbookViewId="0">
      <selection activeCell="A2" sqref="A2"/>
    </sheetView>
  </sheetViews>
  <sheetFormatPr defaultColWidth="10.5" defaultRowHeight="18"/>
  <cols>
    <col min="1" max="2" width="10.69921875" customWidth="1"/>
  </cols>
  <sheetData>
    <row r="1" spans="1:16" ht="40.950000000000003" customHeight="1" thickBot="1">
      <c r="A1" s="26" t="s">
        <v>285</v>
      </c>
      <c r="B1" s="9"/>
      <c r="C1" s="9"/>
      <c r="D1" s="9"/>
      <c r="E1" s="9"/>
      <c r="F1" s="9"/>
      <c r="G1" s="9"/>
      <c r="H1" s="9"/>
      <c r="I1" s="182" t="s">
        <v>111</v>
      </c>
      <c r="J1" s="20"/>
      <c r="K1" s="9"/>
      <c r="L1" s="8"/>
      <c r="M1" s="8"/>
      <c r="N1" s="8"/>
      <c r="O1" s="8"/>
      <c r="P1" s="8"/>
    </row>
    <row r="3" spans="1:16">
      <c r="A3" t="s">
        <v>284</v>
      </c>
    </row>
    <row r="4" spans="1:16">
      <c r="A4" t="s">
        <v>284</v>
      </c>
    </row>
    <row r="5" spans="1:16">
      <c r="A5" t="s">
        <v>284</v>
      </c>
    </row>
    <row r="6" spans="1:16">
      <c r="A6" t="s">
        <v>284</v>
      </c>
    </row>
    <row r="7" spans="1:16">
      <c r="A7" t="s">
        <v>284</v>
      </c>
    </row>
    <row r="8" spans="1:16">
      <c r="A8" t="s">
        <v>284</v>
      </c>
    </row>
    <row r="9" spans="1:16">
      <c r="A9" t="s">
        <v>284</v>
      </c>
    </row>
    <row r="10" spans="1:16">
      <c r="A10" t="s">
        <v>284</v>
      </c>
    </row>
    <row r="11" spans="1:16">
      <c r="A11" t="s">
        <v>284</v>
      </c>
    </row>
  </sheetData>
  <phoneticPr fontId="5"/>
  <hyperlinks>
    <hyperlink ref="I1" location="ダッシュボード!A2" display="▶ダッシュボードへ" xr:uid="{3886A2AA-AA17-4758-A196-BCBB14C2FD4D}"/>
  </hyperlinks>
  <pageMargins left="0.78749999999999998" right="0.78749999999999998" top="1.05277777777778" bottom="1.05277777777778" header="0.78749999999999998" footer="0.78749999999999998"/>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7C81D-0402-43D6-9D9A-6872A0DF4C7B}">
  <sheetPr codeName="Sheet1">
    <tabColor rgb="FF92D050"/>
  </sheetPr>
  <dimension ref="A1:S156"/>
  <sheetViews>
    <sheetView workbookViewId="0">
      <selection activeCell="A2" sqref="A2"/>
    </sheetView>
  </sheetViews>
  <sheetFormatPr defaultRowHeight="18"/>
  <cols>
    <col min="1" max="6" width="8.796875" style="41"/>
    <col min="7" max="7" width="10" style="41" customWidth="1"/>
    <col min="8" max="9" width="8.796875" style="41"/>
    <col min="10" max="10" width="8.796875" style="41" customWidth="1"/>
    <col min="11" max="12" width="8.796875" style="41"/>
    <col min="13" max="13" width="18" style="41" customWidth="1"/>
    <col min="14" max="14" width="8.796875" style="41"/>
    <col min="15" max="15" width="9" style="41" bestFit="1" customWidth="1"/>
    <col min="16" max="16" width="8.796875" style="41" customWidth="1"/>
    <col min="17" max="17" width="9" style="41" bestFit="1" customWidth="1"/>
    <col min="18" max="18" width="8.796875" style="41" customWidth="1"/>
    <col min="19" max="19" width="15.69921875" style="41" customWidth="1"/>
    <col min="20" max="16384" width="8.796875" style="41"/>
  </cols>
  <sheetData>
    <row r="1" spans="1:19" ht="40.950000000000003" customHeight="1" thickBot="1">
      <c r="A1" s="214" t="s">
        <v>112</v>
      </c>
      <c r="B1" s="215"/>
      <c r="C1" s="215"/>
      <c r="D1" s="216" t="s">
        <v>171</v>
      </c>
      <c r="E1" s="217"/>
      <c r="F1" s="217"/>
      <c r="G1" s="217"/>
      <c r="H1" s="217"/>
      <c r="I1" s="217"/>
      <c r="J1" s="215"/>
      <c r="K1" s="218" t="s">
        <v>137</v>
      </c>
      <c r="L1" s="219"/>
      <c r="M1" s="220"/>
      <c r="N1" s="220"/>
      <c r="O1" s="215"/>
      <c r="P1" s="281" t="str">
        <f>HYPERLINK("#ダッシュボード!A2"," リンク： ▶ ダッシュボードへ")</f>
        <v xml:space="preserve"> リンク： ▶ ダッシュボードへ</v>
      </c>
      <c r="Q1" s="221"/>
      <c r="R1" s="282"/>
      <c r="S1" s="222"/>
    </row>
    <row r="2" spans="1:19">
      <c r="C2" s="3" t="s">
        <v>301</v>
      </c>
    </row>
    <row r="3" spans="1:19" ht="18.600000000000001" thickBot="1">
      <c r="A3" s="97" t="s">
        <v>45</v>
      </c>
      <c r="F3" s="97" t="s">
        <v>298</v>
      </c>
      <c r="J3" s="97" t="s">
        <v>299</v>
      </c>
    </row>
    <row r="4" spans="1:19" ht="18.600000000000001" thickBot="1">
      <c r="A4" s="135">
        <v>2025</v>
      </c>
      <c r="B4" s="136" t="s">
        <v>37</v>
      </c>
      <c r="D4" s="97" t="s">
        <v>40</v>
      </c>
      <c r="F4" s="97" t="s">
        <v>300</v>
      </c>
      <c r="H4" s="97" t="s">
        <v>44</v>
      </c>
      <c r="J4" s="97" t="s">
        <v>49</v>
      </c>
      <c r="L4" s="97" t="s">
        <v>41</v>
      </c>
      <c r="N4" s="137">
        <f ca="1">SUM($D$5:$D$16)</f>
        <v>80000</v>
      </c>
      <c r="O4" s="97"/>
      <c r="P4" s="97" t="s">
        <v>60</v>
      </c>
      <c r="R4" s="110">
        <f ca="1">SUM(D52)</f>
        <v>8</v>
      </c>
      <c r="S4" s="97" t="s">
        <v>52</v>
      </c>
    </row>
    <row r="5" spans="1:19" ht="18.600000000000001" thickBot="1">
      <c r="A5" s="41">
        <f>A4</f>
        <v>2025</v>
      </c>
      <c r="B5" s="41" t="s">
        <v>25</v>
      </c>
      <c r="C5" s="138" t="str">
        <f>A5&amp;""&amp;B5</f>
        <v>2025_01</v>
      </c>
      <c r="D5" s="139" t="str" cm="1">
        <f t="array" aca="1" ref="D5" ca="1">IFERROR(VALUE(INDIRECT("'" &amp; $C5 &amp; "'!AL2")), "")</f>
        <v/>
      </c>
      <c r="F5" s="140" t="str" cm="1">
        <f t="array" aca="1" ref="F5" ca="1">IFERROR(VALUE(INDIRECT("'" &amp; $C5 &amp; "'!F1")), "")</f>
        <v/>
      </c>
      <c r="H5" s="139" t="str" cm="1">
        <f t="array" aca="1" ref="H5" ca="1">IFERROR(VALUE(INDIRECT("'" &amp; $C5 &amp; "'!BB3")), "")</f>
        <v/>
      </c>
      <c r="J5" s="141">
        <f ca="1">SUM(F5,H5)</f>
        <v>0</v>
      </c>
    </row>
    <row r="6" spans="1:19" ht="18.600000000000001" thickBot="1">
      <c r="A6" s="41">
        <f>A4</f>
        <v>2025</v>
      </c>
      <c r="B6" s="41" t="s">
        <v>26</v>
      </c>
      <c r="C6" s="138" t="str">
        <f t="shared" ref="C6:C16" si="0">A6&amp;""&amp;B6</f>
        <v>2025_02</v>
      </c>
      <c r="D6" s="142" t="str" cm="1">
        <f t="array" aca="1" ref="D6" ca="1">IFERROR(VALUE(INDIRECT("'" &amp; $C6 &amp; "'!AL2")), "")</f>
        <v/>
      </c>
      <c r="F6" s="143" t="str" cm="1">
        <f t="array" aca="1" ref="F6" ca="1">IFERROR(VALUE(INDIRECT("'" &amp; $C6 &amp; "'!F1")), "")</f>
        <v/>
      </c>
      <c r="H6" s="142" t="str" cm="1">
        <f t="array" aca="1" ref="H6" ca="1">IFERROR(VALUE(INDIRECT("'" &amp; $C6 &amp; "'!BB3")), "")</f>
        <v/>
      </c>
      <c r="J6" s="144">
        <f ca="1">SUM(F6,H6)</f>
        <v>0</v>
      </c>
      <c r="L6" s="97" t="s">
        <v>46</v>
      </c>
      <c r="N6" s="145">
        <f ca="1">SUM($F$5:$F$16)</f>
        <v>80000</v>
      </c>
      <c r="O6" s="97"/>
    </row>
    <row r="7" spans="1:19">
      <c r="A7" s="41">
        <f>A4</f>
        <v>2025</v>
      </c>
      <c r="B7" s="41" t="s">
        <v>27</v>
      </c>
      <c r="C7" s="138" t="str">
        <f t="shared" si="0"/>
        <v>2025_03</v>
      </c>
      <c r="D7" s="142" t="str" cm="1">
        <f t="array" aca="1" ref="D7" ca="1">IFERROR(VALUE(INDIRECT("'" &amp; $C7 &amp; "'!AL2")), "")</f>
        <v/>
      </c>
      <c r="F7" s="143" t="str" cm="1">
        <f t="array" aca="1" ref="F7" ca="1">IFERROR(VALUE(INDIRECT("'" &amp; $C7 &amp; "'!F1")), "")</f>
        <v/>
      </c>
      <c r="H7" s="142" t="str" cm="1">
        <f t="array" aca="1" ref="H7" ca="1">IFERROR(VALUE(INDIRECT("'" &amp; $C7 &amp; "'!BB3")), "")</f>
        <v/>
      </c>
      <c r="J7" s="144">
        <f t="shared" ref="J7:J16" ca="1" si="1">SUM(F7,H7)</f>
        <v>0</v>
      </c>
      <c r="L7" s="101" t="s">
        <v>264</v>
      </c>
    </row>
    <row r="8" spans="1:19" ht="18.600000000000001" thickBot="1">
      <c r="A8" s="41">
        <f>A4</f>
        <v>2025</v>
      </c>
      <c r="B8" s="41" t="s">
        <v>28</v>
      </c>
      <c r="C8" s="138" t="str">
        <f t="shared" si="0"/>
        <v>2025_04</v>
      </c>
      <c r="D8" s="142" t="str" cm="1">
        <f t="array" aca="1" ref="D8" ca="1">IFERROR(VALUE(INDIRECT("'" &amp; $C8 &amp; "'!AL2")), "")</f>
        <v/>
      </c>
      <c r="F8" s="143" t="str" cm="1">
        <f t="array" aca="1" ref="F8" ca="1">IFERROR(VALUE(INDIRECT("'" &amp; $C8 &amp; "'!F1")), "")</f>
        <v/>
      </c>
      <c r="H8" s="142" t="str" cm="1">
        <f t="array" aca="1" ref="H8" ca="1">IFERROR(VALUE(INDIRECT("'" &amp; $C8 &amp; "'!BB3")), "")</f>
        <v/>
      </c>
      <c r="J8" s="144">
        <f t="shared" ca="1" si="1"/>
        <v>0</v>
      </c>
      <c r="N8" s="97" t="s">
        <v>47</v>
      </c>
    </row>
    <row r="9" spans="1:19" ht="18.600000000000001" thickBot="1">
      <c r="A9" s="41">
        <f>A4</f>
        <v>2025</v>
      </c>
      <c r="B9" s="41" t="s">
        <v>29</v>
      </c>
      <c r="C9" s="138" t="str">
        <f t="shared" si="0"/>
        <v>2025_05</v>
      </c>
      <c r="D9" s="142" t="str" cm="1">
        <f t="array" aca="1" ref="D9" ca="1">IFERROR(VALUE(INDIRECT("'" &amp; $C9 &amp; "'!AL2")), "")</f>
        <v/>
      </c>
      <c r="F9" s="143" t="str" cm="1">
        <f t="array" aca="1" ref="F9" ca="1">IFERROR(VALUE(INDIRECT("'" &amp; $C9 &amp; "'!F1")), "")</f>
        <v/>
      </c>
      <c r="H9" s="142" t="str" cm="1">
        <f t="array" aca="1" ref="H9" ca="1">IFERROR(VALUE(INDIRECT("'" &amp; $C9 &amp; "'!BB3")), "")</f>
        <v/>
      </c>
      <c r="J9" s="144">
        <f t="shared" ca="1" si="1"/>
        <v>0</v>
      </c>
      <c r="L9" s="118" t="s">
        <v>42</v>
      </c>
      <c r="N9" s="146"/>
      <c r="O9" s="97"/>
      <c r="P9" s="97" t="s">
        <v>53</v>
      </c>
    </row>
    <row r="10" spans="1:19" ht="18.600000000000001" thickBot="1">
      <c r="A10" s="41">
        <f>A4</f>
        <v>2025</v>
      </c>
      <c r="B10" s="41" t="s">
        <v>30</v>
      </c>
      <c r="C10" s="138" t="str">
        <f t="shared" si="0"/>
        <v>2025_06</v>
      </c>
      <c r="D10" s="142" t="str" cm="1">
        <f t="array" aca="1" ref="D10" ca="1">IFERROR(VALUE(INDIRECT("'" &amp; $C10 &amp; "'!AL2")), "")</f>
        <v/>
      </c>
      <c r="F10" s="143" t="str" cm="1">
        <f t="array" aca="1" ref="F10" ca="1">IFERROR(VALUE(INDIRECT("'" &amp; $C10 &amp; "'!F1")), "")</f>
        <v/>
      </c>
      <c r="H10" s="142" t="str" cm="1">
        <f t="array" aca="1" ref="H10" ca="1">IFERROR(VALUE(INDIRECT("'" &amp; $C10 &amp; "'!BB3")), "")</f>
        <v/>
      </c>
      <c r="J10" s="144">
        <f t="shared" ca="1" si="1"/>
        <v>0</v>
      </c>
      <c r="L10" s="101" t="s">
        <v>148</v>
      </c>
      <c r="O10" s="97"/>
      <c r="P10" s="146">
        <v>1226</v>
      </c>
      <c r="Q10" s="97" t="s">
        <v>61</v>
      </c>
      <c r="S10" s="137">
        <f ca="1">$P$10*$R$4</f>
        <v>9808</v>
      </c>
    </row>
    <row r="11" spans="1:19" ht="18.600000000000001" thickBot="1">
      <c r="A11" s="41">
        <f>A4</f>
        <v>2025</v>
      </c>
      <c r="B11" s="41" t="s">
        <v>31</v>
      </c>
      <c r="C11" s="138" t="str">
        <f t="shared" si="0"/>
        <v>2025_07</v>
      </c>
      <c r="D11" s="142" t="str" cm="1">
        <f t="array" aca="1" ref="D11" ca="1">IFERROR(VALUE(INDIRECT("'" &amp; $C11 &amp; "'!AL2")), "")</f>
        <v/>
      </c>
      <c r="F11" s="143" t="str" cm="1">
        <f t="array" aca="1" ref="F11" ca="1">IFERROR(VALUE(INDIRECT("'" &amp; $C11 &amp; "'!F1")), "")</f>
        <v/>
      </c>
      <c r="H11" s="142" t="str" cm="1">
        <f t="array" aca="1" ref="H11" ca="1">IFERROR(VALUE(INDIRECT("'" &amp; $C11 &amp; "'!BB3")), "")</f>
        <v/>
      </c>
      <c r="J11" s="144">
        <f t="shared" ca="1" si="1"/>
        <v>0</v>
      </c>
      <c r="P11" s="97" t="s">
        <v>108</v>
      </c>
    </row>
    <row r="12" spans="1:19" ht="18.600000000000001" thickBot="1">
      <c r="A12" s="41">
        <f>A4</f>
        <v>2025</v>
      </c>
      <c r="B12" s="41" t="s">
        <v>32</v>
      </c>
      <c r="C12" s="138" t="str">
        <f t="shared" si="0"/>
        <v>2025_08</v>
      </c>
      <c r="D12" s="142" t="str" cm="1">
        <f t="array" aca="1" ref="D12" ca="1">IFERROR(VALUE(INDIRECT("'" &amp; $C12 &amp; "'!AL2")), "")</f>
        <v/>
      </c>
      <c r="F12" s="143" t="str" cm="1">
        <f t="array" aca="1" ref="F12" ca="1">IFERROR(VALUE(INDIRECT("'" &amp; $C12 &amp; "'!F1")), "")</f>
        <v/>
      </c>
      <c r="H12" s="142" t="str" cm="1">
        <f t="array" aca="1" ref="H12" ca="1">IFERROR(VALUE(INDIRECT("'" &amp; $C12 &amp; "'!BB3")), "")</f>
        <v/>
      </c>
      <c r="J12" s="144">
        <f t="shared" ca="1" si="1"/>
        <v>0</v>
      </c>
      <c r="L12" s="118" t="s">
        <v>43</v>
      </c>
      <c r="N12" s="145">
        <f ca="1">SUM($H$5:$H$16)</f>
        <v>0</v>
      </c>
      <c r="O12" s="97"/>
      <c r="P12" s="146">
        <v>1226</v>
      </c>
      <c r="Q12" s="97" t="s">
        <v>59</v>
      </c>
      <c r="S12" s="145">
        <f>$P$10-$P$12</f>
        <v>0</v>
      </c>
    </row>
    <row r="13" spans="1:19" ht="18.600000000000001" thickBot="1">
      <c r="A13" s="41">
        <f>A4</f>
        <v>2025</v>
      </c>
      <c r="B13" s="41" t="s">
        <v>33</v>
      </c>
      <c r="C13" s="138" t="str">
        <f t="shared" si="0"/>
        <v>2025_09</v>
      </c>
      <c r="D13" s="142" cm="1">
        <f t="array" aca="1" ref="D13" ca="1">IFERROR(VALUE(INDIRECT("'" &amp; $C13 &amp; "'!AL2")), "")</f>
        <v>80000</v>
      </c>
      <c r="F13" s="143" cm="1">
        <f t="array" aca="1" ref="F13" ca="1">IFERROR(VALUE(INDIRECT("'" &amp; $C13 &amp; "'!F1")), "")</f>
        <v>80000</v>
      </c>
      <c r="H13" s="142" cm="1">
        <f t="array" aca="1" ref="H13" ca="1">IFERROR(VALUE(INDIRECT("'" &amp; $C13 &amp; "'!BB3")), "")</f>
        <v>0</v>
      </c>
      <c r="J13" s="144">
        <f t="shared" ca="1" si="1"/>
        <v>80000</v>
      </c>
      <c r="P13" s="97" t="s">
        <v>172</v>
      </c>
    </row>
    <row r="14" spans="1:19" ht="18.600000000000001" thickBot="1">
      <c r="A14" s="41">
        <f>A4</f>
        <v>2025</v>
      </c>
      <c r="B14" s="41" t="s">
        <v>34</v>
      </c>
      <c r="C14" s="138" t="str">
        <f t="shared" si="0"/>
        <v>2025_10</v>
      </c>
      <c r="D14" s="142" t="str" cm="1">
        <f t="array" aca="1" ref="D14" ca="1">IFERROR(VALUE(INDIRECT("'" &amp; $C14 &amp; "'!AL2")), "")</f>
        <v/>
      </c>
      <c r="F14" s="143" t="str" cm="1">
        <f t="array" aca="1" ref="F14" ca="1">IFERROR(VALUE(INDIRECT("'" &amp; $C14 &amp; "'!F1")), "")</f>
        <v/>
      </c>
      <c r="H14" s="142" t="str" cm="1">
        <f t="array" aca="1" ref="H14" ca="1">IFERROR(VALUE(INDIRECT("'" &amp; $C14 &amp; "'!BB3")), "")</f>
        <v/>
      </c>
      <c r="J14" s="144">
        <f t="shared" ca="1" si="1"/>
        <v>0</v>
      </c>
      <c r="N14" s="99" t="s">
        <v>110</v>
      </c>
      <c r="P14" s="145">
        <f ca="1">IF(R4=0,0, SUM(D5:D16)/R4)</f>
        <v>10000</v>
      </c>
      <c r="Q14" s="97" t="s">
        <v>173</v>
      </c>
      <c r="S14" s="145">
        <f ca="1">$P$10-$P$14</f>
        <v>-8774</v>
      </c>
    </row>
    <row r="15" spans="1:19" ht="18.600000000000001" thickBot="1">
      <c r="A15" s="41">
        <f>A4</f>
        <v>2025</v>
      </c>
      <c r="B15" s="41" t="s">
        <v>35</v>
      </c>
      <c r="C15" s="138" t="str">
        <f t="shared" si="0"/>
        <v>2025_11</v>
      </c>
      <c r="D15" s="142" t="str" cm="1">
        <f t="array" aca="1" ref="D15" ca="1">IFERROR(VALUE(INDIRECT("'" &amp; $C15 &amp; "'!AL2")), "")</f>
        <v/>
      </c>
      <c r="F15" s="143" t="str" cm="1">
        <f t="array" aca="1" ref="F15" ca="1">IFERROR(VALUE(INDIRECT("'" &amp; $C15 &amp; "'!F1")), "")</f>
        <v/>
      </c>
      <c r="H15" s="142" t="str" cm="1">
        <f t="array" aca="1" ref="H15" ca="1">IFERROR(VALUE(INDIRECT("'" &amp; $C15 &amp; "'!BB3")), "")</f>
        <v/>
      </c>
      <c r="J15" s="144">
        <f t="shared" ca="1" si="1"/>
        <v>0</v>
      </c>
      <c r="N15" s="99" t="s">
        <v>48</v>
      </c>
      <c r="Q15" s="97" t="s">
        <v>62</v>
      </c>
      <c r="R15" s="97"/>
      <c r="S15" s="97" t="s">
        <v>63</v>
      </c>
    </row>
    <row r="16" spans="1:19" ht="18.600000000000001" thickBot="1">
      <c r="A16" s="41">
        <f>A4</f>
        <v>2025</v>
      </c>
      <c r="B16" s="41" t="s">
        <v>36</v>
      </c>
      <c r="C16" s="138" t="str">
        <f t="shared" si="0"/>
        <v>2025_12</v>
      </c>
      <c r="D16" s="147" t="str" cm="1">
        <f t="array" aca="1" ref="D16" ca="1">IFERROR(VALUE(INDIRECT("'" &amp; $C16 &amp; "'!AL2")), "")</f>
        <v/>
      </c>
      <c r="F16" s="148" t="str" cm="1">
        <f t="array" aca="1" ref="F16" ca="1">IFERROR(VALUE(INDIRECT("'" &amp; $C16 &amp; "'!F1")), "")</f>
        <v/>
      </c>
      <c r="H16" s="147" t="str" cm="1">
        <f t="array" aca="1" ref="H16" ca="1">IFERROR(VALUE(INDIRECT("'" &amp; $C16 &amp; "'!BB3")), "")</f>
        <v/>
      </c>
      <c r="J16" s="149">
        <f t="shared" ca="1" si="1"/>
        <v>0</v>
      </c>
      <c r="K16" s="97" t="s">
        <v>263</v>
      </c>
      <c r="L16" s="97"/>
      <c r="N16" s="376">
        <f ca="1">SUM($F$5:$F$16,$H$5:$H$16)</f>
        <v>80000</v>
      </c>
      <c r="O16" s="377"/>
      <c r="Q16" s="137">
        <f ca="1">$S$10</f>
        <v>9808</v>
      </c>
      <c r="R16" s="150"/>
      <c r="S16" s="137">
        <f ca="1">SUM($H$5:$H$16,$Q$16)</f>
        <v>9808</v>
      </c>
    </row>
    <row r="17" spans="1:19">
      <c r="C17" s="151"/>
      <c r="D17" s="150"/>
      <c r="F17" s="152"/>
      <c r="H17" s="150"/>
      <c r="J17" s="152"/>
      <c r="L17" s="97"/>
      <c r="O17" s="97"/>
      <c r="P17" s="150"/>
      <c r="R17" s="150"/>
      <c r="S17" s="150"/>
    </row>
    <row r="18" spans="1:19" ht="18.600000000000001" thickBot="1">
      <c r="P18" s="41" t="s">
        <v>109</v>
      </c>
    </row>
    <row r="19" spans="1:19" ht="18.600000000000001" thickBot="1">
      <c r="A19" s="118" t="s">
        <v>50</v>
      </c>
      <c r="D19" s="97" t="s">
        <v>105</v>
      </c>
      <c r="E19" s="110">
        <v>0</v>
      </c>
      <c r="F19" s="110">
        <v>1</v>
      </c>
      <c r="G19" s="110">
        <v>2</v>
      </c>
      <c r="H19" s="110">
        <v>3</v>
      </c>
      <c r="I19" s="110">
        <v>4</v>
      </c>
      <c r="J19" s="110">
        <v>5</v>
      </c>
      <c r="K19" s="110">
        <v>6</v>
      </c>
      <c r="L19" s="110">
        <v>7</v>
      </c>
      <c r="M19" s="110">
        <v>8</v>
      </c>
      <c r="N19" s="110">
        <v>9</v>
      </c>
      <c r="O19" s="110">
        <v>10</v>
      </c>
    </row>
    <row r="20" spans="1:19" ht="18.600000000000001" thickBot="1">
      <c r="D20" s="97" t="s">
        <v>104</v>
      </c>
      <c r="E20" s="357" t="str">
        <f>IF(E19="","",VLOOKUP(E19,案件コード!$A$1:$B$31,2,FALSE()))</f>
        <v>Webデザイン</v>
      </c>
      <c r="F20" s="358" t="str">
        <f>IF(F19="","",VLOOKUP(F19,案件コード!$A$1:$B$31,2,FALSE()))</f>
        <v>プログラミング</v>
      </c>
      <c r="G20" s="358" t="str">
        <f>IF(G19="","",VLOOKUP(G19,案件コード!$A$1:$B$31,2,FALSE()))</f>
        <v>ライティング</v>
      </c>
      <c r="H20" s="358">
        <f>IF(H19="","",VLOOKUP(H19,案件コード!$A$1:$B$31,2,FALSE()))</f>
        <v>0</v>
      </c>
      <c r="I20" s="358">
        <f>IF(I19="","",VLOOKUP(I19,案件コード!$A$1:$B$31,2,FALSE()))</f>
        <v>0</v>
      </c>
      <c r="J20" s="358">
        <f>IF(J19="","",VLOOKUP(J19,案件コード!$A$1:$B$31,2,FALSE()))</f>
        <v>0</v>
      </c>
      <c r="K20" s="358">
        <f>IF(K19="","",VLOOKUP(K19,案件コード!$A$1:$B$31,2,FALSE()))</f>
        <v>0</v>
      </c>
      <c r="L20" s="358">
        <f>IF(L19="","",VLOOKUP(L19,案件コード!$A$1:$B$31,2,FALSE()))</f>
        <v>0</v>
      </c>
      <c r="M20" s="358">
        <f>IF(M19="","",VLOOKUP(M19,案件コード!$A$1:$B$31,2,FALSE()))</f>
        <v>0</v>
      </c>
      <c r="N20" s="358">
        <f>IF(N19="","",VLOOKUP(N19,案件コード!$A$1:$B$31,2,FALSE()))</f>
        <v>0</v>
      </c>
      <c r="O20" s="359">
        <f>IF(O19="","",VLOOKUP(O19,案件コード!$A$1:$B$31,2,FALSE()))</f>
        <v>0</v>
      </c>
    </row>
    <row r="21" spans="1:19">
      <c r="A21" s="41">
        <f>A4</f>
        <v>2025</v>
      </c>
      <c r="B21" s="41" t="s">
        <v>25</v>
      </c>
      <c r="C21" s="153" t="str">
        <f>A21&amp;""&amp;B21</f>
        <v>2025_01</v>
      </c>
      <c r="D21" s="154">
        <f t="shared" ref="D21:D32" ca="1" si="2">SUM(E21:N21)</f>
        <v>0</v>
      </c>
      <c r="E21" s="155">
        <f t="shared" ref="E21:M32" ca="1" si="3">IFERROR(
  INDEX(INDIRECT("'"&amp;$C21&amp;"'!$B$109:$K$109"),
        MATCH(E$19, INDIRECT("'"&amp;$C21&amp;"'!$B$106:$K$106"), 0)
  ),
0)</f>
        <v>0</v>
      </c>
      <c r="F21" s="156">
        <f t="shared" ca="1" si="3"/>
        <v>0</v>
      </c>
      <c r="G21" s="156">
        <f t="shared" ca="1" si="3"/>
        <v>0</v>
      </c>
      <c r="H21" s="156">
        <f t="shared" ca="1" si="3"/>
        <v>0</v>
      </c>
      <c r="I21" s="156">
        <f t="shared" ca="1" si="3"/>
        <v>0</v>
      </c>
      <c r="J21" s="156">
        <f t="shared" ca="1" si="3"/>
        <v>0</v>
      </c>
      <c r="K21" s="156">
        <f t="shared" ca="1" si="3"/>
        <v>0</v>
      </c>
      <c r="L21" s="156">
        <f t="shared" ca="1" si="3"/>
        <v>0</v>
      </c>
      <c r="M21" s="156">
        <f t="shared" ca="1" si="3"/>
        <v>0</v>
      </c>
      <c r="N21" s="156">
        <f t="shared" ref="N21:O32" ca="1" si="4">IFERROR(
  INDEX(INDIRECT("'"&amp;$C21&amp;"'!$B$109:$K$109"),
        MATCH(N$19, INDIRECT("'"&amp;$C21&amp;"'!$B$106:$K$106"), 0)
  ),
0)</f>
        <v>0</v>
      </c>
      <c r="O21" s="157">
        <f t="shared" ca="1" si="4"/>
        <v>0</v>
      </c>
    </row>
    <row r="22" spans="1:19">
      <c r="A22" s="41">
        <f>A4</f>
        <v>2025</v>
      </c>
      <c r="B22" s="41" t="s">
        <v>26</v>
      </c>
      <c r="C22" s="158" t="str">
        <f t="shared" ref="C22:C32" si="5">A22&amp;""&amp;B22</f>
        <v>2025_02</v>
      </c>
      <c r="D22" s="159">
        <f t="shared" ca="1" si="2"/>
        <v>0</v>
      </c>
      <c r="E22" s="155">
        <f t="shared" ca="1" si="3"/>
        <v>0</v>
      </c>
      <c r="F22" s="156">
        <f t="shared" ca="1" si="3"/>
        <v>0</v>
      </c>
      <c r="G22" s="156">
        <f t="shared" ca="1" si="3"/>
        <v>0</v>
      </c>
      <c r="H22" s="156">
        <f t="shared" ca="1" si="3"/>
        <v>0</v>
      </c>
      <c r="I22" s="156">
        <f t="shared" ca="1" si="3"/>
        <v>0</v>
      </c>
      <c r="J22" s="156">
        <f t="shared" ca="1" si="3"/>
        <v>0</v>
      </c>
      <c r="K22" s="156">
        <f t="shared" ca="1" si="3"/>
        <v>0</v>
      </c>
      <c r="L22" s="156">
        <f t="shared" ca="1" si="3"/>
        <v>0</v>
      </c>
      <c r="M22" s="156">
        <f t="shared" ca="1" si="3"/>
        <v>0</v>
      </c>
      <c r="N22" s="156">
        <f t="shared" ca="1" si="4"/>
        <v>0</v>
      </c>
      <c r="O22" s="157">
        <f t="shared" ca="1" si="4"/>
        <v>0</v>
      </c>
    </row>
    <row r="23" spans="1:19">
      <c r="A23" s="41">
        <f>A4</f>
        <v>2025</v>
      </c>
      <c r="B23" s="41" t="s">
        <v>27</v>
      </c>
      <c r="C23" s="158" t="str">
        <f t="shared" si="5"/>
        <v>2025_03</v>
      </c>
      <c r="D23" s="159">
        <f t="shared" ca="1" si="2"/>
        <v>0</v>
      </c>
      <c r="E23" s="155">
        <f t="shared" ca="1" si="3"/>
        <v>0</v>
      </c>
      <c r="F23" s="156">
        <f t="shared" ca="1" si="3"/>
        <v>0</v>
      </c>
      <c r="G23" s="156">
        <f t="shared" ca="1" si="3"/>
        <v>0</v>
      </c>
      <c r="H23" s="156">
        <f t="shared" ca="1" si="3"/>
        <v>0</v>
      </c>
      <c r="I23" s="156">
        <f t="shared" ca="1" si="3"/>
        <v>0</v>
      </c>
      <c r="J23" s="156">
        <f t="shared" ca="1" si="3"/>
        <v>0</v>
      </c>
      <c r="K23" s="156">
        <f t="shared" ca="1" si="3"/>
        <v>0</v>
      </c>
      <c r="L23" s="156">
        <f t="shared" ca="1" si="3"/>
        <v>0</v>
      </c>
      <c r="M23" s="156">
        <f t="shared" ca="1" si="3"/>
        <v>0</v>
      </c>
      <c r="N23" s="156">
        <f t="shared" ca="1" si="4"/>
        <v>0</v>
      </c>
      <c r="O23" s="157">
        <f t="shared" ca="1" si="4"/>
        <v>0</v>
      </c>
    </row>
    <row r="24" spans="1:19">
      <c r="A24" s="41">
        <f>A4</f>
        <v>2025</v>
      </c>
      <c r="B24" s="41" t="s">
        <v>28</v>
      </c>
      <c r="C24" s="158" t="str">
        <f t="shared" si="5"/>
        <v>2025_04</v>
      </c>
      <c r="D24" s="159">
        <f t="shared" ca="1" si="2"/>
        <v>0</v>
      </c>
      <c r="E24" s="155">
        <f t="shared" ca="1" si="3"/>
        <v>0</v>
      </c>
      <c r="F24" s="156">
        <f t="shared" ca="1" si="3"/>
        <v>0</v>
      </c>
      <c r="G24" s="156">
        <f t="shared" ca="1" si="3"/>
        <v>0</v>
      </c>
      <c r="H24" s="156">
        <f t="shared" ca="1" si="3"/>
        <v>0</v>
      </c>
      <c r="I24" s="156">
        <f t="shared" ca="1" si="3"/>
        <v>0</v>
      </c>
      <c r="J24" s="156">
        <f t="shared" ca="1" si="3"/>
        <v>0</v>
      </c>
      <c r="K24" s="156">
        <f t="shared" ca="1" si="3"/>
        <v>0</v>
      </c>
      <c r="L24" s="156">
        <f t="shared" ca="1" si="3"/>
        <v>0</v>
      </c>
      <c r="M24" s="156">
        <f t="shared" ca="1" si="3"/>
        <v>0</v>
      </c>
      <c r="N24" s="156">
        <f t="shared" ca="1" si="4"/>
        <v>0</v>
      </c>
      <c r="O24" s="157">
        <f t="shared" ca="1" si="4"/>
        <v>0</v>
      </c>
    </row>
    <row r="25" spans="1:19">
      <c r="A25" s="41">
        <f>A4</f>
        <v>2025</v>
      </c>
      <c r="B25" s="41" t="s">
        <v>29</v>
      </c>
      <c r="C25" s="158" t="str">
        <f t="shared" si="5"/>
        <v>2025_05</v>
      </c>
      <c r="D25" s="159">
        <f t="shared" ca="1" si="2"/>
        <v>0</v>
      </c>
      <c r="E25" s="155">
        <f t="shared" ca="1" si="3"/>
        <v>0</v>
      </c>
      <c r="F25" s="156">
        <f t="shared" ca="1" si="3"/>
        <v>0</v>
      </c>
      <c r="G25" s="156">
        <f t="shared" ca="1" si="3"/>
        <v>0</v>
      </c>
      <c r="H25" s="156">
        <f t="shared" ca="1" si="3"/>
        <v>0</v>
      </c>
      <c r="I25" s="156">
        <f t="shared" ca="1" si="3"/>
        <v>0</v>
      </c>
      <c r="J25" s="156">
        <f t="shared" ca="1" si="3"/>
        <v>0</v>
      </c>
      <c r="K25" s="156">
        <f t="shared" ca="1" si="3"/>
        <v>0</v>
      </c>
      <c r="L25" s="156">
        <f t="shared" ca="1" si="3"/>
        <v>0</v>
      </c>
      <c r="M25" s="156">
        <f t="shared" ca="1" si="3"/>
        <v>0</v>
      </c>
      <c r="N25" s="156">
        <f t="shared" ca="1" si="4"/>
        <v>0</v>
      </c>
      <c r="O25" s="157">
        <f t="shared" ca="1" si="4"/>
        <v>0</v>
      </c>
    </row>
    <row r="26" spans="1:19">
      <c r="A26" s="41">
        <f>A4</f>
        <v>2025</v>
      </c>
      <c r="B26" s="41" t="s">
        <v>30</v>
      </c>
      <c r="C26" s="158" t="str">
        <f t="shared" si="5"/>
        <v>2025_06</v>
      </c>
      <c r="D26" s="159">
        <f t="shared" ca="1" si="2"/>
        <v>0</v>
      </c>
      <c r="E26" s="155">
        <f t="shared" ca="1" si="3"/>
        <v>0</v>
      </c>
      <c r="F26" s="156">
        <f t="shared" ca="1" si="3"/>
        <v>0</v>
      </c>
      <c r="G26" s="156">
        <f t="shared" ca="1" si="3"/>
        <v>0</v>
      </c>
      <c r="H26" s="156">
        <f t="shared" ca="1" si="3"/>
        <v>0</v>
      </c>
      <c r="I26" s="156">
        <f t="shared" ca="1" si="3"/>
        <v>0</v>
      </c>
      <c r="J26" s="156">
        <f t="shared" ca="1" si="3"/>
        <v>0</v>
      </c>
      <c r="K26" s="156">
        <f t="shared" ca="1" si="3"/>
        <v>0</v>
      </c>
      <c r="L26" s="156">
        <f t="shared" ca="1" si="3"/>
        <v>0</v>
      </c>
      <c r="M26" s="156">
        <f t="shared" ca="1" si="3"/>
        <v>0</v>
      </c>
      <c r="N26" s="156">
        <f t="shared" ca="1" si="4"/>
        <v>0</v>
      </c>
      <c r="O26" s="157">
        <f t="shared" ca="1" si="4"/>
        <v>0</v>
      </c>
    </row>
    <row r="27" spans="1:19">
      <c r="A27" s="41">
        <f>A4</f>
        <v>2025</v>
      </c>
      <c r="B27" s="41" t="s">
        <v>31</v>
      </c>
      <c r="C27" s="158" t="str">
        <f t="shared" si="5"/>
        <v>2025_07</v>
      </c>
      <c r="D27" s="159">
        <f t="shared" ca="1" si="2"/>
        <v>0</v>
      </c>
      <c r="E27" s="155">
        <f t="shared" ca="1" si="3"/>
        <v>0</v>
      </c>
      <c r="F27" s="156">
        <f t="shared" ca="1" si="3"/>
        <v>0</v>
      </c>
      <c r="G27" s="156">
        <f t="shared" ca="1" si="3"/>
        <v>0</v>
      </c>
      <c r="H27" s="156">
        <f t="shared" ca="1" si="3"/>
        <v>0</v>
      </c>
      <c r="I27" s="156">
        <f t="shared" ca="1" si="3"/>
        <v>0</v>
      </c>
      <c r="J27" s="156">
        <f t="shared" ca="1" si="3"/>
        <v>0</v>
      </c>
      <c r="K27" s="156">
        <f t="shared" ca="1" si="3"/>
        <v>0</v>
      </c>
      <c r="L27" s="156">
        <f t="shared" ca="1" si="3"/>
        <v>0</v>
      </c>
      <c r="M27" s="156">
        <f t="shared" ca="1" si="3"/>
        <v>0</v>
      </c>
      <c r="N27" s="156">
        <f t="shared" ca="1" si="4"/>
        <v>0</v>
      </c>
      <c r="O27" s="157">
        <f t="shared" ca="1" si="4"/>
        <v>0</v>
      </c>
    </row>
    <row r="28" spans="1:19">
      <c r="A28" s="41">
        <f>A4</f>
        <v>2025</v>
      </c>
      <c r="B28" s="41" t="s">
        <v>32</v>
      </c>
      <c r="C28" s="158" t="str">
        <f t="shared" si="5"/>
        <v>2025_08</v>
      </c>
      <c r="D28" s="159">
        <f t="shared" ca="1" si="2"/>
        <v>0</v>
      </c>
      <c r="E28" s="155">
        <f t="shared" ca="1" si="3"/>
        <v>0</v>
      </c>
      <c r="F28" s="156">
        <f t="shared" ca="1" si="3"/>
        <v>0</v>
      </c>
      <c r="G28" s="156">
        <f t="shared" ca="1" si="3"/>
        <v>0</v>
      </c>
      <c r="H28" s="156">
        <f t="shared" ca="1" si="3"/>
        <v>0</v>
      </c>
      <c r="I28" s="156">
        <f t="shared" ca="1" si="3"/>
        <v>0</v>
      </c>
      <c r="J28" s="156">
        <f t="shared" ca="1" si="3"/>
        <v>0</v>
      </c>
      <c r="K28" s="156">
        <f t="shared" ca="1" si="3"/>
        <v>0</v>
      </c>
      <c r="L28" s="156">
        <f t="shared" ca="1" si="3"/>
        <v>0</v>
      </c>
      <c r="M28" s="156">
        <f t="shared" ca="1" si="3"/>
        <v>0</v>
      </c>
      <c r="N28" s="156">
        <f t="shared" ca="1" si="4"/>
        <v>0</v>
      </c>
      <c r="O28" s="157">
        <f t="shared" ca="1" si="4"/>
        <v>0</v>
      </c>
    </row>
    <row r="29" spans="1:19">
      <c r="A29" s="41">
        <f>A4</f>
        <v>2025</v>
      </c>
      <c r="B29" s="41" t="s">
        <v>33</v>
      </c>
      <c r="C29" s="158" t="str">
        <f t="shared" si="5"/>
        <v>2025_09</v>
      </c>
      <c r="D29" s="159">
        <f t="shared" ca="1" si="2"/>
        <v>80000</v>
      </c>
      <c r="E29" s="155">
        <f t="shared" ca="1" si="3"/>
        <v>70000</v>
      </c>
      <c r="F29" s="156">
        <f t="shared" ca="1" si="3"/>
        <v>0</v>
      </c>
      <c r="G29" s="156">
        <f t="shared" ca="1" si="3"/>
        <v>10000</v>
      </c>
      <c r="H29" s="156">
        <f t="shared" ca="1" si="3"/>
        <v>0</v>
      </c>
      <c r="I29" s="156">
        <f t="shared" ca="1" si="3"/>
        <v>0</v>
      </c>
      <c r="J29" s="156">
        <f t="shared" ca="1" si="3"/>
        <v>0</v>
      </c>
      <c r="K29" s="156">
        <f t="shared" ca="1" si="3"/>
        <v>0</v>
      </c>
      <c r="L29" s="156">
        <f t="shared" ca="1" si="3"/>
        <v>0</v>
      </c>
      <c r="M29" s="156">
        <f t="shared" ca="1" si="3"/>
        <v>0</v>
      </c>
      <c r="N29" s="156">
        <f t="shared" ca="1" si="4"/>
        <v>0</v>
      </c>
      <c r="O29" s="157">
        <f t="shared" ca="1" si="4"/>
        <v>0</v>
      </c>
    </row>
    <row r="30" spans="1:19">
      <c r="A30" s="41">
        <f>A4</f>
        <v>2025</v>
      </c>
      <c r="B30" s="41" t="s">
        <v>34</v>
      </c>
      <c r="C30" s="158" t="str">
        <f t="shared" si="5"/>
        <v>2025_10</v>
      </c>
      <c r="D30" s="159">
        <f t="shared" ca="1" si="2"/>
        <v>0</v>
      </c>
      <c r="E30" s="155">
        <f t="shared" ca="1" si="3"/>
        <v>0</v>
      </c>
      <c r="F30" s="156">
        <f t="shared" ca="1" si="3"/>
        <v>0</v>
      </c>
      <c r="G30" s="156">
        <f t="shared" ca="1" si="3"/>
        <v>0</v>
      </c>
      <c r="H30" s="156">
        <f t="shared" ca="1" si="3"/>
        <v>0</v>
      </c>
      <c r="I30" s="156">
        <f t="shared" ca="1" si="3"/>
        <v>0</v>
      </c>
      <c r="J30" s="156">
        <f t="shared" ca="1" si="3"/>
        <v>0</v>
      </c>
      <c r="K30" s="156">
        <f t="shared" ca="1" si="3"/>
        <v>0</v>
      </c>
      <c r="L30" s="156">
        <f t="shared" ca="1" si="3"/>
        <v>0</v>
      </c>
      <c r="M30" s="156">
        <f t="shared" ca="1" si="3"/>
        <v>0</v>
      </c>
      <c r="N30" s="156">
        <f t="shared" ca="1" si="4"/>
        <v>0</v>
      </c>
      <c r="O30" s="157">
        <f t="shared" ca="1" si="4"/>
        <v>0</v>
      </c>
    </row>
    <row r="31" spans="1:19">
      <c r="A31" s="41">
        <f>A4</f>
        <v>2025</v>
      </c>
      <c r="B31" s="41" t="s">
        <v>35</v>
      </c>
      <c r="C31" s="158" t="str">
        <f t="shared" si="5"/>
        <v>2025_11</v>
      </c>
      <c r="D31" s="159">
        <f t="shared" ca="1" si="2"/>
        <v>0</v>
      </c>
      <c r="E31" s="155">
        <f t="shared" ca="1" si="3"/>
        <v>0</v>
      </c>
      <c r="F31" s="156">
        <f t="shared" ca="1" si="3"/>
        <v>0</v>
      </c>
      <c r="G31" s="156">
        <f t="shared" ca="1" si="3"/>
        <v>0</v>
      </c>
      <c r="H31" s="156">
        <f t="shared" ca="1" si="3"/>
        <v>0</v>
      </c>
      <c r="I31" s="156">
        <f t="shared" ca="1" si="3"/>
        <v>0</v>
      </c>
      <c r="J31" s="156">
        <f t="shared" ca="1" si="3"/>
        <v>0</v>
      </c>
      <c r="K31" s="156">
        <f t="shared" ca="1" si="3"/>
        <v>0</v>
      </c>
      <c r="L31" s="156">
        <f t="shared" ca="1" si="3"/>
        <v>0</v>
      </c>
      <c r="M31" s="156">
        <f t="shared" ca="1" si="3"/>
        <v>0</v>
      </c>
      <c r="N31" s="156">
        <f t="shared" ca="1" si="4"/>
        <v>0</v>
      </c>
      <c r="O31" s="157">
        <f t="shared" ca="1" si="4"/>
        <v>0</v>
      </c>
    </row>
    <row r="32" spans="1:19" ht="18.600000000000001" thickBot="1">
      <c r="A32" s="41">
        <f>A4</f>
        <v>2025</v>
      </c>
      <c r="B32" s="41" t="s">
        <v>36</v>
      </c>
      <c r="C32" s="160" t="str">
        <f t="shared" si="5"/>
        <v>2025_12</v>
      </c>
      <c r="D32" s="161">
        <f t="shared" ca="1" si="2"/>
        <v>0</v>
      </c>
      <c r="E32" s="155">
        <f t="shared" ca="1" si="3"/>
        <v>0</v>
      </c>
      <c r="F32" s="156">
        <f t="shared" ca="1" si="3"/>
        <v>0</v>
      </c>
      <c r="G32" s="156">
        <f t="shared" ca="1" si="3"/>
        <v>0</v>
      </c>
      <c r="H32" s="156">
        <f t="shared" ca="1" si="3"/>
        <v>0</v>
      </c>
      <c r="I32" s="156">
        <f t="shared" ca="1" si="3"/>
        <v>0</v>
      </c>
      <c r="J32" s="156">
        <f t="shared" ca="1" si="3"/>
        <v>0</v>
      </c>
      <c r="K32" s="156">
        <f t="shared" ca="1" si="3"/>
        <v>0</v>
      </c>
      <c r="L32" s="156">
        <f t="shared" ca="1" si="3"/>
        <v>0</v>
      </c>
      <c r="M32" s="156">
        <f t="shared" ca="1" si="3"/>
        <v>0</v>
      </c>
      <c r="N32" s="156">
        <f t="shared" ca="1" si="4"/>
        <v>0</v>
      </c>
      <c r="O32" s="157">
        <f t="shared" ca="1" si="4"/>
        <v>0</v>
      </c>
    </row>
    <row r="33" spans="1:16" ht="18.600000000000001" thickBot="1">
      <c r="D33" s="109" t="s">
        <v>150</v>
      </c>
      <c r="E33" s="162">
        <f t="shared" ref="E33:M33" ca="1" si="6">SUM(E21:E32)</f>
        <v>70000</v>
      </c>
      <c r="F33" s="163">
        <f t="shared" ca="1" si="6"/>
        <v>0</v>
      </c>
      <c r="G33" s="163">
        <f t="shared" ca="1" si="6"/>
        <v>10000</v>
      </c>
      <c r="H33" s="163">
        <f t="shared" ca="1" si="6"/>
        <v>0</v>
      </c>
      <c r="I33" s="163">
        <f t="shared" ca="1" si="6"/>
        <v>0</v>
      </c>
      <c r="J33" s="163">
        <f t="shared" ca="1" si="6"/>
        <v>0</v>
      </c>
      <c r="K33" s="163">
        <f t="shared" ca="1" si="6"/>
        <v>0</v>
      </c>
      <c r="L33" s="163">
        <f t="shared" ca="1" si="6"/>
        <v>0</v>
      </c>
      <c r="M33" s="163">
        <f t="shared" ca="1" si="6"/>
        <v>0</v>
      </c>
      <c r="N33" s="163">
        <f ca="1">SUM(N21:N32)</f>
        <v>0</v>
      </c>
      <c r="O33" s="164">
        <f ca="1">SUM(O21:O32)</f>
        <v>0</v>
      </c>
    </row>
    <row r="34" spans="1:16" ht="18.600000000000001" thickBot="1">
      <c r="D34" s="184">
        <f ca="1">SUM(D21:D32)</f>
        <v>80000</v>
      </c>
      <c r="E34" s="156"/>
      <c r="F34" s="156"/>
      <c r="G34" s="156"/>
      <c r="H34" s="156"/>
      <c r="I34" s="156"/>
      <c r="J34" s="156"/>
      <c r="K34" s="156"/>
      <c r="L34" s="156"/>
    </row>
    <row r="35" spans="1:16">
      <c r="D35" s="97"/>
      <c r="E35" s="156"/>
      <c r="F35" s="156"/>
      <c r="G35" s="156"/>
      <c r="H35" s="156"/>
      <c r="I35" s="156"/>
      <c r="J35" s="156"/>
      <c r="K35" s="156"/>
      <c r="L35" s="156"/>
      <c r="M35" s="109"/>
      <c r="N35" s="109"/>
    </row>
    <row r="36" spans="1:16" ht="18.600000000000001" thickBot="1">
      <c r="P36" s="41" t="s">
        <v>109</v>
      </c>
    </row>
    <row r="37" spans="1:16" ht="18.600000000000001" thickBot="1">
      <c r="A37" s="118" t="s">
        <v>58</v>
      </c>
      <c r="D37" s="97" t="s">
        <v>105</v>
      </c>
      <c r="E37" s="110">
        <v>0</v>
      </c>
      <c r="F37" s="110">
        <v>1</v>
      </c>
      <c r="G37" s="110">
        <v>2</v>
      </c>
      <c r="H37" s="110">
        <v>3</v>
      </c>
      <c r="I37" s="110">
        <v>4</v>
      </c>
      <c r="J37" s="110">
        <v>5</v>
      </c>
      <c r="K37" s="110">
        <v>6</v>
      </c>
      <c r="L37" s="110">
        <v>7</v>
      </c>
      <c r="M37" s="110">
        <v>8</v>
      </c>
      <c r="N37" s="110">
        <v>9</v>
      </c>
      <c r="O37" s="356">
        <v>10</v>
      </c>
    </row>
    <row r="38" spans="1:16" ht="18.600000000000001" thickBot="1">
      <c r="D38" s="97" t="s">
        <v>104</v>
      </c>
      <c r="E38" s="369" t="str">
        <f>IF(E37="","",VLOOKUP(E37,案件コード!$A$1:$B$31,2,FALSE()))</f>
        <v>Webデザイン</v>
      </c>
      <c r="F38" s="369" t="str">
        <f>IF(F37="","",VLOOKUP(F37,案件コード!$A$1:$B$31,2,FALSE()))</f>
        <v>プログラミング</v>
      </c>
      <c r="G38" s="369" t="str">
        <f>IF(G37="","",VLOOKUP(G37,案件コード!$A$1:$B$31,2,FALSE()))</f>
        <v>ライティング</v>
      </c>
      <c r="H38" s="369">
        <f>IF(H37="","",VLOOKUP(H37,案件コード!$A$1:$B$31,2,FALSE()))</f>
        <v>0</v>
      </c>
      <c r="I38" s="369">
        <f>IF(I37="","",VLOOKUP(I37,案件コード!$A$1:$B$31,2,FALSE()))</f>
        <v>0</v>
      </c>
      <c r="J38" s="369">
        <f>IF(J37="","",VLOOKUP(J37,案件コード!$A$1:$B$31,2,FALSE()))</f>
        <v>0</v>
      </c>
      <c r="K38" s="369">
        <f>IF(K37="","",VLOOKUP(K37,案件コード!$A$1:$B$31,2,FALSE()))</f>
        <v>0</v>
      </c>
      <c r="L38" s="369">
        <f>IF(L37="","",VLOOKUP(L37,案件コード!$A$1:$B$31,2,FALSE()))</f>
        <v>0</v>
      </c>
      <c r="M38" s="369">
        <f>IF(M37="","",VLOOKUP(M37,案件コード!$A$1:$B$31,2,FALSE()))</f>
        <v>0</v>
      </c>
      <c r="N38" s="370">
        <f>IF(N37="","",VLOOKUP(N37,案件コード!$A$1:$B$31,2,FALSE()))</f>
        <v>0</v>
      </c>
      <c r="O38" s="223">
        <f>IF(O37="","",VLOOKUP(O37,案件コード!$A$1:$B$31,2,FALSE()))</f>
        <v>0</v>
      </c>
    </row>
    <row r="39" spans="1:16">
      <c r="A39" s="41">
        <f>A4</f>
        <v>2025</v>
      </c>
      <c r="B39" s="41" t="s">
        <v>25</v>
      </c>
      <c r="C39" s="153" t="str">
        <f>A39&amp;""&amp;B39</f>
        <v>2025_01</v>
      </c>
      <c r="D39" s="165">
        <f ca="1">SUM(E39:N39)</f>
        <v>0</v>
      </c>
      <c r="E39" s="166">
        <f ca="1">IFERROR(
  INDEX(INDIRECT("'"&amp;$C39&amp;"'!$B$108:$K$108"),
        MATCH(E$19, INDIRECT("'"&amp;$C39&amp;"'!$B$106:$K$106"), 0)
  ),
0)</f>
        <v>0</v>
      </c>
      <c r="F39" s="41">
        <f t="shared" ref="F39:M50" ca="1" si="7">IFERROR(
  INDEX(INDIRECT("'"&amp;$C39&amp;"'!$B$108:$K$108"),
        MATCH(F$19, INDIRECT("'"&amp;$C39&amp;"'!$B$106:$K$106"), 0)
  ),
0)</f>
        <v>0</v>
      </c>
      <c r="G39" s="41">
        <f t="shared" ca="1" si="7"/>
        <v>0</v>
      </c>
      <c r="H39" s="41">
        <f t="shared" ca="1" si="7"/>
        <v>0</v>
      </c>
      <c r="I39" s="41">
        <f t="shared" ca="1" si="7"/>
        <v>0</v>
      </c>
      <c r="J39" s="41">
        <f t="shared" ca="1" si="7"/>
        <v>0</v>
      </c>
      <c r="K39" s="41">
        <f t="shared" ca="1" si="7"/>
        <v>0</v>
      </c>
      <c r="L39" s="41">
        <f t="shared" ca="1" si="7"/>
        <v>0</v>
      </c>
      <c r="M39" s="41">
        <f t="shared" ca="1" si="7"/>
        <v>0</v>
      </c>
      <c r="N39" s="41">
        <f t="shared" ref="N39:O50" ca="1" si="8">IFERROR(
  INDEX(INDIRECT("'"&amp;$C39&amp;"'!$B$108:$K$108"),
        MATCH(N$19, INDIRECT("'"&amp;$C39&amp;"'!$B$106:$K$106"), 0)
  ),
0)</f>
        <v>0</v>
      </c>
      <c r="O39" s="167">
        <f t="shared" ca="1" si="8"/>
        <v>0</v>
      </c>
    </row>
    <row r="40" spans="1:16">
      <c r="A40" s="41">
        <f>A4</f>
        <v>2025</v>
      </c>
      <c r="B40" s="41" t="s">
        <v>26</v>
      </c>
      <c r="C40" s="158" t="str">
        <f t="shared" ref="C40:C50" si="9">A40&amp;""&amp;B40</f>
        <v>2025_02</v>
      </c>
      <c r="D40" s="168">
        <f t="shared" ref="D40:D50" ca="1" si="10">SUM(E40:N40)</f>
        <v>0</v>
      </c>
      <c r="E40" s="166">
        <f t="shared" ref="E40:E50" ca="1" si="11">IFERROR(
  INDEX(INDIRECT("'"&amp;$C40&amp;"'!$B$108:$K$108"),
        MATCH(E$19, INDIRECT("'"&amp;$C40&amp;"'!$B$106:$K$106"), 0)
  ),
0)</f>
        <v>0</v>
      </c>
      <c r="F40" s="41">
        <f t="shared" ca="1" si="7"/>
        <v>0</v>
      </c>
      <c r="G40" s="41">
        <f t="shared" ca="1" si="7"/>
        <v>0</v>
      </c>
      <c r="H40" s="41">
        <f t="shared" ca="1" si="7"/>
        <v>0</v>
      </c>
      <c r="I40" s="41">
        <f t="shared" ca="1" si="7"/>
        <v>0</v>
      </c>
      <c r="J40" s="41">
        <f t="shared" ca="1" si="7"/>
        <v>0</v>
      </c>
      <c r="K40" s="41">
        <f t="shared" ca="1" si="7"/>
        <v>0</v>
      </c>
      <c r="L40" s="41">
        <f t="shared" ca="1" si="7"/>
        <v>0</v>
      </c>
      <c r="M40" s="41">
        <f t="shared" ca="1" si="7"/>
        <v>0</v>
      </c>
      <c r="N40" s="41">
        <f t="shared" ca="1" si="8"/>
        <v>0</v>
      </c>
      <c r="O40" s="167">
        <f t="shared" ca="1" si="8"/>
        <v>0</v>
      </c>
    </row>
    <row r="41" spans="1:16">
      <c r="A41" s="41">
        <f>A4</f>
        <v>2025</v>
      </c>
      <c r="B41" s="41" t="s">
        <v>27</v>
      </c>
      <c r="C41" s="158" t="str">
        <f t="shared" si="9"/>
        <v>2025_03</v>
      </c>
      <c r="D41" s="168">
        <f t="shared" ca="1" si="10"/>
        <v>0</v>
      </c>
      <c r="E41" s="166">
        <f t="shared" ca="1" si="11"/>
        <v>0</v>
      </c>
      <c r="F41" s="41">
        <f t="shared" ca="1" si="7"/>
        <v>0</v>
      </c>
      <c r="G41" s="41">
        <f t="shared" ca="1" si="7"/>
        <v>0</v>
      </c>
      <c r="H41" s="41">
        <f t="shared" ca="1" si="7"/>
        <v>0</v>
      </c>
      <c r="I41" s="41">
        <f t="shared" ca="1" si="7"/>
        <v>0</v>
      </c>
      <c r="J41" s="41">
        <f t="shared" ca="1" si="7"/>
        <v>0</v>
      </c>
      <c r="K41" s="41">
        <f t="shared" ca="1" si="7"/>
        <v>0</v>
      </c>
      <c r="L41" s="41">
        <f t="shared" ca="1" si="7"/>
        <v>0</v>
      </c>
      <c r="M41" s="41">
        <f t="shared" ca="1" si="7"/>
        <v>0</v>
      </c>
      <c r="N41" s="41">
        <f t="shared" ca="1" si="8"/>
        <v>0</v>
      </c>
      <c r="O41" s="167">
        <f t="shared" ca="1" si="8"/>
        <v>0</v>
      </c>
    </row>
    <row r="42" spans="1:16">
      <c r="A42" s="41">
        <f>A4</f>
        <v>2025</v>
      </c>
      <c r="B42" s="41" t="s">
        <v>28</v>
      </c>
      <c r="C42" s="158" t="str">
        <f t="shared" si="9"/>
        <v>2025_04</v>
      </c>
      <c r="D42" s="168">
        <f t="shared" ca="1" si="10"/>
        <v>0</v>
      </c>
      <c r="E42" s="166">
        <f t="shared" ca="1" si="11"/>
        <v>0</v>
      </c>
      <c r="F42" s="41">
        <f t="shared" ca="1" si="7"/>
        <v>0</v>
      </c>
      <c r="G42" s="41">
        <f t="shared" ca="1" si="7"/>
        <v>0</v>
      </c>
      <c r="H42" s="41">
        <f t="shared" ca="1" si="7"/>
        <v>0</v>
      </c>
      <c r="I42" s="41">
        <f t="shared" ca="1" si="7"/>
        <v>0</v>
      </c>
      <c r="J42" s="41">
        <f t="shared" ca="1" si="7"/>
        <v>0</v>
      </c>
      <c r="K42" s="41">
        <f t="shared" ca="1" si="7"/>
        <v>0</v>
      </c>
      <c r="L42" s="41">
        <f t="shared" ca="1" si="7"/>
        <v>0</v>
      </c>
      <c r="M42" s="41">
        <f t="shared" ca="1" si="7"/>
        <v>0</v>
      </c>
      <c r="N42" s="41">
        <f t="shared" ca="1" si="8"/>
        <v>0</v>
      </c>
      <c r="O42" s="167">
        <f t="shared" ca="1" si="8"/>
        <v>0</v>
      </c>
    </row>
    <row r="43" spans="1:16">
      <c r="A43" s="41">
        <f>A4</f>
        <v>2025</v>
      </c>
      <c r="B43" s="41" t="s">
        <v>29</v>
      </c>
      <c r="C43" s="158" t="str">
        <f t="shared" si="9"/>
        <v>2025_05</v>
      </c>
      <c r="D43" s="168">
        <f t="shared" ca="1" si="10"/>
        <v>0</v>
      </c>
      <c r="E43" s="166">
        <f t="shared" ca="1" si="11"/>
        <v>0</v>
      </c>
      <c r="F43" s="41">
        <f t="shared" ca="1" si="7"/>
        <v>0</v>
      </c>
      <c r="G43" s="41">
        <f t="shared" ca="1" si="7"/>
        <v>0</v>
      </c>
      <c r="H43" s="41">
        <f t="shared" ca="1" si="7"/>
        <v>0</v>
      </c>
      <c r="I43" s="41">
        <f t="shared" ca="1" si="7"/>
        <v>0</v>
      </c>
      <c r="J43" s="41">
        <f t="shared" ca="1" si="7"/>
        <v>0</v>
      </c>
      <c r="K43" s="41">
        <f t="shared" ca="1" si="7"/>
        <v>0</v>
      </c>
      <c r="L43" s="41">
        <f t="shared" ca="1" si="7"/>
        <v>0</v>
      </c>
      <c r="M43" s="41">
        <f t="shared" ca="1" si="7"/>
        <v>0</v>
      </c>
      <c r="N43" s="41">
        <f t="shared" ca="1" si="8"/>
        <v>0</v>
      </c>
      <c r="O43" s="167">
        <f t="shared" ca="1" si="8"/>
        <v>0</v>
      </c>
    </row>
    <row r="44" spans="1:16">
      <c r="A44" s="41">
        <f>A4</f>
        <v>2025</v>
      </c>
      <c r="B44" s="41" t="s">
        <v>30</v>
      </c>
      <c r="C44" s="158" t="str">
        <f t="shared" si="9"/>
        <v>2025_06</v>
      </c>
      <c r="D44" s="168">
        <f t="shared" ca="1" si="10"/>
        <v>0</v>
      </c>
      <c r="E44" s="166">
        <f t="shared" ca="1" si="11"/>
        <v>0</v>
      </c>
      <c r="F44" s="41">
        <f t="shared" ca="1" si="7"/>
        <v>0</v>
      </c>
      <c r="G44" s="41">
        <f t="shared" ca="1" si="7"/>
        <v>0</v>
      </c>
      <c r="H44" s="41">
        <f t="shared" ca="1" si="7"/>
        <v>0</v>
      </c>
      <c r="I44" s="41">
        <f t="shared" ca="1" si="7"/>
        <v>0</v>
      </c>
      <c r="J44" s="41">
        <f t="shared" ca="1" si="7"/>
        <v>0</v>
      </c>
      <c r="K44" s="41">
        <f t="shared" ca="1" si="7"/>
        <v>0</v>
      </c>
      <c r="L44" s="41">
        <f t="shared" ca="1" si="7"/>
        <v>0</v>
      </c>
      <c r="M44" s="41">
        <f t="shared" ca="1" si="7"/>
        <v>0</v>
      </c>
      <c r="N44" s="41">
        <f t="shared" ca="1" si="8"/>
        <v>0</v>
      </c>
      <c r="O44" s="167">
        <f t="shared" ca="1" si="8"/>
        <v>0</v>
      </c>
    </row>
    <row r="45" spans="1:16">
      <c r="A45" s="41">
        <f>A4</f>
        <v>2025</v>
      </c>
      <c r="B45" s="41" t="s">
        <v>31</v>
      </c>
      <c r="C45" s="158" t="str">
        <f t="shared" si="9"/>
        <v>2025_07</v>
      </c>
      <c r="D45" s="168">
        <f t="shared" ca="1" si="10"/>
        <v>0</v>
      </c>
      <c r="E45" s="166">
        <f t="shared" ca="1" si="11"/>
        <v>0</v>
      </c>
      <c r="F45" s="41">
        <f t="shared" ca="1" si="7"/>
        <v>0</v>
      </c>
      <c r="G45" s="41">
        <f t="shared" ca="1" si="7"/>
        <v>0</v>
      </c>
      <c r="H45" s="41">
        <f t="shared" ca="1" si="7"/>
        <v>0</v>
      </c>
      <c r="I45" s="41">
        <f t="shared" ca="1" si="7"/>
        <v>0</v>
      </c>
      <c r="J45" s="41">
        <f t="shared" ca="1" si="7"/>
        <v>0</v>
      </c>
      <c r="K45" s="41">
        <f t="shared" ca="1" si="7"/>
        <v>0</v>
      </c>
      <c r="L45" s="41">
        <f t="shared" ca="1" si="7"/>
        <v>0</v>
      </c>
      <c r="M45" s="41">
        <f t="shared" ca="1" si="7"/>
        <v>0</v>
      </c>
      <c r="N45" s="41">
        <f t="shared" ca="1" si="8"/>
        <v>0</v>
      </c>
      <c r="O45" s="167">
        <f t="shared" ca="1" si="8"/>
        <v>0</v>
      </c>
    </row>
    <row r="46" spans="1:16">
      <c r="A46" s="41">
        <f>A4</f>
        <v>2025</v>
      </c>
      <c r="B46" s="41" t="s">
        <v>32</v>
      </c>
      <c r="C46" s="158" t="str">
        <f t="shared" si="9"/>
        <v>2025_08</v>
      </c>
      <c r="D46" s="168">
        <f t="shared" ca="1" si="10"/>
        <v>0</v>
      </c>
      <c r="E46" s="166">
        <f t="shared" ca="1" si="11"/>
        <v>0</v>
      </c>
      <c r="F46" s="41">
        <f t="shared" ca="1" si="7"/>
        <v>0</v>
      </c>
      <c r="G46" s="41">
        <f t="shared" ca="1" si="7"/>
        <v>0</v>
      </c>
      <c r="H46" s="41">
        <f t="shared" ca="1" si="7"/>
        <v>0</v>
      </c>
      <c r="I46" s="41">
        <f t="shared" ca="1" si="7"/>
        <v>0</v>
      </c>
      <c r="J46" s="41">
        <f t="shared" ca="1" si="7"/>
        <v>0</v>
      </c>
      <c r="K46" s="41">
        <f t="shared" ca="1" si="7"/>
        <v>0</v>
      </c>
      <c r="L46" s="41">
        <f t="shared" ca="1" si="7"/>
        <v>0</v>
      </c>
      <c r="M46" s="41">
        <f t="shared" ca="1" si="7"/>
        <v>0</v>
      </c>
      <c r="N46" s="41">
        <f t="shared" ca="1" si="8"/>
        <v>0</v>
      </c>
      <c r="O46" s="167">
        <f t="shared" ca="1" si="8"/>
        <v>0</v>
      </c>
    </row>
    <row r="47" spans="1:16">
      <c r="A47" s="41">
        <f>A4</f>
        <v>2025</v>
      </c>
      <c r="B47" s="41" t="s">
        <v>33</v>
      </c>
      <c r="C47" s="158" t="str">
        <f t="shared" si="9"/>
        <v>2025_09</v>
      </c>
      <c r="D47" s="168">
        <f t="shared" ca="1" si="10"/>
        <v>8</v>
      </c>
      <c r="E47" s="166">
        <f t="shared" ca="1" si="11"/>
        <v>5</v>
      </c>
      <c r="F47" s="41">
        <f t="shared" ca="1" si="7"/>
        <v>2</v>
      </c>
      <c r="G47" s="41">
        <f t="shared" ca="1" si="7"/>
        <v>1</v>
      </c>
      <c r="H47" s="41">
        <f t="shared" ca="1" si="7"/>
        <v>0</v>
      </c>
      <c r="I47" s="41">
        <f t="shared" ca="1" si="7"/>
        <v>0</v>
      </c>
      <c r="J47" s="41">
        <f t="shared" ca="1" si="7"/>
        <v>0</v>
      </c>
      <c r="K47" s="41">
        <f t="shared" ca="1" si="7"/>
        <v>0</v>
      </c>
      <c r="L47" s="41">
        <f t="shared" ca="1" si="7"/>
        <v>0</v>
      </c>
      <c r="M47" s="41">
        <f t="shared" ca="1" si="7"/>
        <v>0</v>
      </c>
      <c r="N47" s="41">
        <f t="shared" ca="1" si="8"/>
        <v>0</v>
      </c>
      <c r="O47" s="167">
        <f t="shared" ca="1" si="8"/>
        <v>0</v>
      </c>
    </row>
    <row r="48" spans="1:16">
      <c r="A48" s="41">
        <f>A4</f>
        <v>2025</v>
      </c>
      <c r="B48" s="41" t="s">
        <v>34</v>
      </c>
      <c r="C48" s="158" t="str">
        <f t="shared" si="9"/>
        <v>2025_10</v>
      </c>
      <c r="D48" s="168">
        <f t="shared" ca="1" si="10"/>
        <v>0</v>
      </c>
      <c r="E48" s="166">
        <f t="shared" ca="1" si="11"/>
        <v>0</v>
      </c>
      <c r="F48" s="41">
        <f t="shared" ca="1" si="7"/>
        <v>0</v>
      </c>
      <c r="G48" s="41">
        <f t="shared" ca="1" si="7"/>
        <v>0</v>
      </c>
      <c r="H48" s="41">
        <f t="shared" ca="1" si="7"/>
        <v>0</v>
      </c>
      <c r="I48" s="41">
        <f t="shared" ca="1" si="7"/>
        <v>0</v>
      </c>
      <c r="J48" s="41">
        <f t="shared" ca="1" si="7"/>
        <v>0</v>
      </c>
      <c r="K48" s="41">
        <f t="shared" ca="1" si="7"/>
        <v>0</v>
      </c>
      <c r="L48" s="41">
        <f t="shared" ca="1" si="7"/>
        <v>0</v>
      </c>
      <c r="M48" s="41">
        <f t="shared" ca="1" si="7"/>
        <v>0</v>
      </c>
      <c r="N48" s="41">
        <f t="shared" ca="1" si="8"/>
        <v>0</v>
      </c>
      <c r="O48" s="167">
        <f t="shared" ca="1" si="8"/>
        <v>0</v>
      </c>
    </row>
    <row r="49" spans="1:18">
      <c r="A49" s="41">
        <f>A4</f>
        <v>2025</v>
      </c>
      <c r="B49" s="41" t="s">
        <v>35</v>
      </c>
      <c r="C49" s="158" t="str">
        <f t="shared" si="9"/>
        <v>2025_11</v>
      </c>
      <c r="D49" s="168">
        <f t="shared" ca="1" si="10"/>
        <v>0</v>
      </c>
      <c r="E49" s="166">
        <f t="shared" ca="1" si="11"/>
        <v>0</v>
      </c>
      <c r="F49" s="41">
        <f t="shared" ca="1" si="7"/>
        <v>0</v>
      </c>
      <c r="G49" s="41">
        <f t="shared" ca="1" si="7"/>
        <v>0</v>
      </c>
      <c r="H49" s="41">
        <f t="shared" ca="1" si="7"/>
        <v>0</v>
      </c>
      <c r="I49" s="41">
        <f t="shared" ca="1" si="7"/>
        <v>0</v>
      </c>
      <c r="J49" s="41">
        <f t="shared" ca="1" si="7"/>
        <v>0</v>
      </c>
      <c r="K49" s="41">
        <f t="shared" ca="1" si="7"/>
        <v>0</v>
      </c>
      <c r="L49" s="41">
        <f t="shared" ca="1" si="7"/>
        <v>0</v>
      </c>
      <c r="M49" s="41">
        <f t="shared" ca="1" si="7"/>
        <v>0</v>
      </c>
      <c r="N49" s="41">
        <f t="shared" ca="1" si="8"/>
        <v>0</v>
      </c>
      <c r="O49" s="167">
        <f t="shared" ca="1" si="8"/>
        <v>0</v>
      </c>
    </row>
    <row r="50" spans="1:18" ht="18.600000000000001" thickBot="1">
      <c r="A50" s="41">
        <f>A4</f>
        <v>2025</v>
      </c>
      <c r="B50" s="41" t="s">
        <v>36</v>
      </c>
      <c r="C50" s="160" t="str">
        <f t="shared" si="9"/>
        <v>2025_12</v>
      </c>
      <c r="D50" s="169">
        <f t="shared" ca="1" si="10"/>
        <v>0</v>
      </c>
      <c r="E50" s="166">
        <f t="shared" ca="1" si="11"/>
        <v>0</v>
      </c>
      <c r="F50" s="41">
        <f t="shared" ca="1" si="7"/>
        <v>0</v>
      </c>
      <c r="G50" s="41">
        <f t="shared" ca="1" si="7"/>
        <v>0</v>
      </c>
      <c r="H50" s="41">
        <f t="shared" ca="1" si="7"/>
        <v>0</v>
      </c>
      <c r="I50" s="41">
        <f t="shared" ca="1" si="7"/>
        <v>0</v>
      </c>
      <c r="J50" s="41">
        <f t="shared" ca="1" si="7"/>
        <v>0</v>
      </c>
      <c r="K50" s="41">
        <f t="shared" ca="1" si="7"/>
        <v>0</v>
      </c>
      <c r="L50" s="41">
        <f t="shared" ca="1" si="7"/>
        <v>0</v>
      </c>
      <c r="M50" s="41">
        <f t="shared" ca="1" si="7"/>
        <v>0</v>
      </c>
      <c r="N50" s="41">
        <f t="shared" ca="1" si="8"/>
        <v>0</v>
      </c>
      <c r="O50" s="167">
        <f t="shared" ca="1" si="8"/>
        <v>0</v>
      </c>
    </row>
    <row r="51" spans="1:18" ht="18.600000000000001" thickBot="1">
      <c r="D51" s="109" t="s">
        <v>151</v>
      </c>
      <c r="E51" s="170">
        <f t="shared" ref="E51" ca="1" si="12">SUM(E39:E50)</f>
        <v>5</v>
      </c>
      <c r="F51" s="171">
        <f t="shared" ref="F51" ca="1" si="13">SUM(F39:F50)</f>
        <v>2</v>
      </c>
      <c r="G51" s="171">
        <f t="shared" ref="G51" ca="1" si="14">SUM(G39:G50)</f>
        <v>1</v>
      </c>
      <c r="H51" s="171">
        <f t="shared" ref="H51" ca="1" si="15">SUM(H39:H50)</f>
        <v>0</v>
      </c>
      <c r="I51" s="171">
        <f t="shared" ref="I51" ca="1" si="16">SUM(I39:I50)</f>
        <v>0</v>
      </c>
      <c r="J51" s="171">
        <f t="shared" ref="J51" ca="1" si="17">SUM(J39:J50)</f>
        <v>0</v>
      </c>
      <c r="K51" s="171">
        <f t="shared" ref="K51" ca="1" si="18">SUM(K39:K50)</f>
        <v>0</v>
      </c>
      <c r="L51" s="171">
        <f t="shared" ref="L51" ca="1" si="19">SUM(L39:L50)</f>
        <v>0</v>
      </c>
      <c r="M51" s="171">
        <f t="shared" ref="M51" ca="1" si="20">SUM(M39:M50)</f>
        <v>0</v>
      </c>
      <c r="N51" s="171">
        <f t="shared" ref="N51:O51" ca="1" si="21">SUM(N39:N50)</f>
        <v>0</v>
      </c>
      <c r="O51" s="172">
        <f t="shared" ca="1" si="21"/>
        <v>0</v>
      </c>
    </row>
    <row r="52" spans="1:18" ht="18.600000000000001" thickBot="1">
      <c r="D52" s="223">
        <f ca="1">SUM(D39:D50)</f>
        <v>8</v>
      </c>
    </row>
    <row r="53" spans="1:18">
      <c r="M53" s="109"/>
      <c r="N53" s="109"/>
    </row>
    <row r="54" spans="1:18">
      <c r="A54" s="118" t="s">
        <v>64</v>
      </c>
      <c r="C54" s="109"/>
      <c r="D54" s="109"/>
    </row>
    <row r="55" spans="1:18">
      <c r="D55" s="97"/>
      <c r="E55" s="150"/>
      <c r="F55" s="150"/>
      <c r="G55" s="150"/>
      <c r="H55" s="150"/>
      <c r="I55" s="150"/>
      <c r="J55" s="150"/>
      <c r="K55" s="150"/>
      <c r="L55" s="150"/>
      <c r="M55" s="150"/>
      <c r="N55" s="150"/>
      <c r="O55" s="150"/>
      <c r="P55" s="150"/>
      <c r="Q55" s="150"/>
      <c r="R55" s="150"/>
    </row>
    <row r="56" spans="1:18">
      <c r="A56" s="41" t="s">
        <v>265</v>
      </c>
      <c r="C56" s="151"/>
      <c r="D56" s="151"/>
    </row>
    <row r="57" spans="1:18">
      <c r="C57" s="151"/>
      <c r="D57" s="151"/>
    </row>
    <row r="58" spans="1:18">
      <c r="C58" s="151"/>
      <c r="D58" s="151"/>
    </row>
    <row r="59" spans="1:18">
      <c r="C59" s="151"/>
      <c r="D59" s="151"/>
    </row>
    <row r="60" spans="1:18">
      <c r="C60" s="151"/>
      <c r="D60" s="151"/>
    </row>
    <row r="61" spans="1:18">
      <c r="C61" s="151"/>
      <c r="D61" s="151"/>
    </row>
    <row r="62" spans="1:18">
      <c r="C62" s="151"/>
      <c r="D62" s="151"/>
    </row>
    <row r="63" spans="1:18">
      <c r="C63" s="151"/>
      <c r="D63" s="151"/>
    </row>
    <row r="64" spans="1:18">
      <c r="C64" s="151"/>
      <c r="D64" s="151"/>
    </row>
    <row r="65" spans="1:7">
      <c r="C65" s="151"/>
      <c r="D65" s="151"/>
    </row>
    <row r="66" spans="1:7">
      <c r="C66" s="151"/>
      <c r="D66" s="151"/>
    </row>
    <row r="67" spans="1:7">
      <c r="C67" s="151"/>
      <c r="D67" s="151"/>
    </row>
    <row r="69" spans="1:7">
      <c r="A69" s="118" t="s">
        <v>77</v>
      </c>
      <c r="D69" s="151" t="s">
        <v>113</v>
      </c>
    </row>
    <row r="70" spans="1:7" ht="18.600000000000001" thickBot="1">
      <c r="D70" s="97" t="s">
        <v>65</v>
      </c>
      <c r="E70" s="97" t="s">
        <v>177</v>
      </c>
      <c r="G70" s="97" t="s">
        <v>178</v>
      </c>
    </row>
    <row r="71" spans="1:7" ht="18.600000000000001" thickBot="1">
      <c r="A71" s="41">
        <f>A4</f>
        <v>2025</v>
      </c>
      <c r="B71" s="41" t="s">
        <v>25</v>
      </c>
      <c r="C71" s="173" t="str">
        <f>A71&amp;""&amp;B71</f>
        <v>2025_01</v>
      </c>
      <c r="D71" s="234" t="str" cm="1">
        <f t="array" aca="1" ref="D71" ca="1">IFERROR(INDIRECT("'" &amp; TRIM(C71) &amp; "'!AW3"), "")</f>
        <v/>
      </c>
      <c r="E71" s="139" t="str">
        <f ca="1">IF($D71="","", $D71 - $G$71)</f>
        <v/>
      </c>
      <c r="G71" s="137">
        <f>P10</f>
        <v>1226</v>
      </c>
    </row>
    <row r="72" spans="1:7">
      <c r="A72" s="41">
        <f>A4</f>
        <v>2025</v>
      </c>
      <c r="B72" s="41" t="s">
        <v>26</v>
      </c>
      <c r="C72" s="174" t="str">
        <f t="shared" ref="C72:C82" si="22">A72&amp;""&amp;B72</f>
        <v>2025_02</v>
      </c>
      <c r="D72" s="235" t="str" cm="1">
        <f t="array" aca="1" ref="D72" ca="1">IFERROR(INDIRECT("'" &amp; TRIM(C72) &amp; "'!AW3"), "")</f>
        <v/>
      </c>
      <c r="E72" s="142" t="str">
        <f t="shared" ref="E72:E82" ca="1" si="23">IF($D72="","", $D72 - $G$71)</f>
        <v/>
      </c>
    </row>
    <row r="73" spans="1:7">
      <c r="A73" s="41">
        <f>A4</f>
        <v>2025</v>
      </c>
      <c r="B73" s="41" t="s">
        <v>27</v>
      </c>
      <c r="C73" s="174" t="str">
        <f t="shared" si="22"/>
        <v>2025_03</v>
      </c>
      <c r="D73" s="235" t="str" cm="1">
        <f t="array" aca="1" ref="D73" ca="1">IFERROR(INDIRECT("'" &amp; TRIM(C73) &amp; "'!AW3"), "")</f>
        <v/>
      </c>
      <c r="E73" s="142" t="str">
        <f t="shared" ca="1" si="23"/>
        <v/>
      </c>
    </row>
    <row r="74" spans="1:7">
      <c r="A74" s="41">
        <f>A4</f>
        <v>2025</v>
      </c>
      <c r="B74" s="41" t="s">
        <v>28</v>
      </c>
      <c r="C74" s="174" t="str">
        <f t="shared" si="22"/>
        <v>2025_04</v>
      </c>
      <c r="D74" s="235" t="str" cm="1">
        <f t="array" aca="1" ref="D74" ca="1">IFERROR(INDIRECT("'" &amp; TRIM(C74) &amp; "'!AW3"), "")</f>
        <v/>
      </c>
      <c r="E74" s="142" t="str">
        <f t="shared" ca="1" si="23"/>
        <v/>
      </c>
    </row>
    <row r="75" spans="1:7">
      <c r="A75" s="41">
        <f>A4</f>
        <v>2025</v>
      </c>
      <c r="B75" s="41" t="s">
        <v>29</v>
      </c>
      <c r="C75" s="174" t="str">
        <f t="shared" si="22"/>
        <v>2025_05</v>
      </c>
      <c r="D75" s="235" t="str" cm="1">
        <f t="array" aca="1" ref="D75" ca="1">IFERROR(INDIRECT("'" &amp; TRIM(C75) &amp; "'!AW3"), "")</f>
        <v/>
      </c>
      <c r="E75" s="142" t="str">
        <f t="shared" ca="1" si="23"/>
        <v/>
      </c>
    </row>
    <row r="76" spans="1:7">
      <c r="A76" s="41">
        <f>A4</f>
        <v>2025</v>
      </c>
      <c r="B76" s="41" t="s">
        <v>30</v>
      </c>
      <c r="C76" s="174" t="str">
        <f t="shared" si="22"/>
        <v>2025_06</v>
      </c>
      <c r="D76" s="235" t="str" cm="1">
        <f t="array" aca="1" ref="D76" ca="1">IFERROR(INDIRECT("'" &amp; TRIM(C76) &amp; "'!AW3"), "")</f>
        <v/>
      </c>
      <c r="E76" s="142" t="str">
        <f t="shared" ca="1" si="23"/>
        <v/>
      </c>
    </row>
    <row r="77" spans="1:7">
      <c r="A77" s="41">
        <f>A4</f>
        <v>2025</v>
      </c>
      <c r="B77" s="41" t="s">
        <v>31</v>
      </c>
      <c r="C77" s="174" t="str">
        <f t="shared" si="22"/>
        <v>2025_07</v>
      </c>
      <c r="D77" s="235" t="str" cm="1">
        <f t="array" aca="1" ref="D77" ca="1">IFERROR(INDIRECT("'" &amp; TRIM(C77) &amp; "'!AW3"), "")</f>
        <v/>
      </c>
      <c r="E77" s="142" t="str">
        <f t="shared" ca="1" si="23"/>
        <v/>
      </c>
    </row>
    <row r="78" spans="1:7">
      <c r="A78" s="41">
        <f>A4</f>
        <v>2025</v>
      </c>
      <c r="B78" s="41" t="s">
        <v>32</v>
      </c>
      <c r="C78" s="174" t="str">
        <f t="shared" si="22"/>
        <v>2025_08</v>
      </c>
      <c r="D78" s="235" t="str" cm="1">
        <f t="array" aca="1" ref="D78" ca="1">IFERROR(INDIRECT("'" &amp; TRIM(C78) &amp; "'!AW3"), "")</f>
        <v/>
      </c>
      <c r="E78" s="142" t="str">
        <f t="shared" ca="1" si="23"/>
        <v/>
      </c>
    </row>
    <row r="79" spans="1:7">
      <c r="A79" s="41">
        <f>A4</f>
        <v>2025</v>
      </c>
      <c r="B79" s="41" t="s">
        <v>33</v>
      </c>
      <c r="C79" s="174" t="str">
        <f t="shared" si="22"/>
        <v>2025_09</v>
      </c>
      <c r="D79" s="235" cm="1">
        <f t="array" aca="1" ref="D79" ca="1">IFERROR(INDIRECT("'" &amp; TRIM(C79) &amp; "'!AW3"), "")</f>
        <v>10000</v>
      </c>
      <c r="E79" s="142">
        <f t="shared" ca="1" si="23"/>
        <v>8774</v>
      </c>
    </row>
    <row r="80" spans="1:7">
      <c r="A80" s="41">
        <f>A4</f>
        <v>2025</v>
      </c>
      <c r="B80" s="41" t="s">
        <v>34</v>
      </c>
      <c r="C80" s="174" t="str">
        <f t="shared" si="22"/>
        <v>2025_10</v>
      </c>
      <c r="D80" s="235" t="str" cm="1">
        <f t="array" aca="1" ref="D80" ca="1">IFERROR(INDIRECT("'" &amp; TRIM(C80) &amp; "'!AW3"), "")</f>
        <v/>
      </c>
      <c r="E80" s="142" t="str">
        <f t="shared" ca="1" si="23"/>
        <v/>
      </c>
    </row>
    <row r="81" spans="1:5">
      <c r="A81" s="41">
        <f>A4</f>
        <v>2025</v>
      </c>
      <c r="B81" s="41" t="s">
        <v>35</v>
      </c>
      <c r="C81" s="174" t="str">
        <f t="shared" si="22"/>
        <v>2025_11</v>
      </c>
      <c r="D81" s="235" t="str" cm="1">
        <f t="array" aca="1" ref="D81" ca="1">IFERROR(INDIRECT("'" &amp; TRIM(C81) &amp; "'!AW3"), "")</f>
        <v/>
      </c>
      <c r="E81" s="142" t="str">
        <f t="shared" ca="1" si="23"/>
        <v/>
      </c>
    </row>
    <row r="82" spans="1:5" ht="18.600000000000001" thickBot="1">
      <c r="A82" s="41">
        <f>A4</f>
        <v>2025</v>
      </c>
      <c r="B82" s="41" t="s">
        <v>36</v>
      </c>
      <c r="C82" s="175" t="str">
        <f t="shared" si="22"/>
        <v>2025_12</v>
      </c>
      <c r="D82" s="236" t="str" cm="1">
        <f t="array" aca="1" ref="D82" ca="1">IFERROR(INDIRECT("'" &amp; TRIM(C82) &amp; "'!AW3"), "")</f>
        <v/>
      </c>
      <c r="E82" s="147" t="str">
        <f t="shared" ca="1" si="23"/>
        <v/>
      </c>
    </row>
    <row r="84" spans="1:5">
      <c r="A84" s="118" t="s">
        <v>180</v>
      </c>
      <c r="C84" t="s">
        <v>185</v>
      </c>
    </row>
    <row r="85" spans="1:5" ht="18.600000000000001" thickBot="1"/>
    <row r="86" spans="1:5">
      <c r="A86" s="41">
        <f>A4</f>
        <v>2025</v>
      </c>
      <c r="B86" s="41" t="s">
        <v>25</v>
      </c>
      <c r="C86" s="173" t="str">
        <f>A86&amp;""&amp;B86</f>
        <v>2025_01</v>
      </c>
      <c r="D86" s="141"/>
    </row>
    <row r="87" spans="1:5">
      <c r="A87" s="41">
        <f>A4</f>
        <v>2025</v>
      </c>
      <c r="B87" s="41" t="s">
        <v>26</v>
      </c>
      <c r="C87" s="174" t="str">
        <f t="shared" ref="C87:C97" si="24">A87&amp;""&amp;B87</f>
        <v>2025_02</v>
      </c>
      <c r="D87" s="144"/>
    </row>
    <row r="88" spans="1:5">
      <c r="A88" s="41">
        <f>A4</f>
        <v>2025</v>
      </c>
      <c r="B88" s="41" t="s">
        <v>27</v>
      </c>
      <c r="C88" s="174" t="str">
        <f t="shared" si="24"/>
        <v>2025_03</v>
      </c>
      <c r="D88" s="144"/>
    </row>
    <row r="89" spans="1:5">
      <c r="A89" s="41">
        <f>A4</f>
        <v>2025</v>
      </c>
      <c r="B89" s="41" t="s">
        <v>28</v>
      </c>
      <c r="C89" s="174" t="str">
        <f t="shared" si="24"/>
        <v>2025_04</v>
      </c>
      <c r="D89" s="144"/>
    </row>
    <row r="90" spans="1:5">
      <c r="A90" s="41">
        <f>A4</f>
        <v>2025</v>
      </c>
      <c r="B90" s="41" t="s">
        <v>29</v>
      </c>
      <c r="C90" s="174" t="str">
        <f t="shared" si="24"/>
        <v>2025_05</v>
      </c>
      <c r="D90" s="144"/>
    </row>
    <row r="91" spans="1:5">
      <c r="A91" s="41">
        <f>A4</f>
        <v>2025</v>
      </c>
      <c r="B91" s="41" t="s">
        <v>30</v>
      </c>
      <c r="C91" s="174" t="str">
        <f t="shared" si="24"/>
        <v>2025_06</v>
      </c>
      <c r="D91" s="144"/>
    </row>
    <row r="92" spans="1:5">
      <c r="A92" s="41">
        <f>A4</f>
        <v>2025</v>
      </c>
      <c r="B92" s="41" t="s">
        <v>31</v>
      </c>
      <c r="C92" s="174" t="str">
        <f t="shared" si="24"/>
        <v>2025_07</v>
      </c>
      <c r="D92" s="144"/>
    </row>
    <row r="93" spans="1:5">
      <c r="A93" s="41">
        <f>A4</f>
        <v>2025</v>
      </c>
      <c r="B93" s="41" t="s">
        <v>32</v>
      </c>
      <c r="C93" s="174" t="str">
        <f t="shared" si="24"/>
        <v>2025_08</v>
      </c>
      <c r="D93" s="144"/>
    </row>
    <row r="94" spans="1:5">
      <c r="A94" s="41">
        <f>A4</f>
        <v>2025</v>
      </c>
      <c r="B94" s="41" t="s">
        <v>33</v>
      </c>
      <c r="C94" s="174" t="str">
        <f t="shared" si="24"/>
        <v>2025_09</v>
      </c>
      <c r="D94" s="144"/>
    </row>
    <row r="95" spans="1:5">
      <c r="A95" s="41">
        <f>A4</f>
        <v>2025</v>
      </c>
      <c r="B95" s="41" t="s">
        <v>34</v>
      </c>
      <c r="C95" s="174" t="str">
        <f t="shared" si="24"/>
        <v>2025_10</v>
      </c>
      <c r="D95" s="144"/>
    </row>
    <row r="96" spans="1:5">
      <c r="A96" s="41">
        <f>A4</f>
        <v>2025</v>
      </c>
      <c r="B96" s="41" t="s">
        <v>35</v>
      </c>
      <c r="C96" s="174" t="str">
        <f t="shared" si="24"/>
        <v>2025_11</v>
      </c>
      <c r="D96" s="144"/>
    </row>
    <row r="97" spans="1:16" ht="18.600000000000001" thickBot="1">
      <c r="A97" s="41">
        <f>A4</f>
        <v>2025</v>
      </c>
      <c r="B97" s="41" t="s">
        <v>36</v>
      </c>
      <c r="C97" s="175" t="str">
        <f t="shared" si="24"/>
        <v>2025_12</v>
      </c>
      <c r="D97" s="149"/>
    </row>
    <row r="98" spans="1:16" ht="18.600000000000001" thickBot="1"/>
    <row r="99" spans="1:16" ht="18.600000000000001" thickBot="1">
      <c r="A99" s="7" t="s">
        <v>167</v>
      </c>
      <c r="B99"/>
      <c r="E99"/>
      <c r="F99"/>
      <c r="G99"/>
      <c r="H99" s="5" t="s">
        <v>103</v>
      </c>
      <c r="I99" s="188" t="s">
        <v>96</v>
      </c>
      <c r="J99" s="186" t="s">
        <v>95</v>
      </c>
      <c r="K99" s="187" t="s">
        <v>94</v>
      </c>
      <c r="L99"/>
      <c r="M99" s="5" t="s">
        <v>87</v>
      </c>
      <c r="N99" s="188" t="s">
        <v>99</v>
      </c>
      <c r="O99" s="186" t="s">
        <v>97</v>
      </c>
      <c r="P99" s="187" t="s">
        <v>98</v>
      </c>
    </row>
    <row r="100" spans="1:16" ht="18.600000000000001" thickBot="1">
      <c r="A100" s="2" t="s">
        <v>181</v>
      </c>
      <c r="B100"/>
      <c r="C100" s="5" t="str" cm="1">
        <f t="array" aca="1" ref="C100" ca="1">INDEX(売上工数管理!$C$5:$C$16, MONTH(TODAY()))</f>
        <v>2025_09</v>
      </c>
      <c r="D100" s="3" t="s">
        <v>293</v>
      </c>
      <c r="E100"/>
      <c r="F100"/>
      <c r="G100"/>
      <c r="H100" s="2"/>
      <c r="I100" s="189"/>
      <c r="J100" s="189"/>
      <c r="K100" s="189"/>
      <c r="L100"/>
      <c r="M100" s="2"/>
      <c r="N100" s="189"/>
      <c r="O100" s="189"/>
      <c r="P100" s="189"/>
    </row>
    <row r="101" spans="1:16">
      <c r="A101" s="7"/>
      <c r="B101"/>
      <c r="C101"/>
      <c r="D101" t="s">
        <v>89</v>
      </c>
      <c r="E101"/>
      <c r="F101"/>
      <c r="G101"/>
      <c r="H101" s="2"/>
      <c r="I101" s="189"/>
      <c r="J101" s="3" t="s">
        <v>182</v>
      </c>
      <c r="K101" s="189"/>
      <c r="L101"/>
      <c r="M101" s="2"/>
      <c r="N101" s="189"/>
      <c r="O101" s="189"/>
      <c r="P101" s="189"/>
    </row>
    <row r="102" spans="1:16" ht="18.600000000000001" thickBot="1">
      <c r="A102"/>
      <c r="B102" s="2"/>
      <c r="C102"/>
      <c r="D102"/>
      <c r="E102"/>
      <c r="F102"/>
      <c r="G102" t="s">
        <v>102</v>
      </c>
      <c r="H102" t="s">
        <v>102</v>
      </c>
      <c r="I102" t="s">
        <v>100</v>
      </c>
      <c r="J102" t="s">
        <v>101</v>
      </c>
      <c r="K102"/>
      <c r="L102"/>
      <c r="M102"/>
      <c r="N102"/>
      <c r="O102"/>
      <c r="P102"/>
    </row>
    <row r="103" spans="1:16" ht="18.600000000000001" thickBot="1">
      <c r="A103" s="241" t="s">
        <v>88</v>
      </c>
      <c r="B103" s="378" t="s">
        <v>83</v>
      </c>
      <c r="C103" s="378"/>
      <c r="D103" s="378"/>
      <c r="E103" s="378"/>
      <c r="F103" s="378"/>
      <c r="G103" s="242" t="s">
        <v>84</v>
      </c>
      <c r="H103" s="242" t="s">
        <v>85</v>
      </c>
      <c r="I103" s="242" t="s">
        <v>86</v>
      </c>
      <c r="J103" s="243" t="s">
        <v>87</v>
      </c>
      <c r="K103"/>
      <c r="L103"/>
      <c r="M103"/>
      <c r="N103"/>
      <c r="O103"/>
      <c r="P103"/>
    </row>
    <row r="104" spans="1:16">
      <c r="A104" s="244">
        <v>1</v>
      </c>
      <c r="B104" s="379" t="str" cm="1">
        <f t="array" aca="1" ref="B104" ca="1">IFERROR(
  INDEX(INDIRECT("'"&amp;$C$100&amp;"'!$B$115:$J$164"),
        ROWS($B$104:B104),
        COLUMNS($B$104:B104)
  ),
  ""
)</f>
        <v>サンプル：1タスク</v>
      </c>
      <c r="C104" s="379"/>
      <c r="D104" s="379"/>
      <c r="E104" s="379"/>
      <c r="F104" s="379"/>
      <c r="G104" s="245" cm="1">
        <f t="array" aca="1" ref="G104" ca="1">IFERROR(INDEX(INDIRECT("'"&amp;$C$100&amp;"'!$G$115:$G$164"), ROWS($G$104:G104)), "")</f>
        <v>0</v>
      </c>
      <c r="H104" s="245" cm="1">
        <f t="array" aca="1" ref="H104" ca="1">IFERROR(INDEX(INDIRECT("'"&amp;$C$100&amp;"'!$H$115:$H$164"), ROWS($H$104:H104)), "")</f>
        <v>0</v>
      </c>
      <c r="I104" s="245" t="str" cm="1">
        <f t="array" aca="1" ref="I104" ca="1">IFERROR(INDEX(INDIRECT("'"&amp;$C$100&amp;"'!$I$115:$I$164"), ROWS($I$104:I104)), "")</f>
        <v>高</v>
      </c>
      <c r="J104" s="246" t="str" cm="1">
        <f t="array" aca="1" ref="J104" ca="1">IFERROR(INDEX(INDIRECT("'"&amp;$C$100&amp;"'!$J$115:$J$164"), ROWS($J$104:J104)), "")</f>
        <v>未着手</v>
      </c>
      <c r="K104"/>
      <c r="L104"/>
      <c r="M104"/>
      <c r="N104"/>
      <c r="O104"/>
      <c r="P104"/>
    </row>
    <row r="105" spans="1:16">
      <c r="A105" s="190">
        <v>2</v>
      </c>
      <c r="B105" s="374" t="str" cm="1">
        <f t="array" aca="1" ref="B105" ca="1">IFERROR(
  INDEX(INDIRECT("'"&amp;$C$100&amp;"'!$B$115:$J$164"),
        ROWS($B$104:B105),
        COLUMNS($B$104:B105)
  ),
  ""
)</f>
        <v>サンプル：2タスク</v>
      </c>
      <c r="C105" s="374"/>
      <c r="D105" s="374"/>
      <c r="E105" s="374"/>
      <c r="F105" s="374"/>
      <c r="G105" s="27" cm="1">
        <f t="array" aca="1" ref="G105" ca="1">IFERROR(INDEX(INDIRECT("'"&amp;$C$100&amp;"'!$G$115:$G$164"), ROWS($G$104:G105)), "")</f>
        <v>0</v>
      </c>
      <c r="H105" s="27" cm="1">
        <f t="array" aca="1" ref="H105" ca="1">IFERROR(INDEX(INDIRECT("'"&amp;$C$100&amp;"'!$H$115:$H$164"), ROWS($H$104:H105)), "")</f>
        <v>0</v>
      </c>
      <c r="I105" s="27" t="str" cm="1">
        <f t="array" aca="1" ref="I105" ca="1">IFERROR(INDEX(INDIRECT("'"&amp;$C$100&amp;"'!$I$115:$I$164"), ROWS($I$104:I105)), "")</f>
        <v>中</v>
      </c>
      <c r="J105" s="238" t="str" cm="1">
        <f t="array" aca="1" ref="J105" ca="1">IFERROR(INDEX(INDIRECT("'"&amp;$C$100&amp;"'!$J$115:$J$164"), ROWS($J$104:J105)), "")</f>
        <v>進行中</v>
      </c>
      <c r="K105"/>
      <c r="L105"/>
      <c r="M105"/>
      <c r="N105"/>
      <c r="O105"/>
      <c r="P105"/>
    </row>
    <row r="106" spans="1:16">
      <c r="A106" s="190">
        <v>3</v>
      </c>
      <c r="B106" s="374" t="str" cm="1">
        <f t="array" aca="1" ref="B106" ca="1">IFERROR(
  INDEX(INDIRECT("'"&amp;$C$100&amp;"'!$B$115:$J$164"),
        ROWS($B$104:B106),
        COLUMNS($B$104:B106)
  ),
  ""
)</f>
        <v>サンプル：3タスク</v>
      </c>
      <c r="C106" s="374"/>
      <c r="D106" s="374"/>
      <c r="E106" s="374"/>
      <c r="F106" s="374"/>
      <c r="G106" s="27" cm="1">
        <f t="array" aca="1" ref="G106" ca="1">IFERROR(INDEX(INDIRECT("'"&amp;$C$100&amp;"'!$G$115:$G$164"), ROWS($G$104:G106)), "")</f>
        <v>0</v>
      </c>
      <c r="H106" s="27" cm="1">
        <f t="array" aca="1" ref="H106" ca="1">IFERROR(INDEX(INDIRECT("'"&amp;$C$100&amp;"'!$H$115:$H$164"), ROWS($H$104:H106)), "")</f>
        <v>0</v>
      </c>
      <c r="I106" s="27" t="str" cm="1">
        <f t="array" aca="1" ref="I106" ca="1">IFERROR(INDEX(INDIRECT("'"&amp;$C$100&amp;"'!$I$115:$I$164"), ROWS($I$104:I106)), "")</f>
        <v>低</v>
      </c>
      <c r="J106" s="238" t="str" cm="1">
        <f t="array" aca="1" ref="J106" ca="1">IFERROR(INDEX(INDIRECT("'"&amp;$C$100&amp;"'!$J$115:$J$164"), ROWS($J$104:J106)), "")</f>
        <v>完了</v>
      </c>
      <c r="K106"/>
      <c r="L106"/>
      <c r="M106"/>
      <c r="N106"/>
      <c r="O106"/>
      <c r="P106"/>
    </row>
    <row r="107" spans="1:16">
      <c r="A107" s="190">
        <v>4</v>
      </c>
      <c r="B107" s="374" cm="1">
        <f t="array" aca="1" ref="B107" ca="1">IFERROR(
  INDEX(INDIRECT("'"&amp;$C$100&amp;"'!$B$115:$J$164"),
        ROWS($B$104:B107),
        COLUMNS($B$104:B107)
  ),
  ""
)</f>
        <v>0</v>
      </c>
      <c r="C107" s="374"/>
      <c r="D107" s="374"/>
      <c r="E107" s="374"/>
      <c r="F107" s="374"/>
      <c r="G107" s="27" cm="1">
        <f t="array" aca="1" ref="G107" ca="1">IFERROR(INDEX(INDIRECT("'"&amp;$C$100&amp;"'!$G$115:$G$164"), ROWS($G$104:G107)), "")</f>
        <v>0</v>
      </c>
      <c r="H107" s="27" cm="1">
        <f t="array" aca="1" ref="H107" ca="1">IFERROR(INDEX(INDIRECT("'"&amp;$C$100&amp;"'!$H$115:$H$164"), ROWS($H$104:H107)), "")</f>
        <v>0</v>
      </c>
      <c r="I107" s="27" cm="1">
        <f t="array" aca="1" ref="I107" ca="1">IFERROR(INDEX(INDIRECT("'"&amp;$C$100&amp;"'!$I$115:$I$164"), ROWS($I$104:I107)), "")</f>
        <v>0</v>
      </c>
      <c r="J107" s="238" cm="1">
        <f t="array" aca="1" ref="J107" ca="1">IFERROR(INDEX(INDIRECT("'"&amp;$C$100&amp;"'!$J$115:$J$164"), ROWS($J$104:J107)), "")</f>
        <v>0</v>
      </c>
      <c r="K107"/>
      <c r="L107"/>
      <c r="M107"/>
      <c r="N107"/>
      <c r="O107"/>
      <c r="P107"/>
    </row>
    <row r="108" spans="1:16">
      <c r="A108" s="190">
        <v>5</v>
      </c>
      <c r="B108" s="374" cm="1">
        <f t="array" aca="1" ref="B108" ca="1">IFERROR(
  INDEX(INDIRECT("'"&amp;$C$100&amp;"'!$B$115:$J$164"),
        ROWS($B$104:B108),
        COLUMNS($B$104:B108)
  ),
  ""
)</f>
        <v>0</v>
      </c>
      <c r="C108" s="374"/>
      <c r="D108" s="374"/>
      <c r="E108" s="374"/>
      <c r="F108" s="374"/>
      <c r="G108" s="27" cm="1">
        <f t="array" aca="1" ref="G108" ca="1">IFERROR(INDEX(INDIRECT("'"&amp;$C$100&amp;"'!$G$115:$G$164"), ROWS($G$104:G108)), "")</f>
        <v>0</v>
      </c>
      <c r="H108" s="27" cm="1">
        <f t="array" aca="1" ref="H108" ca="1">IFERROR(INDEX(INDIRECT("'"&amp;$C$100&amp;"'!$H$115:$H$164"), ROWS($H$104:H108)), "")</f>
        <v>0</v>
      </c>
      <c r="I108" s="27" cm="1">
        <f t="array" aca="1" ref="I108" ca="1">IFERROR(INDEX(INDIRECT("'"&amp;$C$100&amp;"'!$I$115:$I$164"), ROWS($I$104:I108)), "")</f>
        <v>0</v>
      </c>
      <c r="J108" s="238" cm="1">
        <f t="array" aca="1" ref="J108" ca="1">IFERROR(INDEX(INDIRECT("'"&amp;$C$100&amp;"'!$J$115:$J$164"), ROWS($J$104:J108)), "")</f>
        <v>0</v>
      </c>
      <c r="K108"/>
      <c r="L108"/>
      <c r="M108"/>
      <c r="N108"/>
      <c r="O108"/>
      <c r="P108"/>
    </row>
    <row r="109" spans="1:16">
      <c r="A109" s="190">
        <v>6</v>
      </c>
      <c r="B109" s="374" cm="1">
        <f t="array" aca="1" ref="B109" ca="1">IFERROR(
  INDEX(INDIRECT("'"&amp;$C$100&amp;"'!$B$115:$J$164"),
        ROWS($B$104:B109),
        COLUMNS($B$104:B109)
  ),
  ""
)</f>
        <v>0</v>
      </c>
      <c r="C109" s="374"/>
      <c r="D109" s="374"/>
      <c r="E109" s="374"/>
      <c r="F109" s="374"/>
      <c r="G109" s="27" cm="1">
        <f t="array" aca="1" ref="G109" ca="1">IFERROR(INDEX(INDIRECT("'"&amp;$C$100&amp;"'!$G$115:$G$164"), ROWS($G$104:G109)), "")</f>
        <v>0</v>
      </c>
      <c r="H109" s="27" cm="1">
        <f t="array" aca="1" ref="H109" ca="1">IFERROR(INDEX(INDIRECT("'"&amp;$C$100&amp;"'!$H$115:$H$164"), ROWS($H$104:H109)), "")</f>
        <v>0</v>
      </c>
      <c r="I109" s="27" cm="1">
        <f t="array" aca="1" ref="I109" ca="1">IFERROR(INDEX(INDIRECT("'"&amp;$C$100&amp;"'!$I$115:$I$164"), ROWS($I$104:I109)), "")</f>
        <v>0</v>
      </c>
      <c r="J109" s="238" cm="1">
        <f t="array" aca="1" ref="J109" ca="1">IFERROR(INDEX(INDIRECT("'"&amp;$C$100&amp;"'!$J$115:$J$164"), ROWS($J$104:J109)), "")</f>
        <v>0</v>
      </c>
      <c r="K109"/>
      <c r="L109"/>
      <c r="M109"/>
      <c r="N109"/>
      <c r="O109"/>
      <c r="P109"/>
    </row>
    <row r="110" spans="1:16">
      <c r="A110" s="190">
        <v>7</v>
      </c>
      <c r="B110" s="374" cm="1">
        <f t="array" aca="1" ref="B110" ca="1">IFERROR(
  INDEX(INDIRECT("'"&amp;$C$100&amp;"'!$B$115:$J$164"),
        ROWS($B$104:B110),
        COLUMNS($B$104:B110)
  ),
  ""
)</f>
        <v>0</v>
      </c>
      <c r="C110" s="374"/>
      <c r="D110" s="374"/>
      <c r="E110" s="374"/>
      <c r="F110" s="374"/>
      <c r="G110" s="27" cm="1">
        <f t="array" aca="1" ref="G110" ca="1">IFERROR(INDEX(INDIRECT("'"&amp;$C$100&amp;"'!$G$115:$G$164"), ROWS($G$104:G110)), "")</f>
        <v>0</v>
      </c>
      <c r="H110" s="27" cm="1">
        <f t="array" aca="1" ref="H110" ca="1">IFERROR(INDEX(INDIRECT("'"&amp;$C$100&amp;"'!$H$115:$H$164"), ROWS($H$104:H110)), "")</f>
        <v>0</v>
      </c>
      <c r="I110" s="27" cm="1">
        <f t="array" aca="1" ref="I110" ca="1">IFERROR(INDEX(INDIRECT("'"&amp;$C$100&amp;"'!$I$115:$I$164"), ROWS($I$104:I110)), "")</f>
        <v>0</v>
      </c>
      <c r="J110" s="238" cm="1">
        <f t="array" aca="1" ref="J110" ca="1">IFERROR(INDEX(INDIRECT("'"&amp;$C$100&amp;"'!$J$115:$J$164"), ROWS($J$104:J110)), "")</f>
        <v>0</v>
      </c>
      <c r="K110"/>
      <c r="L110"/>
      <c r="M110"/>
      <c r="N110"/>
      <c r="O110"/>
      <c r="P110"/>
    </row>
    <row r="111" spans="1:16">
      <c r="A111" s="190">
        <v>8</v>
      </c>
      <c r="B111" s="374" cm="1">
        <f t="array" aca="1" ref="B111" ca="1">IFERROR(
  INDEX(INDIRECT("'"&amp;$C$100&amp;"'!$B$115:$J$164"),
        ROWS($B$104:B111),
        COLUMNS($B$104:B111)
  ),
  ""
)</f>
        <v>0</v>
      </c>
      <c r="C111" s="374"/>
      <c r="D111" s="374"/>
      <c r="E111" s="374"/>
      <c r="F111" s="374"/>
      <c r="G111" s="27" cm="1">
        <f t="array" aca="1" ref="G111" ca="1">IFERROR(INDEX(INDIRECT("'"&amp;$C$100&amp;"'!$G$115:$G$164"), ROWS($G$104:G111)), "")</f>
        <v>0</v>
      </c>
      <c r="H111" s="27" cm="1">
        <f t="array" aca="1" ref="H111" ca="1">IFERROR(INDEX(INDIRECT("'"&amp;$C$100&amp;"'!$H$115:$H$164"), ROWS($H$104:H111)), "")</f>
        <v>0</v>
      </c>
      <c r="I111" s="27" cm="1">
        <f t="array" aca="1" ref="I111" ca="1">IFERROR(INDEX(INDIRECT("'"&amp;$C$100&amp;"'!$I$115:$I$164"), ROWS($I$104:I111)), "")</f>
        <v>0</v>
      </c>
      <c r="J111" s="238" cm="1">
        <f t="array" aca="1" ref="J111" ca="1">IFERROR(INDEX(INDIRECT("'"&amp;$C$100&amp;"'!$J$115:$J$164"), ROWS($J$104:J111)), "")</f>
        <v>0</v>
      </c>
      <c r="K111"/>
      <c r="L111"/>
      <c r="M111"/>
      <c r="N111"/>
      <c r="O111"/>
      <c r="P111"/>
    </row>
    <row r="112" spans="1:16">
      <c r="A112" s="190">
        <v>9</v>
      </c>
      <c r="B112" s="374" cm="1">
        <f t="array" aca="1" ref="B112" ca="1">IFERROR(
  INDEX(INDIRECT("'"&amp;$C$100&amp;"'!$B$115:$J$164"),
        ROWS($B$104:B112),
        COLUMNS($B$104:B112)
  ),
  ""
)</f>
        <v>0</v>
      </c>
      <c r="C112" s="374"/>
      <c r="D112" s="374"/>
      <c r="E112" s="374"/>
      <c r="F112" s="374"/>
      <c r="G112" s="27" cm="1">
        <f t="array" aca="1" ref="G112" ca="1">IFERROR(INDEX(INDIRECT("'"&amp;$C$100&amp;"'!$G$115:$G$164"), ROWS($G$104:G112)), "")</f>
        <v>0</v>
      </c>
      <c r="H112" s="27" cm="1">
        <f t="array" aca="1" ref="H112" ca="1">IFERROR(INDEX(INDIRECT("'"&amp;$C$100&amp;"'!$H$115:$H$164"), ROWS($H$104:H112)), "")</f>
        <v>0</v>
      </c>
      <c r="I112" s="27" cm="1">
        <f t="array" aca="1" ref="I112" ca="1">IFERROR(INDEX(INDIRECT("'"&amp;$C$100&amp;"'!$I$115:$I$164"), ROWS($I$104:I112)), "")</f>
        <v>0</v>
      </c>
      <c r="J112" s="238" cm="1">
        <f t="array" aca="1" ref="J112" ca="1">IFERROR(INDEX(INDIRECT("'"&amp;$C$100&amp;"'!$J$115:$J$164"), ROWS($J$104:J112)), "")</f>
        <v>0</v>
      </c>
      <c r="K112"/>
      <c r="L112"/>
      <c r="M112"/>
      <c r="N112"/>
      <c r="O112"/>
      <c r="P112"/>
    </row>
    <row r="113" spans="1:16">
      <c r="A113" s="190">
        <v>10</v>
      </c>
      <c r="B113" s="374" cm="1">
        <f t="array" aca="1" ref="B113" ca="1">IFERROR(
  INDEX(INDIRECT("'"&amp;$C$100&amp;"'!$B$115:$J$164"),
        ROWS($B$104:B113),
        COLUMNS($B$104:B113)
  ),
  ""
)</f>
        <v>0</v>
      </c>
      <c r="C113" s="374"/>
      <c r="D113" s="374"/>
      <c r="E113" s="374"/>
      <c r="F113" s="374"/>
      <c r="G113" s="27" cm="1">
        <f t="array" aca="1" ref="G113" ca="1">IFERROR(INDEX(INDIRECT("'"&amp;$C$100&amp;"'!$G$115:$G$164"), ROWS($G$104:G113)), "")</f>
        <v>0</v>
      </c>
      <c r="H113" s="27" cm="1">
        <f t="array" aca="1" ref="H113" ca="1">IFERROR(INDEX(INDIRECT("'"&amp;$C$100&amp;"'!$H$115:$H$164"), ROWS($H$104:H113)), "")</f>
        <v>0</v>
      </c>
      <c r="I113" s="27" cm="1">
        <f t="array" aca="1" ref="I113" ca="1">IFERROR(INDEX(INDIRECT("'"&amp;$C$100&amp;"'!$I$115:$I$164"), ROWS($I$104:I113)), "")</f>
        <v>0</v>
      </c>
      <c r="J113" s="238" cm="1">
        <f t="array" aca="1" ref="J113" ca="1">IFERROR(INDEX(INDIRECT("'"&amp;$C$100&amp;"'!$J$115:$J$164"), ROWS($J$104:J113)), "")</f>
        <v>0</v>
      </c>
      <c r="K113"/>
      <c r="L113"/>
      <c r="M113"/>
      <c r="N113"/>
      <c r="O113"/>
      <c r="P113"/>
    </row>
    <row r="114" spans="1:16">
      <c r="A114" s="190">
        <v>11</v>
      </c>
      <c r="B114" s="374" cm="1">
        <f t="array" aca="1" ref="B114" ca="1">IFERROR(
  INDEX(INDIRECT("'"&amp;$C$100&amp;"'!$B$115:$J$164"),
        ROWS($B$104:B114),
        COLUMNS($B$104:B114)
  ),
  ""
)</f>
        <v>0</v>
      </c>
      <c r="C114" s="374"/>
      <c r="D114" s="374"/>
      <c r="E114" s="374"/>
      <c r="F114" s="374"/>
      <c r="G114" s="27" cm="1">
        <f t="array" aca="1" ref="G114" ca="1">IFERROR(INDEX(INDIRECT("'"&amp;$C$100&amp;"'!$G$115:$G$164"), ROWS($G$104:G114)), "")</f>
        <v>0</v>
      </c>
      <c r="H114" s="27" cm="1">
        <f t="array" aca="1" ref="H114" ca="1">IFERROR(INDEX(INDIRECT("'"&amp;$C$100&amp;"'!$H$115:$H$164"), ROWS($H$104:H114)), "")</f>
        <v>0</v>
      </c>
      <c r="I114" s="27" cm="1">
        <f t="array" aca="1" ref="I114" ca="1">IFERROR(INDEX(INDIRECT("'"&amp;$C$100&amp;"'!$I$115:$I$164"), ROWS($I$104:I114)), "")</f>
        <v>0</v>
      </c>
      <c r="J114" s="238" cm="1">
        <f t="array" aca="1" ref="J114" ca="1">IFERROR(INDEX(INDIRECT("'"&amp;$C$100&amp;"'!$J$115:$J$164"), ROWS($J$104:J114)), "")</f>
        <v>0</v>
      </c>
      <c r="K114"/>
      <c r="L114"/>
      <c r="M114"/>
      <c r="N114"/>
      <c r="O114"/>
      <c r="P114"/>
    </row>
    <row r="115" spans="1:16">
      <c r="A115" s="190">
        <v>12</v>
      </c>
      <c r="B115" s="374" cm="1">
        <f t="array" aca="1" ref="B115" ca="1">IFERROR(
  INDEX(INDIRECT("'"&amp;$C$100&amp;"'!$B$115:$J$164"),
        ROWS($B$104:B115),
        COLUMNS($B$104:B115)
  ),
  ""
)</f>
        <v>0</v>
      </c>
      <c r="C115" s="374"/>
      <c r="D115" s="374"/>
      <c r="E115" s="374"/>
      <c r="F115" s="374"/>
      <c r="G115" s="27" cm="1">
        <f t="array" aca="1" ref="G115" ca="1">IFERROR(INDEX(INDIRECT("'"&amp;$C$100&amp;"'!$G$115:$G$164"), ROWS($G$104:G115)), "")</f>
        <v>0</v>
      </c>
      <c r="H115" s="27" cm="1">
        <f t="array" aca="1" ref="H115" ca="1">IFERROR(INDEX(INDIRECT("'"&amp;$C$100&amp;"'!$H$115:$H$164"), ROWS($H$104:H115)), "")</f>
        <v>0</v>
      </c>
      <c r="I115" s="27" cm="1">
        <f t="array" aca="1" ref="I115" ca="1">IFERROR(INDEX(INDIRECT("'"&amp;$C$100&amp;"'!$I$115:$I$164"), ROWS($I$104:I115)), "")</f>
        <v>0</v>
      </c>
      <c r="J115" s="238" cm="1">
        <f t="array" aca="1" ref="J115" ca="1">IFERROR(INDEX(INDIRECT("'"&amp;$C$100&amp;"'!$J$115:$J$164"), ROWS($J$104:J115)), "")</f>
        <v>0</v>
      </c>
      <c r="K115"/>
      <c r="L115"/>
      <c r="M115"/>
      <c r="N115"/>
      <c r="O115"/>
      <c r="P115"/>
    </row>
    <row r="116" spans="1:16">
      <c r="A116" s="190">
        <v>13</v>
      </c>
      <c r="B116" s="374" cm="1">
        <f t="array" aca="1" ref="B116" ca="1">IFERROR(
  INDEX(INDIRECT("'"&amp;$C$100&amp;"'!$B$115:$J$164"),
        ROWS($B$104:B116),
        COLUMNS($B$104:B116)
  ),
  ""
)</f>
        <v>0</v>
      </c>
      <c r="C116" s="374"/>
      <c r="D116" s="374"/>
      <c r="E116" s="374"/>
      <c r="F116" s="374"/>
      <c r="G116" s="27" cm="1">
        <f t="array" aca="1" ref="G116" ca="1">IFERROR(INDEX(INDIRECT("'"&amp;$C$100&amp;"'!$G$115:$G$164"), ROWS($G$104:G116)), "")</f>
        <v>0</v>
      </c>
      <c r="H116" s="27" cm="1">
        <f t="array" aca="1" ref="H116" ca="1">IFERROR(INDEX(INDIRECT("'"&amp;$C$100&amp;"'!$H$115:$H$164"), ROWS($H$104:H116)), "")</f>
        <v>0</v>
      </c>
      <c r="I116" s="27" cm="1">
        <f t="array" aca="1" ref="I116" ca="1">IFERROR(INDEX(INDIRECT("'"&amp;$C$100&amp;"'!$I$115:$I$164"), ROWS($I$104:I116)), "")</f>
        <v>0</v>
      </c>
      <c r="J116" s="238" cm="1">
        <f t="array" aca="1" ref="J116" ca="1">IFERROR(INDEX(INDIRECT("'"&amp;$C$100&amp;"'!$J$115:$J$164"), ROWS($J$104:J116)), "")</f>
        <v>0</v>
      </c>
      <c r="K116"/>
      <c r="L116"/>
      <c r="M116"/>
      <c r="N116"/>
      <c r="O116"/>
      <c r="P116"/>
    </row>
    <row r="117" spans="1:16">
      <c r="A117" s="190">
        <v>14</v>
      </c>
      <c r="B117" s="374" cm="1">
        <f t="array" aca="1" ref="B117" ca="1">IFERROR(
  INDEX(INDIRECT("'"&amp;$C$100&amp;"'!$B$115:$J$164"),
        ROWS($B$104:B117),
        COLUMNS($B$104:B117)
  ),
  ""
)</f>
        <v>0</v>
      </c>
      <c r="C117" s="374"/>
      <c r="D117" s="374"/>
      <c r="E117" s="374"/>
      <c r="F117" s="374"/>
      <c r="G117" s="27" cm="1">
        <f t="array" aca="1" ref="G117" ca="1">IFERROR(INDEX(INDIRECT("'"&amp;$C$100&amp;"'!$G$115:$G$164"), ROWS($G$104:G117)), "")</f>
        <v>0</v>
      </c>
      <c r="H117" s="27" cm="1">
        <f t="array" aca="1" ref="H117" ca="1">IFERROR(INDEX(INDIRECT("'"&amp;$C$100&amp;"'!$H$115:$H$164"), ROWS($H$104:H117)), "")</f>
        <v>0</v>
      </c>
      <c r="I117" s="27" cm="1">
        <f t="array" aca="1" ref="I117" ca="1">IFERROR(INDEX(INDIRECT("'"&amp;$C$100&amp;"'!$I$115:$I$164"), ROWS($I$104:I117)), "")</f>
        <v>0</v>
      </c>
      <c r="J117" s="238" cm="1">
        <f t="array" aca="1" ref="J117" ca="1">IFERROR(INDEX(INDIRECT("'"&amp;$C$100&amp;"'!$J$115:$J$164"), ROWS($J$104:J117)), "")</f>
        <v>0</v>
      </c>
      <c r="K117"/>
      <c r="L117"/>
      <c r="M117"/>
      <c r="N117"/>
      <c r="O117"/>
      <c r="P117"/>
    </row>
    <row r="118" spans="1:16">
      <c r="A118" s="190">
        <v>15</v>
      </c>
      <c r="B118" s="374" cm="1">
        <f t="array" aca="1" ref="B118" ca="1">IFERROR(
  INDEX(INDIRECT("'"&amp;$C$100&amp;"'!$B$115:$J$164"),
        ROWS($B$104:B118),
        COLUMNS($B$104:B118)
  ),
  ""
)</f>
        <v>0</v>
      </c>
      <c r="C118" s="374"/>
      <c r="D118" s="374"/>
      <c r="E118" s="374"/>
      <c r="F118" s="374"/>
      <c r="G118" s="27" cm="1">
        <f t="array" aca="1" ref="G118" ca="1">IFERROR(INDEX(INDIRECT("'"&amp;$C$100&amp;"'!$G$115:$G$164"), ROWS($G$104:G118)), "")</f>
        <v>0</v>
      </c>
      <c r="H118" s="27" cm="1">
        <f t="array" aca="1" ref="H118" ca="1">IFERROR(INDEX(INDIRECT("'"&amp;$C$100&amp;"'!$H$115:$H$164"), ROWS($H$104:H118)), "")</f>
        <v>0</v>
      </c>
      <c r="I118" s="27" cm="1">
        <f t="array" aca="1" ref="I118" ca="1">IFERROR(INDEX(INDIRECT("'"&amp;$C$100&amp;"'!$I$115:$I$164"), ROWS($I$104:I118)), "")</f>
        <v>0</v>
      </c>
      <c r="J118" s="238" cm="1">
        <f t="array" aca="1" ref="J118" ca="1">IFERROR(INDEX(INDIRECT("'"&amp;$C$100&amp;"'!$J$115:$J$164"), ROWS($J$104:J118)), "")</f>
        <v>0</v>
      </c>
      <c r="K118"/>
      <c r="L118"/>
      <c r="M118"/>
      <c r="N118"/>
      <c r="O118"/>
      <c r="P118"/>
    </row>
    <row r="119" spans="1:16">
      <c r="A119" s="190">
        <v>16</v>
      </c>
      <c r="B119" s="374" cm="1">
        <f t="array" aca="1" ref="B119" ca="1">IFERROR(
  INDEX(INDIRECT("'"&amp;$C$100&amp;"'!$B$115:$J$164"),
        ROWS($B$104:B119),
        COLUMNS($B$104:B119)
  ),
  ""
)</f>
        <v>0</v>
      </c>
      <c r="C119" s="374"/>
      <c r="D119" s="374"/>
      <c r="E119" s="374"/>
      <c r="F119" s="374"/>
      <c r="G119" s="27" cm="1">
        <f t="array" aca="1" ref="G119" ca="1">IFERROR(INDEX(INDIRECT("'"&amp;$C$100&amp;"'!$G$115:$G$164"), ROWS($G$104:G119)), "")</f>
        <v>0</v>
      </c>
      <c r="H119" s="27" cm="1">
        <f t="array" aca="1" ref="H119" ca="1">IFERROR(INDEX(INDIRECT("'"&amp;$C$100&amp;"'!$H$115:$H$164"), ROWS($H$104:H119)), "")</f>
        <v>0</v>
      </c>
      <c r="I119" s="27" cm="1">
        <f t="array" aca="1" ref="I119" ca="1">IFERROR(INDEX(INDIRECT("'"&amp;$C$100&amp;"'!$I$115:$I$164"), ROWS($I$104:I119)), "")</f>
        <v>0</v>
      </c>
      <c r="J119" s="238" cm="1">
        <f t="array" aca="1" ref="J119" ca="1">IFERROR(INDEX(INDIRECT("'"&amp;$C$100&amp;"'!$J$115:$J$164"), ROWS($J$104:J119)), "")</f>
        <v>0</v>
      </c>
      <c r="K119"/>
      <c r="L119"/>
      <c r="M119"/>
      <c r="N119"/>
      <c r="O119"/>
      <c r="P119"/>
    </row>
    <row r="120" spans="1:16">
      <c r="A120" s="190">
        <v>17</v>
      </c>
      <c r="B120" s="374" cm="1">
        <f t="array" aca="1" ref="B120" ca="1">IFERROR(
  INDEX(INDIRECT("'"&amp;$C$100&amp;"'!$B$115:$J$164"),
        ROWS($B$104:B120),
        COLUMNS($B$104:B120)
  ),
  ""
)</f>
        <v>0</v>
      </c>
      <c r="C120" s="374"/>
      <c r="D120" s="374"/>
      <c r="E120" s="374"/>
      <c r="F120" s="374"/>
      <c r="G120" s="27" cm="1">
        <f t="array" aca="1" ref="G120" ca="1">IFERROR(INDEX(INDIRECT("'"&amp;$C$100&amp;"'!$G$115:$G$164"), ROWS($G$104:G120)), "")</f>
        <v>0</v>
      </c>
      <c r="H120" s="27" cm="1">
        <f t="array" aca="1" ref="H120" ca="1">IFERROR(INDEX(INDIRECT("'"&amp;$C$100&amp;"'!$H$115:$H$164"), ROWS($H$104:H120)), "")</f>
        <v>0</v>
      </c>
      <c r="I120" s="27" cm="1">
        <f t="array" aca="1" ref="I120" ca="1">IFERROR(INDEX(INDIRECT("'"&amp;$C$100&amp;"'!$I$115:$I$164"), ROWS($I$104:I120)), "")</f>
        <v>0</v>
      </c>
      <c r="J120" s="238" cm="1">
        <f t="array" aca="1" ref="J120" ca="1">IFERROR(INDEX(INDIRECT("'"&amp;$C$100&amp;"'!$J$115:$J$164"), ROWS($J$104:J120)), "")</f>
        <v>0</v>
      </c>
      <c r="K120"/>
      <c r="L120"/>
      <c r="M120"/>
      <c r="N120"/>
      <c r="O120"/>
      <c r="P120"/>
    </row>
    <row r="121" spans="1:16">
      <c r="A121" s="190">
        <v>18</v>
      </c>
      <c r="B121" s="374" cm="1">
        <f t="array" aca="1" ref="B121" ca="1">IFERROR(
  INDEX(INDIRECT("'"&amp;$C$100&amp;"'!$B$115:$J$164"),
        ROWS($B$104:B121),
        COLUMNS($B$104:B121)
  ),
  ""
)</f>
        <v>0</v>
      </c>
      <c r="C121" s="374"/>
      <c r="D121" s="374"/>
      <c r="E121" s="374"/>
      <c r="F121" s="374"/>
      <c r="G121" s="27" cm="1">
        <f t="array" aca="1" ref="G121" ca="1">IFERROR(INDEX(INDIRECT("'"&amp;$C$100&amp;"'!$G$115:$G$164"), ROWS($G$104:G121)), "")</f>
        <v>0</v>
      </c>
      <c r="H121" s="27" cm="1">
        <f t="array" aca="1" ref="H121" ca="1">IFERROR(INDEX(INDIRECT("'"&amp;$C$100&amp;"'!$H$115:$H$164"), ROWS($H$104:H121)), "")</f>
        <v>0</v>
      </c>
      <c r="I121" s="27" cm="1">
        <f t="array" aca="1" ref="I121" ca="1">IFERROR(INDEX(INDIRECT("'"&amp;$C$100&amp;"'!$I$115:$I$164"), ROWS($I$104:I121)), "")</f>
        <v>0</v>
      </c>
      <c r="J121" s="238" cm="1">
        <f t="array" aca="1" ref="J121" ca="1">IFERROR(INDEX(INDIRECT("'"&amp;$C$100&amp;"'!$J$115:$J$164"), ROWS($J$104:J121)), "")</f>
        <v>0</v>
      </c>
      <c r="K121"/>
      <c r="L121"/>
      <c r="M121"/>
      <c r="N121"/>
      <c r="O121"/>
      <c r="P121"/>
    </row>
    <row r="122" spans="1:16">
      <c r="A122" s="190">
        <v>19</v>
      </c>
      <c r="B122" s="374" cm="1">
        <f t="array" aca="1" ref="B122" ca="1">IFERROR(
  INDEX(INDIRECT("'"&amp;$C$100&amp;"'!$B$115:$J$164"),
        ROWS($B$104:B122),
        COLUMNS($B$104:B122)
  ),
  ""
)</f>
        <v>0</v>
      </c>
      <c r="C122" s="374"/>
      <c r="D122" s="374"/>
      <c r="E122" s="374"/>
      <c r="F122" s="374"/>
      <c r="G122" s="27" cm="1">
        <f t="array" aca="1" ref="G122" ca="1">IFERROR(INDEX(INDIRECT("'"&amp;$C$100&amp;"'!$G$115:$G$164"), ROWS($G$104:G122)), "")</f>
        <v>0</v>
      </c>
      <c r="H122" s="27" cm="1">
        <f t="array" aca="1" ref="H122" ca="1">IFERROR(INDEX(INDIRECT("'"&amp;$C$100&amp;"'!$H$115:$H$164"), ROWS($H$104:H122)), "")</f>
        <v>0</v>
      </c>
      <c r="I122" s="27" cm="1">
        <f t="array" aca="1" ref="I122" ca="1">IFERROR(INDEX(INDIRECT("'"&amp;$C$100&amp;"'!$I$115:$I$164"), ROWS($I$104:I122)), "")</f>
        <v>0</v>
      </c>
      <c r="J122" s="238" cm="1">
        <f t="array" aca="1" ref="J122" ca="1">IFERROR(INDEX(INDIRECT("'"&amp;$C$100&amp;"'!$J$115:$J$164"), ROWS($J$104:J122)), "")</f>
        <v>0</v>
      </c>
      <c r="K122"/>
      <c r="L122"/>
      <c r="M122"/>
      <c r="N122"/>
      <c r="O122"/>
      <c r="P122"/>
    </row>
    <row r="123" spans="1:16">
      <c r="A123" s="190">
        <v>20</v>
      </c>
      <c r="B123" s="374" cm="1">
        <f t="array" aca="1" ref="B123" ca="1">IFERROR(
  INDEX(INDIRECT("'"&amp;$C$100&amp;"'!$B$115:$J$164"),
        ROWS($B$104:B123),
        COLUMNS($B$104:B123)
  ),
  ""
)</f>
        <v>0</v>
      </c>
      <c r="C123" s="374"/>
      <c r="D123" s="374"/>
      <c r="E123" s="374"/>
      <c r="F123" s="374"/>
      <c r="G123" s="27" cm="1">
        <f t="array" aca="1" ref="G123" ca="1">IFERROR(INDEX(INDIRECT("'"&amp;$C$100&amp;"'!$G$115:$G$164"), ROWS($G$104:G123)), "")</f>
        <v>0</v>
      </c>
      <c r="H123" s="27" cm="1">
        <f t="array" aca="1" ref="H123" ca="1">IFERROR(INDEX(INDIRECT("'"&amp;$C$100&amp;"'!$H$115:$H$164"), ROWS($H$104:H123)), "")</f>
        <v>0</v>
      </c>
      <c r="I123" s="27" cm="1">
        <f t="array" aca="1" ref="I123" ca="1">IFERROR(INDEX(INDIRECT("'"&amp;$C$100&amp;"'!$I$115:$I$164"), ROWS($I$104:I123)), "")</f>
        <v>0</v>
      </c>
      <c r="J123" s="238" cm="1">
        <f t="array" aca="1" ref="J123" ca="1">IFERROR(INDEX(INDIRECT("'"&amp;$C$100&amp;"'!$J$115:$J$164"), ROWS($J$104:J123)), "")</f>
        <v>0</v>
      </c>
      <c r="K123"/>
      <c r="L123"/>
      <c r="M123"/>
      <c r="N123"/>
      <c r="O123"/>
      <c r="P123"/>
    </row>
    <row r="124" spans="1:16">
      <c r="A124" s="190">
        <v>21</v>
      </c>
      <c r="B124" s="374" cm="1">
        <f t="array" aca="1" ref="B124" ca="1">IFERROR(
  INDEX(INDIRECT("'"&amp;$C$100&amp;"'!$B$115:$J$164"),
        ROWS($B$104:B124),
        COLUMNS($B$104:B124)
  ),
  ""
)</f>
        <v>0</v>
      </c>
      <c r="C124" s="374"/>
      <c r="D124" s="374"/>
      <c r="E124" s="374"/>
      <c r="F124" s="374"/>
      <c r="G124" s="27" cm="1">
        <f t="array" aca="1" ref="G124" ca="1">IFERROR(INDEX(INDIRECT("'"&amp;$C$100&amp;"'!$G$115:$G$164"), ROWS($G$104:G124)), "")</f>
        <v>0</v>
      </c>
      <c r="H124" s="27" cm="1">
        <f t="array" aca="1" ref="H124" ca="1">IFERROR(INDEX(INDIRECT("'"&amp;$C$100&amp;"'!$H$115:$H$164"), ROWS($H$104:H124)), "")</f>
        <v>0</v>
      </c>
      <c r="I124" s="27" cm="1">
        <f t="array" aca="1" ref="I124" ca="1">IFERROR(INDEX(INDIRECT("'"&amp;$C$100&amp;"'!$I$115:$I$164"), ROWS($I$104:I124)), "")</f>
        <v>0</v>
      </c>
      <c r="J124" s="238" cm="1">
        <f t="array" aca="1" ref="J124" ca="1">IFERROR(INDEX(INDIRECT("'"&amp;$C$100&amp;"'!$J$115:$J$164"), ROWS($J$104:J124)), "")</f>
        <v>0</v>
      </c>
      <c r="K124"/>
      <c r="L124"/>
      <c r="M124"/>
      <c r="N124"/>
      <c r="O124"/>
      <c r="P124"/>
    </row>
    <row r="125" spans="1:16">
      <c r="A125" s="190">
        <v>22</v>
      </c>
      <c r="B125" s="374" cm="1">
        <f t="array" aca="1" ref="B125" ca="1">IFERROR(
  INDEX(INDIRECT("'"&amp;$C$100&amp;"'!$B$115:$J$164"),
        ROWS($B$104:B125),
        COLUMNS($B$104:B125)
  ),
  ""
)</f>
        <v>0</v>
      </c>
      <c r="C125" s="374"/>
      <c r="D125" s="374"/>
      <c r="E125" s="374"/>
      <c r="F125" s="374"/>
      <c r="G125" s="27" cm="1">
        <f t="array" aca="1" ref="G125" ca="1">IFERROR(INDEX(INDIRECT("'"&amp;$C$100&amp;"'!$G$115:$G$164"), ROWS($G$104:G125)), "")</f>
        <v>0</v>
      </c>
      <c r="H125" s="27" cm="1">
        <f t="array" aca="1" ref="H125" ca="1">IFERROR(INDEX(INDIRECT("'"&amp;$C$100&amp;"'!$H$115:$H$164"), ROWS($H$104:H125)), "")</f>
        <v>0</v>
      </c>
      <c r="I125" s="27" cm="1">
        <f t="array" aca="1" ref="I125" ca="1">IFERROR(INDEX(INDIRECT("'"&amp;$C$100&amp;"'!$I$115:$I$164"), ROWS($I$104:I125)), "")</f>
        <v>0</v>
      </c>
      <c r="J125" s="238" cm="1">
        <f t="array" aca="1" ref="J125" ca="1">IFERROR(INDEX(INDIRECT("'"&amp;$C$100&amp;"'!$J$115:$J$164"), ROWS($J$104:J125)), "")</f>
        <v>0</v>
      </c>
      <c r="K125"/>
      <c r="L125"/>
      <c r="M125"/>
      <c r="N125"/>
      <c r="O125"/>
      <c r="P125"/>
    </row>
    <row r="126" spans="1:16">
      <c r="A126" s="190">
        <v>23</v>
      </c>
      <c r="B126" s="374" cm="1">
        <f t="array" aca="1" ref="B126" ca="1">IFERROR(
  INDEX(INDIRECT("'"&amp;$C$100&amp;"'!$B$115:$J$164"),
        ROWS($B$104:B126),
        COLUMNS($B$104:B126)
  ),
  ""
)</f>
        <v>0</v>
      </c>
      <c r="C126" s="374"/>
      <c r="D126" s="374"/>
      <c r="E126" s="374"/>
      <c r="F126" s="374"/>
      <c r="G126" s="27" cm="1">
        <f t="array" aca="1" ref="G126" ca="1">IFERROR(INDEX(INDIRECT("'"&amp;$C$100&amp;"'!$G$115:$G$164"), ROWS($G$104:G126)), "")</f>
        <v>0</v>
      </c>
      <c r="H126" s="27" cm="1">
        <f t="array" aca="1" ref="H126" ca="1">IFERROR(INDEX(INDIRECT("'"&amp;$C$100&amp;"'!$H$115:$H$164"), ROWS($H$104:H126)), "")</f>
        <v>0</v>
      </c>
      <c r="I126" s="27" cm="1">
        <f t="array" aca="1" ref="I126" ca="1">IFERROR(INDEX(INDIRECT("'"&amp;$C$100&amp;"'!$I$115:$I$164"), ROWS($I$104:I126)), "")</f>
        <v>0</v>
      </c>
      <c r="J126" s="238" cm="1">
        <f t="array" aca="1" ref="J126" ca="1">IFERROR(INDEX(INDIRECT("'"&amp;$C$100&amp;"'!$J$115:$J$164"), ROWS($J$104:J126)), "")</f>
        <v>0</v>
      </c>
      <c r="K126"/>
      <c r="L126"/>
      <c r="M126"/>
      <c r="N126"/>
      <c r="O126"/>
      <c r="P126"/>
    </row>
    <row r="127" spans="1:16">
      <c r="A127" s="190">
        <v>24</v>
      </c>
      <c r="B127" s="374" cm="1">
        <f t="array" aca="1" ref="B127" ca="1">IFERROR(
  INDEX(INDIRECT("'"&amp;$C$100&amp;"'!$B$115:$J$164"),
        ROWS($B$104:B127),
        COLUMNS($B$104:B127)
  ),
  ""
)</f>
        <v>0</v>
      </c>
      <c r="C127" s="374"/>
      <c r="D127" s="374"/>
      <c r="E127" s="374"/>
      <c r="F127" s="374"/>
      <c r="G127" s="27" cm="1">
        <f t="array" aca="1" ref="G127" ca="1">IFERROR(INDEX(INDIRECT("'"&amp;$C$100&amp;"'!$G$115:$G$164"), ROWS($G$104:G127)), "")</f>
        <v>0</v>
      </c>
      <c r="H127" s="27" cm="1">
        <f t="array" aca="1" ref="H127" ca="1">IFERROR(INDEX(INDIRECT("'"&amp;$C$100&amp;"'!$H$115:$H$164"), ROWS($H$104:H127)), "")</f>
        <v>0</v>
      </c>
      <c r="I127" s="27" cm="1">
        <f t="array" aca="1" ref="I127" ca="1">IFERROR(INDEX(INDIRECT("'"&amp;$C$100&amp;"'!$I$115:$I$164"), ROWS($I$104:I127)), "")</f>
        <v>0</v>
      </c>
      <c r="J127" s="238" cm="1">
        <f t="array" aca="1" ref="J127" ca="1">IFERROR(INDEX(INDIRECT("'"&amp;$C$100&amp;"'!$J$115:$J$164"), ROWS($J$104:J127)), "")</f>
        <v>0</v>
      </c>
      <c r="K127"/>
      <c r="L127"/>
      <c r="M127"/>
      <c r="N127"/>
      <c r="O127"/>
      <c r="P127"/>
    </row>
    <row r="128" spans="1:16">
      <c r="A128" s="190">
        <v>25</v>
      </c>
      <c r="B128" s="374" cm="1">
        <f t="array" aca="1" ref="B128" ca="1">IFERROR(
  INDEX(INDIRECT("'"&amp;$C$100&amp;"'!$B$115:$J$164"),
        ROWS($B$104:B128),
        COLUMNS($B$104:B128)
  ),
  ""
)</f>
        <v>0</v>
      </c>
      <c r="C128" s="374"/>
      <c r="D128" s="374"/>
      <c r="E128" s="374"/>
      <c r="F128" s="374"/>
      <c r="G128" s="27" cm="1">
        <f t="array" aca="1" ref="G128" ca="1">IFERROR(INDEX(INDIRECT("'"&amp;$C$100&amp;"'!$G$115:$G$164"), ROWS($G$104:G128)), "")</f>
        <v>0</v>
      </c>
      <c r="H128" s="27" cm="1">
        <f t="array" aca="1" ref="H128" ca="1">IFERROR(INDEX(INDIRECT("'"&amp;$C$100&amp;"'!$H$115:$H$164"), ROWS($H$104:H128)), "")</f>
        <v>0</v>
      </c>
      <c r="I128" s="27" cm="1">
        <f t="array" aca="1" ref="I128" ca="1">IFERROR(INDEX(INDIRECT("'"&amp;$C$100&amp;"'!$I$115:$I$164"), ROWS($I$104:I128)), "")</f>
        <v>0</v>
      </c>
      <c r="J128" s="238" cm="1">
        <f t="array" aca="1" ref="J128" ca="1">IFERROR(INDEX(INDIRECT("'"&amp;$C$100&amp;"'!$J$115:$J$164"), ROWS($J$104:J128)), "")</f>
        <v>0</v>
      </c>
      <c r="K128"/>
      <c r="L128"/>
      <c r="M128"/>
      <c r="N128"/>
      <c r="O128"/>
      <c r="P128"/>
    </row>
    <row r="129" spans="1:16">
      <c r="A129" s="190">
        <v>26</v>
      </c>
      <c r="B129" s="374" cm="1">
        <f t="array" aca="1" ref="B129" ca="1">IFERROR(
  INDEX(INDIRECT("'"&amp;$C$100&amp;"'!$B$115:$J$164"),
        ROWS($B$104:B129),
        COLUMNS($B$104:B129)
  ),
  ""
)</f>
        <v>0</v>
      </c>
      <c r="C129" s="374"/>
      <c r="D129" s="374"/>
      <c r="E129" s="374"/>
      <c r="F129" s="374"/>
      <c r="G129" s="27" cm="1">
        <f t="array" aca="1" ref="G129" ca="1">IFERROR(INDEX(INDIRECT("'"&amp;$C$100&amp;"'!$G$115:$G$164"), ROWS($G$104:G129)), "")</f>
        <v>0</v>
      </c>
      <c r="H129" s="27" cm="1">
        <f t="array" aca="1" ref="H129" ca="1">IFERROR(INDEX(INDIRECT("'"&amp;$C$100&amp;"'!$H$115:$H$164"), ROWS($H$104:H129)), "")</f>
        <v>0</v>
      </c>
      <c r="I129" s="27" cm="1">
        <f t="array" aca="1" ref="I129" ca="1">IFERROR(INDEX(INDIRECT("'"&amp;$C$100&amp;"'!$I$115:$I$164"), ROWS($I$104:I129)), "")</f>
        <v>0</v>
      </c>
      <c r="J129" s="238" cm="1">
        <f t="array" aca="1" ref="J129" ca="1">IFERROR(INDEX(INDIRECT("'"&amp;$C$100&amp;"'!$J$115:$J$164"), ROWS($J$104:J129)), "")</f>
        <v>0</v>
      </c>
      <c r="K129"/>
      <c r="L129"/>
      <c r="M129"/>
      <c r="N129"/>
      <c r="O129"/>
      <c r="P129"/>
    </row>
    <row r="130" spans="1:16">
      <c r="A130" s="190">
        <v>27</v>
      </c>
      <c r="B130" s="374" cm="1">
        <f t="array" aca="1" ref="B130" ca="1">IFERROR(
  INDEX(INDIRECT("'"&amp;$C$100&amp;"'!$B$115:$J$164"),
        ROWS($B$104:B130),
        COLUMNS($B$104:B130)
  ),
  ""
)</f>
        <v>0</v>
      </c>
      <c r="C130" s="374"/>
      <c r="D130" s="374"/>
      <c r="E130" s="374"/>
      <c r="F130" s="374"/>
      <c r="G130" s="27" cm="1">
        <f t="array" aca="1" ref="G130" ca="1">IFERROR(INDEX(INDIRECT("'"&amp;$C$100&amp;"'!$G$115:$G$164"), ROWS($G$104:G130)), "")</f>
        <v>0</v>
      </c>
      <c r="H130" s="27" cm="1">
        <f t="array" aca="1" ref="H130" ca="1">IFERROR(INDEX(INDIRECT("'"&amp;$C$100&amp;"'!$H$115:$H$164"), ROWS($H$104:H130)), "")</f>
        <v>0</v>
      </c>
      <c r="I130" s="27" cm="1">
        <f t="array" aca="1" ref="I130" ca="1">IFERROR(INDEX(INDIRECT("'"&amp;$C$100&amp;"'!$I$115:$I$164"), ROWS($I$104:I130)), "")</f>
        <v>0</v>
      </c>
      <c r="J130" s="238" cm="1">
        <f t="array" aca="1" ref="J130" ca="1">IFERROR(INDEX(INDIRECT("'"&amp;$C$100&amp;"'!$J$115:$J$164"), ROWS($J$104:J130)), "")</f>
        <v>0</v>
      </c>
      <c r="K130"/>
      <c r="L130"/>
      <c r="M130"/>
      <c r="N130"/>
      <c r="O130"/>
      <c r="P130"/>
    </row>
    <row r="131" spans="1:16">
      <c r="A131" s="190">
        <v>28</v>
      </c>
      <c r="B131" s="374" cm="1">
        <f t="array" aca="1" ref="B131" ca="1">IFERROR(
  INDEX(INDIRECT("'"&amp;$C$100&amp;"'!$B$115:$J$164"),
        ROWS($B$104:B131),
        COLUMNS($B$104:B131)
  ),
  ""
)</f>
        <v>0</v>
      </c>
      <c r="C131" s="374"/>
      <c r="D131" s="374"/>
      <c r="E131" s="374"/>
      <c r="F131" s="374"/>
      <c r="G131" s="27" cm="1">
        <f t="array" aca="1" ref="G131" ca="1">IFERROR(INDEX(INDIRECT("'"&amp;$C$100&amp;"'!$G$115:$G$164"), ROWS($G$104:G131)), "")</f>
        <v>0</v>
      </c>
      <c r="H131" s="27" cm="1">
        <f t="array" aca="1" ref="H131" ca="1">IFERROR(INDEX(INDIRECT("'"&amp;$C$100&amp;"'!$H$115:$H$164"), ROWS($H$104:H131)), "")</f>
        <v>0</v>
      </c>
      <c r="I131" s="27" cm="1">
        <f t="array" aca="1" ref="I131" ca="1">IFERROR(INDEX(INDIRECT("'"&amp;$C$100&amp;"'!$I$115:$I$164"), ROWS($I$104:I131)), "")</f>
        <v>0</v>
      </c>
      <c r="J131" s="238" cm="1">
        <f t="array" aca="1" ref="J131" ca="1">IFERROR(INDEX(INDIRECT("'"&amp;$C$100&amp;"'!$J$115:$J$164"), ROWS($J$104:J131)), "")</f>
        <v>0</v>
      </c>
      <c r="K131"/>
      <c r="L131"/>
      <c r="M131"/>
      <c r="N131"/>
      <c r="O131"/>
      <c r="P131"/>
    </row>
    <row r="132" spans="1:16">
      <c r="A132" s="190">
        <v>29</v>
      </c>
      <c r="B132" s="374" cm="1">
        <f t="array" aca="1" ref="B132" ca="1">IFERROR(
  INDEX(INDIRECT("'"&amp;$C$100&amp;"'!$B$115:$J$164"),
        ROWS($B$104:B132),
        COLUMNS($B$104:B132)
  ),
  ""
)</f>
        <v>0</v>
      </c>
      <c r="C132" s="374"/>
      <c r="D132" s="374"/>
      <c r="E132" s="374"/>
      <c r="F132" s="374"/>
      <c r="G132" s="27" cm="1">
        <f t="array" aca="1" ref="G132" ca="1">IFERROR(INDEX(INDIRECT("'"&amp;$C$100&amp;"'!$G$115:$G$164"), ROWS($G$104:G132)), "")</f>
        <v>0</v>
      </c>
      <c r="H132" s="27" cm="1">
        <f t="array" aca="1" ref="H132" ca="1">IFERROR(INDEX(INDIRECT("'"&amp;$C$100&amp;"'!$H$115:$H$164"), ROWS($H$104:H132)), "")</f>
        <v>0</v>
      </c>
      <c r="I132" s="27" cm="1">
        <f t="array" aca="1" ref="I132" ca="1">IFERROR(INDEX(INDIRECT("'"&amp;$C$100&amp;"'!$I$115:$I$164"), ROWS($I$104:I132)), "")</f>
        <v>0</v>
      </c>
      <c r="J132" s="238" cm="1">
        <f t="array" aca="1" ref="J132" ca="1">IFERROR(INDEX(INDIRECT("'"&amp;$C$100&amp;"'!$J$115:$J$164"), ROWS($J$104:J132)), "")</f>
        <v>0</v>
      </c>
      <c r="K132"/>
      <c r="L132"/>
      <c r="M132"/>
      <c r="N132"/>
      <c r="O132"/>
      <c r="P132"/>
    </row>
    <row r="133" spans="1:16">
      <c r="A133" s="190">
        <v>30</v>
      </c>
      <c r="B133" s="374" cm="1">
        <f t="array" aca="1" ref="B133" ca="1">IFERROR(
  INDEX(INDIRECT("'"&amp;$C$100&amp;"'!$B$115:$J$164"),
        ROWS($B$104:B133),
        COLUMNS($B$104:B133)
  ),
  ""
)</f>
        <v>0</v>
      </c>
      <c r="C133" s="374"/>
      <c r="D133" s="374"/>
      <c r="E133" s="374"/>
      <c r="F133" s="374"/>
      <c r="G133" s="27" cm="1">
        <f t="array" aca="1" ref="G133" ca="1">IFERROR(INDEX(INDIRECT("'"&amp;$C$100&amp;"'!$G$115:$G$164"), ROWS($G$104:G133)), "")</f>
        <v>0</v>
      </c>
      <c r="H133" s="27" cm="1">
        <f t="array" aca="1" ref="H133" ca="1">IFERROR(INDEX(INDIRECT("'"&amp;$C$100&amp;"'!$H$115:$H$164"), ROWS($H$104:H133)), "")</f>
        <v>0</v>
      </c>
      <c r="I133" s="27" cm="1">
        <f t="array" aca="1" ref="I133" ca="1">IFERROR(INDEX(INDIRECT("'"&amp;$C$100&amp;"'!$I$115:$I$164"), ROWS($I$104:I133)), "")</f>
        <v>0</v>
      </c>
      <c r="J133" s="238" cm="1">
        <f t="array" aca="1" ref="J133" ca="1">IFERROR(INDEX(INDIRECT("'"&amp;$C$100&amp;"'!$J$115:$J$164"), ROWS($J$104:J133)), "")</f>
        <v>0</v>
      </c>
      <c r="K133"/>
      <c r="L133"/>
      <c r="M133"/>
      <c r="N133"/>
      <c r="O133"/>
      <c r="P133"/>
    </row>
    <row r="134" spans="1:16">
      <c r="A134" s="190">
        <v>31</v>
      </c>
      <c r="B134" s="374" cm="1">
        <f t="array" aca="1" ref="B134" ca="1">IFERROR(
  INDEX(INDIRECT("'"&amp;$C$100&amp;"'!$B$115:$J$164"),
        ROWS($B$104:B134),
        COLUMNS($B$104:B134)
  ),
  ""
)</f>
        <v>0</v>
      </c>
      <c r="C134" s="374"/>
      <c r="D134" s="374"/>
      <c r="E134" s="374"/>
      <c r="F134" s="374"/>
      <c r="G134" s="27" cm="1">
        <f t="array" aca="1" ref="G134" ca="1">IFERROR(INDEX(INDIRECT("'"&amp;$C$100&amp;"'!$G$115:$G$164"), ROWS($G$104:G134)), "")</f>
        <v>0</v>
      </c>
      <c r="H134" s="27" cm="1">
        <f t="array" aca="1" ref="H134" ca="1">IFERROR(INDEX(INDIRECT("'"&amp;$C$100&amp;"'!$H$115:$H$164"), ROWS($H$104:H134)), "")</f>
        <v>0</v>
      </c>
      <c r="I134" s="27" cm="1">
        <f t="array" aca="1" ref="I134" ca="1">IFERROR(INDEX(INDIRECT("'"&amp;$C$100&amp;"'!$I$115:$I$164"), ROWS($I$104:I134)), "")</f>
        <v>0</v>
      </c>
      <c r="J134" s="238" cm="1">
        <f t="array" aca="1" ref="J134" ca="1">IFERROR(INDEX(INDIRECT("'"&amp;$C$100&amp;"'!$J$115:$J$164"), ROWS($J$104:J134)), "")</f>
        <v>0</v>
      </c>
      <c r="K134"/>
      <c r="L134"/>
      <c r="M134"/>
      <c r="N134"/>
      <c r="O134"/>
      <c r="P134"/>
    </row>
    <row r="135" spans="1:16">
      <c r="A135" s="190">
        <v>32</v>
      </c>
      <c r="B135" s="374" cm="1">
        <f t="array" aca="1" ref="B135" ca="1">IFERROR(
  INDEX(INDIRECT("'"&amp;$C$100&amp;"'!$B$115:$J$164"),
        ROWS($B$104:B135),
        COLUMNS($B$104:B135)
  ),
  ""
)</f>
        <v>0</v>
      </c>
      <c r="C135" s="374"/>
      <c r="D135" s="374"/>
      <c r="E135" s="374"/>
      <c r="F135" s="374"/>
      <c r="G135" s="27" cm="1">
        <f t="array" aca="1" ref="G135" ca="1">IFERROR(INDEX(INDIRECT("'"&amp;$C$100&amp;"'!$G$115:$G$164"), ROWS($G$104:G135)), "")</f>
        <v>0</v>
      </c>
      <c r="H135" s="27" cm="1">
        <f t="array" aca="1" ref="H135" ca="1">IFERROR(INDEX(INDIRECT("'"&amp;$C$100&amp;"'!$H$115:$H$164"), ROWS($H$104:H135)), "")</f>
        <v>0</v>
      </c>
      <c r="I135" s="27" cm="1">
        <f t="array" aca="1" ref="I135" ca="1">IFERROR(INDEX(INDIRECT("'"&amp;$C$100&amp;"'!$I$115:$I$164"), ROWS($I$104:I135)), "")</f>
        <v>0</v>
      </c>
      <c r="J135" s="238" cm="1">
        <f t="array" aca="1" ref="J135" ca="1">IFERROR(INDEX(INDIRECT("'"&amp;$C$100&amp;"'!$J$115:$J$164"), ROWS($J$104:J135)), "")</f>
        <v>0</v>
      </c>
      <c r="K135"/>
      <c r="L135"/>
      <c r="M135"/>
      <c r="N135"/>
      <c r="O135"/>
      <c r="P135"/>
    </row>
    <row r="136" spans="1:16">
      <c r="A136" s="190">
        <v>33</v>
      </c>
      <c r="B136" s="374" cm="1">
        <f t="array" aca="1" ref="B136" ca="1">IFERROR(
  INDEX(INDIRECT("'"&amp;$C$100&amp;"'!$B$115:$J$164"),
        ROWS($B$104:B136),
        COLUMNS($B$104:B136)
  ),
  ""
)</f>
        <v>0</v>
      </c>
      <c r="C136" s="374"/>
      <c r="D136" s="374"/>
      <c r="E136" s="374"/>
      <c r="F136" s="374"/>
      <c r="G136" s="27" cm="1">
        <f t="array" aca="1" ref="G136" ca="1">IFERROR(INDEX(INDIRECT("'"&amp;$C$100&amp;"'!$G$115:$G$164"), ROWS($G$104:G136)), "")</f>
        <v>0</v>
      </c>
      <c r="H136" s="27" cm="1">
        <f t="array" aca="1" ref="H136" ca="1">IFERROR(INDEX(INDIRECT("'"&amp;$C$100&amp;"'!$H$115:$H$164"), ROWS($H$104:H136)), "")</f>
        <v>0</v>
      </c>
      <c r="I136" s="27" cm="1">
        <f t="array" aca="1" ref="I136" ca="1">IFERROR(INDEX(INDIRECT("'"&amp;$C$100&amp;"'!$I$115:$I$164"), ROWS($I$104:I136)), "")</f>
        <v>0</v>
      </c>
      <c r="J136" s="238" cm="1">
        <f t="array" aca="1" ref="J136" ca="1">IFERROR(INDEX(INDIRECT("'"&amp;$C$100&amp;"'!$J$115:$J$164"), ROWS($J$104:J136)), "")</f>
        <v>0</v>
      </c>
      <c r="K136"/>
      <c r="L136"/>
      <c r="M136"/>
      <c r="N136"/>
      <c r="O136"/>
      <c r="P136"/>
    </row>
    <row r="137" spans="1:16">
      <c r="A137" s="190">
        <v>34</v>
      </c>
      <c r="B137" s="374" cm="1">
        <f t="array" aca="1" ref="B137" ca="1">IFERROR(
  INDEX(INDIRECT("'"&amp;$C$100&amp;"'!$B$115:$J$164"),
        ROWS($B$104:B137),
        COLUMNS($B$104:B137)
  ),
  ""
)</f>
        <v>0</v>
      </c>
      <c r="C137" s="374"/>
      <c r="D137" s="374"/>
      <c r="E137" s="374"/>
      <c r="F137" s="374"/>
      <c r="G137" s="27" cm="1">
        <f t="array" aca="1" ref="G137" ca="1">IFERROR(INDEX(INDIRECT("'"&amp;$C$100&amp;"'!$G$115:$G$164"), ROWS($G$104:G137)), "")</f>
        <v>0</v>
      </c>
      <c r="H137" s="27" cm="1">
        <f t="array" aca="1" ref="H137" ca="1">IFERROR(INDEX(INDIRECT("'"&amp;$C$100&amp;"'!$H$115:$H$164"), ROWS($H$104:H137)), "")</f>
        <v>0</v>
      </c>
      <c r="I137" s="27" cm="1">
        <f t="array" aca="1" ref="I137" ca="1">IFERROR(INDEX(INDIRECT("'"&amp;$C$100&amp;"'!$I$115:$I$164"), ROWS($I$104:I137)), "")</f>
        <v>0</v>
      </c>
      <c r="J137" s="238" cm="1">
        <f t="array" aca="1" ref="J137" ca="1">IFERROR(INDEX(INDIRECT("'"&amp;$C$100&amp;"'!$J$115:$J$164"), ROWS($J$104:J137)), "")</f>
        <v>0</v>
      </c>
      <c r="K137"/>
      <c r="L137"/>
      <c r="M137"/>
      <c r="N137"/>
      <c r="O137"/>
      <c r="P137"/>
    </row>
    <row r="138" spans="1:16">
      <c r="A138" s="190">
        <v>35</v>
      </c>
      <c r="B138" s="374" cm="1">
        <f t="array" aca="1" ref="B138" ca="1">IFERROR(
  INDEX(INDIRECT("'"&amp;$C$100&amp;"'!$B$115:$J$164"),
        ROWS($B$104:B138),
        COLUMNS($B$104:B138)
  ),
  ""
)</f>
        <v>0</v>
      </c>
      <c r="C138" s="374"/>
      <c r="D138" s="374"/>
      <c r="E138" s="374"/>
      <c r="F138" s="374"/>
      <c r="G138" s="27" cm="1">
        <f t="array" aca="1" ref="G138" ca="1">IFERROR(INDEX(INDIRECT("'"&amp;$C$100&amp;"'!$G$115:$G$164"), ROWS($G$104:G138)), "")</f>
        <v>0</v>
      </c>
      <c r="H138" s="27" cm="1">
        <f t="array" aca="1" ref="H138" ca="1">IFERROR(INDEX(INDIRECT("'"&amp;$C$100&amp;"'!$H$115:$H$164"), ROWS($H$104:H138)), "")</f>
        <v>0</v>
      </c>
      <c r="I138" s="27" cm="1">
        <f t="array" aca="1" ref="I138" ca="1">IFERROR(INDEX(INDIRECT("'"&amp;$C$100&amp;"'!$I$115:$I$164"), ROWS($I$104:I138)), "")</f>
        <v>0</v>
      </c>
      <c r="J138" s="238" cm="1">
        <f t="array" aca="1" ref="J138" ca="1">IFERROR(INDEX(INDIRECT("'"&amp;$C$100&amp;"'!$J$115:$J$164"), ROWS($J$104:J138)), "")</f>
        <v>0</v>
      </c>
      <c r="K138"/>
      <c r="L138"/>
      <c r="M138"/>
      <c r="N138"/>
      <c r="O138"/>
      <c r="P138"/>
    </row>
    <row r="139" spans="1:16">
      <c r="A139" s="190">
        <v>36</v>
      </c>
      <c r="B139" s="374" cm="1">
        <f t="array" aca="1" ref="B139" ca="1">IFERROR(
  INDEX(INDIRECT("'"&amp;$C$100&amp;"'!$B$115:$J$164"),
        ROWS($B$104:B139),
        COLUMNS($B$104:B139)
  ),
  ""
)</f>
        <v>0</v>
      </c>
      <c r="C139" s="374"/>
      <c r="D139" s="374"/>
      <c r="E139" s="374"/>
      <c r="F139" s="374"/>
      <c r="G139" s="27" cm="1">
        <f t="array" aca="1" ref="G139" ca="1">IFERROR(INDEX(INDIRECT("'"&amp;$C$100&amp;"'!$G$115:$G$164"), ROWS($G$104:G139)), "")</f>
        <v>0</v>
      </c>
      <c r="H139" s="27" cm="1">
        <f t="array" aca="1" ref="H139" ca="1">IFERROR(INDEX(INDIRECT("'"&amp;$C$100&amp;"'!$H$115:$H$164"), ROWS($H$104:H139)), "")</f>
        <v>0</v>
      </c>
      <c r="I139" s="27" cm="1">
        <f t="array" aca="1" ref="I139" ca="1">IFERROR(INDEX(INDIRECT("'"&amp;$C$100&amp;"'!$I$115:$I$164"), ROWS($I$104:I139)), "")</f>
        <v>0</v>
      </c>
      <c r="J139" s="238" cm="1">
        <f t="array" aca="1" ref="J139" ca="1">IFERROR(INDEX(INDIRECT("'"&amp;$C$100&amp;"'!$J$115:$J$164"), ROWS($J$104:J139)), "")</f>
        <v>0</v>
      </c>
      <c r="K139"/>
      <c r="L139"/>
      <c r="M139"/>
      <c r="N139"/>
      <c r="O139"/>
      <c r="P139"/>
    </row>
    <row r="140" spans="1:16">
      <c r="A140" s="190">
        <v>37</v>
      </c>
      <c r="B140" s="374" cm="1">
        <f t="array" aca="1" ref="B140" ca="1">IFERROR(
  INDEX(INDIRECT("'"&amp;$C$100&amp;"'!$B$115:$J$164"),
        ROWS($B$104:B140),
        COLUMNS($B$104:B140)
  ),
  ""
)</f>
        <v>0</v>
      </c>
      <c r="C140" s="374"/>
      <c r="D140" s="374"/>
      <c r="E140" s="374"/>
      <c r="F140" s="374"/>
      <c r="G140" s="27" cm="1">
        <f t="array" aca="1" ref="G140" ca="1">IFERROR(INDEX(INDIRECT("'"&amp;$C$100&amp;"'!$G$115:$G$164"), ROWS($G$104:G140)), "")</f>
        <v>0</v>
      </c>
      <c r="H140" s="27" cm="1">
        <f t="array" aca="1" ref="H140" ca="1">IFERROR(INDEX(INDIRECT("'"&amp;$C$100&amp;"'!$H$115:$H$164"), ROWS($H$104:H140)), "")</f>
        <v>0</v>
      </c>
      <c r="I140" s="27" cm="1">
        <f t="array" aca="1" ref="I140" ca="1">IFERROR(INDEX(INDIRECT("'"&amp;$C$100&amp;"'!$I$115:$I$164"), ROWS($I$104:I140)), "")</f>
        <v>0</v>
      </c>
      <c r="J140" s="238" cm="1">
        <f t="array" aca="1" ref="J140" ca="1">IFERROR(INDEX(INDIRECT("'"&amp;$C$100&amp;"'!$J$115:$J$164"), ROWS($J$104:J140)), "")</f>
        <v>0</v>
      </c>
      <c r="K140"/>
      <c r="L140"/>
      <c r="M140"/>
      <c r="N140"/>
      <c r="O140"/>
      <c r="P140"/>
    </row>
    <row r="141" spans="1:16">
      <c r="A141" s="190">
        <v>38</v>
      </c>
      <c r="B141" s="374" cm="1">
        <f t="array" aca="1" ref="B141" ca="1">IFERROR(
  INDEX(INDIRECT("'"&amp;$C$100&amp;"'!$B$115:$J$164"),
        ROWS($B$104:B141),
        COLUMNS($B$104:B141)
  ),
  ""
)</f>
        <v>0</v>
      </c>
      <c r="C141" s="374"/>
      <c r="D141" s="374"/>
      <c r="E141" s="374"/>
      <c r="F141" s="374"/>
      <c r="G141" s="27" cm="1">
        <f t="array" aca="1" ref="G141" ca="1">IFERROR(INDEX(INDIRECT("'"&amp;$C$100&amp;"'!$G$115:$G$164"), ROWS($G$104:G141)), "")</f>
        <v>0</v>
      </c>
      <c r="H141" s="27" cm="1">
        <f t="array" aca="1" ref="H141" ca="1">IFERROR(INDEX(INDIRECT("'"&amp;$C$100&amp;"'!$H$115:$H$164"), ROWS($H$104:H141)), "")</f>
        <v>0</v>
      </c>
      <c r="I141" s="27" cm="1">
        <f t="array" aca="1" ref="I141" ca="1">IFERROR(INDEX(INDIRECT("'"&amp;$C$100&amp;"'!$I$115:$I$164"), ROWS($I$104:I141)), "")</f>
        <v>0</v>
      </c>
      <c r="J141" s="238" cm="1">
        <f t="array" aca="1" ref="J141" ca="1">IFERROR(INDEX(INDIRECT("'"&amp;$C$100&amp;"'!$J$115:$J$164"), ROWS($J$104:J141)), "")</f>
        <v>0</v>
      </c>
      <c r="K141"/>
      <c r="L141"/>
      <c r="M141"/>
      <c r="N141"/>
      <c r="O141"/>
      <c r="P141"/>
    </row>
    <row r="142" spans="1:16">
      <c r="A142" s="190">
        <v>39</v>
      </c>
      <c r="B142" s="374" cm="1">
        <f t="array" aca="1" ref="B142" ca="1">IFERROR(
  INDEX(INDIRECT("'"&amp;$C$100&amp;"'!$B$115:$J$164"),
        ROWS($B$104:B142),
        COLUMNS($B$104:B142)
  ),
  ""
)</f>
        <v>0</v>
      </c>
      <c r="C142" s="374"/>
      <c r="D142" s="374"/>
      <c r="E142" s="374"/>
      <c r="F142" s="374"/>
      <c r="G142" s="27" cm="1">
        <f t="array" aca="1" ref="G142" ca="1">IFERROR(INDEX(INDIRECT("'"&amp;$C$100&amp;"'!$G$115:$G$164"), ROWS($G$104:G142)), "")</f>
        <v>0</v>
      </c>
      <c r="H142" s="27" cm="1">
        <f t="array" aca="1" ref="H142" ca="1">IFERROR(INDEX(INDIRECT("'"&amp;$C$100&amp;"'!$H$115:$H$164"), ROWS($H$104:H142)), "")</f>
        <v>0</v>
      </c>
      <c r="I142" s="27" cm="1">
        <f t="array" aca="1" ref="I142" ca="1">IFERROR(INDEX(INDIRECT("'"&amp;$C$100&amp;"'!$I$115:$I$164"), ROWS($I$104:I142)), "")</f>
        <v>0</v>
      </c>
      <c r="J142" s="238" cm="1">
        <f t="array" aca="1" ref="J142" ca="1">IFERROR(INDEX(INDIRECT("'"&amp;$C$100&amp;"'!$J$115:$J$164"), ROWS($J$104:J142)), "")</f>
        <v>0</v>
      </c>
      <c r="K142"/>
      <c r="L142"/>
      <c r="M142"/>
      <c r="N142"/>
      <c r="O142"/>
      <c r="P142"/>
    </row>
    <row r="143" spans="1:16">
      <c r="A143" s="190">
        <v>40</v>
      </c>
      <c r="B143" s="374" cm="1">
        <f t="array" aca="1" ref="B143" ca="1">IFERROR(
  INDEX(INDIRECT("'"&amp;$C$100&amp;"'!$B$115:$J$164"),
        ROWS($B$104:B143),
        COLUMNS($B$104:B143)
  ),
  ""
)</f>
        <v>0</v>
      </c>
      <c r="C143" s="374"/>
      <c r="D143" s="374"/>
      <c r="E143" s="374"/>
      <c r="F143" s="374"/>
      <c r="G143" s="27" cm="1">
        <f t="array" aca="1" ref="G143" ca="1">IFERROR(INDEX(INDIRECT("'"&amp;$C$100&amp;"'!$G$115:$G$164"), ROWS($G$104:G143)), "")</f>
        <v>0</v>
      </c>
      <c r="H143" s="27" cm="1">
        <f t="array" aca="1" ref="H143" ca="1">IFERROR(INDEX(INDIRECT("'"&amp;$C$100&amp;"'!$H$115:$H$164"), ROWS($H$104:H143)), "")</f>
        <v>0</v>
      </c>
      <c r="I143" s="27" cm="1">
        <f t="array" aca="1" ref="I143" ca="1">IFERROR(INDEX(INDIRECT("'"&amp;$C$100&amp;"'!$I$115:$I$164"), ROWS($I$104:I143)), "")</f>
        <v>0</v>
      </c>
      <c r="J143" s="238" cm="1">
        <f t="array" aca="1" ref="J143" ca="1">IFERROR(INDEX(INDIRECT("'"&amp;$C$100&amp;"'!$J$115:$J$164"), ROWS($J$104:J143)), "")</f>
        <v>0</v>
      </c>
      <c r="K143"/>
      <c r="L143"/>
      <c r="M143"/>
      <c r="N143"/>
      <c r="O143"/>
      <c r="P143"/>
    </row>
    <row r="144" spans="1:16">
      <c r="A144" s="190">
        <v>41</v>
      </c>
      <c r="B144" s="374" cm="1">
        <f t="array" aca="1" ref="B144" ca="1">IFERROR(
  INDEX(INDIRECT("'"&amp;$C$100&amp;"'!$B$115:$J$164"),
        ROWS($B$104:B144),
        COLUMNS($B$104:B144)
  ),
  ""
)</f>
        <v>0</v>
      </c>
      <c r="C144" s="374"/>
      <c r="D144" s="374"/>
      <c r="E144" s="374"/>
      <c r="F144" s="374"/>
      <c r="G144" s="27" cm="1">
        <f t="array" aca="1" ref="G144" ca="1">IFERROR(INDEX(INDIRECT("'"&amp;$C$100&amp;"'!$G$115:$G$164"), ROWS($G$104:G144)), "")</f>
        <v>0</v>
      </c>
      <c r="H144" s="27" cm="1">
        <f t="array" aca="1" ref="H144" ca="1">IFERROR(INDEX(INDIRECT("'"&amp;$C$100&amp;"'!$H$115:$H$164"), ROWS($H$104:H144)), "")</f>
        <v>0</v>
      </c>
      <c r="I144" s="27" cm="1">
        <f t="array" aca="1" ref="I144" ca="1">IFERROR(INDEX(INDIRECT("'"&amp;$C$100&amp;"'!$I$115:$I$164"), ROWS($I$104:I144)), "")</f>
        <v>0</v>
      </c>
      <c r="J144" s="238" cm="1">
        <f t="array" aca="1" ref="J144" ca="1">IFERROR(INDEX(INDIRECT("'"&amp;$C$100&amp;"'!$J$115:$J$164"), ROWS($J$104:J144)), "")</f>
        <v>0</v>
      </c>
      <c r="K144"/>
      <c r="L144"/>
      <c r="M144"/>
      <c r="N144"/>
      <c r="O144"/>
      <c r="P144"/>
    </row>
    <row r="145" spans="1:16">
      <c r="A145" s="190">
        <v>42</v>
      </c>
      <c r="B145" s="374" cm="1">
        <f t="array" aca="1" ref="B145" ca="1">IFERROR(
  INDEX(INDIRECT("'"&amp;$C$100&amp;"'!$B$115:$J$164"),
        ROWS($B$104:B145),
        COLUMNS($B$104:B145)
  ),
  ""
)</f>
        <v>0</v>
      </c>
      <c r="C145" s="374"/>
      <c r="D145" s="374"/>
      <c r="E145" s="374"/>
      <c r="F145" s="374"/>
      <c r="G145" s="27" cm="1">
        <f t="array" aca="1" ref="G145" ca="1">IFERROR(INDEX(INDIRECT("'"&amp;$C$100&amp;"'!$G$115:$G$164"), ROWS($G$104:G145)), "")</f>
        <v>0</v>
      </c>
      <c r="H145" s="27" cm="1">
        <f t="array" aca="1" ref="H145" ca="1">IFERROR(INDEX(INDIRECT("'"&amp;$C$100&amp;"'!$H$115:$H$164"), ROWS($H$104:H145)), "")</f>
        <v>0</v>
      </c>
      <c r="I145" s="27" cm="1">
        <f t="array" aca="1" ref="I145" ca="1">IFERROR(INDEX(INDIRECT("'"&amp;$C$100&amp;"'!$I$115:$I$164"), ROWS($I$104:I145)), "")</f>
        <v>0</v>
      </c>
      <c r="J145" s="238" cm="1">
        <f t="array" aca="1" ref="J145" ca="1">IFERROR(INDEX(INDIRECT("'"&amp;$C$100&amp;"'!$J$115:$J$164"), ROWS($J$104:J145)), "")</f>
        <v>0</v>
      </c>
      <c r="K145"/>
      <c r="L145"/>
      <c r="M145"/>
      <c r="N145"/>
      <c r="O145"/>
      <c r="P145"/>
    </row>
    <row r="146" spans="1:16">
      <c r="A146" s="190">
        <v>43</v>
      </c>
      <c r="B146" s="374" cm="1">
        <f t="array" aca="1" ref="B146" ca="1">IFERROR(
  INDEX(INDIRECT("'"&amp;$C$100&amp;"'!$B$115:$J$164"),
        ROWS($B$104:B146),
        COLUMNS($B$104:B146)
  ),
  ""
)</f>
        <v>0</v>
      </c>
      <c r="C146" s="374"/>
      <c r="D146" s="374"/>
      <c r="E146" s="374"/>
      <c r="F146" s="374"/>
      <c r="G146" s="27" cm="1">
        <f t="array" aca="1" ref="G146" ca="1">IFERROR(INDEX(INDIRECT("'"&amp;$C$100&amp;"'!$G$115:$G$164"), ROWS($G$104:G146)), "")</f>
        <v>0</v>
      </c>
      <c r="H146" s="27" cm="1">
        <f t="array" aca="1" ref="H146" ca="1">IFERROR(INDEX(INDIRECT("'"&amp;$C$100&amp;"'!$H$115:$H$164"), ROWS($H$104:H146)), "")</f>
        <v>0</v>
      </c>
      <c r="I146" s="27" cm="1">
        <f t="array" aca="1" ref="I146" ca="1">IFERROR(INDEX(INDIRECT("'"&amp;$C$100&amp;"'!$I$115:$I$164"), ROWS($I$104:I146)), "")</f>
        <v>0</v>
      </c>
      <c r="J146" s="238" cm="1">
        <f t="array" aca="1" ref="J146" ca="1">IFERROR(INDEX(INDIRECT("'"&amp;$C$100&amp;"'!$J$115:$J$164"), ROWS($J$104:J146)), "")</f>
        <v>0</v>
      </c>
      <c r="K146"/>
      <c r="L146"/>
      <c r="M146"/>
      <c r="N146"/>
      <c r="O146"/>
      <c r="P146"/>
    </row>
    <row r="147" spans="1:16">
      <c r="A147" s="190">
        <v>44</v>
      </c>
      <c r="B147" s="374" cm="1">
        <f t="array" aca="1" ref="B147" ca="1">IFERROR(
  INDEX(INDIRECT("'"&amp;$C$100&amp;"'!$B$115:$J$164"),
        ROWS($B$104:B147),
        COLUMNS($B$104:B147)
  ),
  ""
)</f>
        <v>0</v>
      </c>
      <c r="C147" s="374"/>
      <c r="D147" s="374"/>
      <c r="E147" s="374"/>
      <c r="F147" s="374"/>
      <c r="G147" s="27" cm="1">
        <f t="array" aca="1" ref="G147" ca="1">IFERROR(INDEX(INDIRECT("'"&amp;$C$100&amp;"'!$G$115:$G$164"), ROWS($G$104:G147)), "")</f>
        <v>0</v>
      </c>
      <c r="H147" s="27" cm="1">
        <f t="array" aca="1" ref="H147" ca="1">IFERROR(INDEX(INDIRECT("'"&amp;$C$100&amp;"'!$H$115:$H$164"), ROWS($H$104:H147)), "")</f>
        <v>0</v>
      </c>
      <c r="I147" s="27" cm="1">
        <f t="array" aca="1" ref="I147" ca="1">IFERROR(INDEX(INDIRECT("'"&amp;$C$100&amp;"'!$I$115:$I$164"), ROWS($I$104:I147)), "")</f>
        <v>0</v>
      </c>
      <c r="J147" s="238" cm="1">
        <f t="array" aca="1" ref="J147" ca="1">IFERROR(INDEX(INDIRECT("'"&amp;$C$100&amp;"'!$J$115:$J$164"), ROWS($J$104:J147)), "")</f>
        <v>0</v>
      </c>
      <c r="K147"/>
      <c r="L147"/>
      <c r="M147"/>
      <c r="N147"/>
      <c r="O147"/>
      <c r="P147"/>
    </row>
    <row r="148" spans="1:16">
      <c r="A148" s="190">
        <v>45</v>
      </c>
      <c r="B148" s="374" cm="1">
        <f t="array" aca="1" ref="B148" ca="1">IFERROR(
  INDEX(INDIRECT("'"&amp;$C$100&amp;"'!$B$115:$J$164"),
        ROWS($B$104:B148),
        COLUMNS($B$104:B148)
  ),
  ""
)</f>
        <v>0</v>
      </c>
      <c r="C148" s="374"/>
      <c r="D148" s="374"/>
      <c r="E148" s="374"/>
      <c r="F148" s="374"/>
      <c r="G148" s="27" cm="1">
        <f t="array" aca="1" ref="G148" ca="1">IFERROR(INDEX(INDIRECT("'"&amp;$C$100&amp;"'!$G$115:$G$164"), ROWS($G$104:G148)), "")</f>
        <v>0</v>
      </c>
      <c r="H148" s="27" cm="1">
        <f t="array" aca="1" ref="H148" ca="1">IFERROR(INDEX(INDIRECT("'"&amp;$C$100&amp;"'!$H$115:$H$164"), ROWS($H$104:H148)), "")</f>
        <v>0</v>
      </c>
      <c r="I148" s="27" cm="1">
        <f t="array" aca="1" ref="I148" ca="1">IFERROR(INDEX(INDIRECT("'"&amp;$C$100&amp;"'!$I$115:$I$164"), ROWS($I$104:I148)), "")</f>
        <v>0</v>
      </c>
      <c r="J148" s="238" cm="1">
        <f t="array" aca="1" ref="J148" ca="1">IFERROR(INDEX(INDIRECT("'"&amp;$C$100&amp;"'!$J$115:$J$164"), ROWS($J$104:J148)), "")</f>
        <v>0</v>
      </c>
      <c r="K148"/>
      <c r="L148"/>
      <c r="M148"/>
      <c r="N148"/>
      <c r="O148"/>
      <c r="P148"/>
    </row>
    <row r="149" spans="1:16">
      <c r="A149" s="190">
        <v>46</v>
      </c>
      <c r="B149" s="374" cm="1">
        <f t="array" aca="1" ref="B149" ca="1">IFERROR(
  INDEX(INDIRECT("'"&amp;$C$100&amp;"'!$B$115:$J$164"),
        ROWS($B$104:B149),
        COLUMNS($B$104:B149)
  ),
  ""
)</f>
        <v>0</v>
      </c>
      <c r="C149" s="374"/>
      <c r="D149" s="374"/>
      <c r="E149" s="374"/>
      <c r="F149" s="374"/>
      <c r="G149" s="27" cm="1">
        <f t="array" aca="1" ref="G149" ca="1">IFERROR(INDEX(INDIRECT("'"&amp;$C$100&amp;"'!$G$115:$G$164"), ROWS($G$104:G149)), "")</f>
        <v>0</v>
      </c>
      <c r="H149" s="27" cm="1">
        <f t="array" aca="1" ref="H149" ca="1">IFERROR(INDEX(INDIRECT("'"&amp;$C$100&amp;"'!$H$115:$H$164"), ROWS($H$104:H149)), "")</f>
        <v>0</v>
      </c>
      <c r="I149" s="27" cm="1">
        <f t="array" aca="1" ref="I149" ca="1">IFERROR(INDEX(INDIRECT("'"&amp;$C$100&amp;"'!$I$115:$I$164"), ROWS($I$104:I149)), "")</f>
        <v>0</v>
      </c>
      <c r="J149" s="238" cm="1">
        <f t="array" aca="1" ref="J149" ca="1">IFERROR(INDEX(INDIRECT("'"&amp;$C$100&amp;"'!$J$115:$J$164"), ROWS($J$104:J149)), "")</f>
        <v>0</v>
      </c>
      <c r="K149"/>
      <c r="L149"/>
      <c r="M149"/>
      <c r="N149"/>
      <c r="O149"/>
      <c r="P149"/>
    </row>
    <row r="150" spans="1:16">
      <c r="A150" s="190">
        <v>47</v>
      </c>
      <c r="B150" s="374" cm="1">
        <f t="array" aca="1" ref="B150" ca="1">IFERROR(
  INDEX(INDIRECT("'"&amp;$C$100&amp;"'!$B$115:$J$164"),
        ROWS($B$104:B150),
        COLUMNS($B$104:B150)
  ),
  ""
)</f>
        <v>0</v>
      </c>
      <c r="C150" s="374"/>
      <c r="D150" s="374"/>
      <c r="E150" s="374"/>
      <c r="F150" s="374"/>
      <c r="G150" s="27" cm="1">
        <f t="array" aca="1" ref="G150" ca="1">IFERROR(INDEX(INDIRECT("'"&amp;$C$100&amp;"'!$G$115:$G$164"), ROWS($G$104:G150)), "")</f>
        <v>0</v>
      </c>
      <c r="H150" s="27" cm="1">
        <f t="array" aca="1" ref="H150" ca="1">IFERROR(INDEX(INDIRECT("'"&amp;$C$100&amp;"'!$H$115:$H$164"), ROWS($H$104:H150)), "")</f>
        <v>0</v>
      </c>
      <c r="I150" s="27" cm="1">
        <f t="array" aca="1" ref="I150" ca="1">IFERROR(INDEX(INDIRECT("'"&amp;$C$100&amp;"'!$I$115:$I$164"), ROWS($I$104:I150)), "")</f>
        <v>0</v>
      </c>
      <c r="J150" s="238" cm="1">
        <f t="array" aca="1" ref="J150" ca="1">IFERROR(INDEX(INDIRECT("'"&amp;$C$100&amp;"'!$J$115:$J$164"), ROWS($J$104:J150)), "")</f>
        <v>0</v>
      </c>
      <c r="K150"/>
      <c r="L150"/>
      <c r="M150"/>
      <c r="N150"/>
      <c r="O150"/>
      <c r="P150"/>
    </row>
    <row r="151" spans="1:16">
      <c r="A151" s="190">
        <v>48</v>
      </c>
      <c r="B151" s="374" cm="1">
        <f t="array" aca="1" ref="B151" ca="1">IFERROR(
  INDEX(INDIRECT("'"&amp;$C$100&amp;"'!$B$115:$J$164"),
        ROWS($B$104:B151),
        COLUMNS($B$104:B151)
  ),
  ""
)</f>
        <v>0</v>
      </c>
      <c r="C151" s="374"/>
      <c r="D151" s="374"/>
      <c r="E151" s="374"/>
      <c r="F151" s="374"/>
      <c r="G151" s="27" cm="1">
        <f t="array" aca="1" ref="G151" ca="1">IFERROR(INDEX(INDIRECT("'"&amp;$C$100&amp;"'!$G$115:$G$164"), ROWS($G$104:G151)), "")</f>
        <v>0</v>
      </c>
      <c r="H151" s="27" cm="1">
        <f t="array" aca="1" ref="H151" ca="1">IFERROR(INDEX(INDIRECT("'"&amp;$C$100&amp;"'!$H$115:$H$164"), ROWS($H$104:H151)), "")</f>
        <v>0</v>
      </c>
      <c r="I151" s="27" cm="1">
        <f t="array" aca="1" ref="I151" ca="1">IFERROR(INDEX(INDIRECT("'"&amp;$C$100&amp;"'!$I$115:$I$164"), ROWS($I$104:I151)), "")</f>
        <v>0</v>
      </c>
      <c r="J151" s="238" cm="1">
        <f t="array" aca="1" ref="J151" ca="1">IFERROR(INDEX(INDIRECT("'"&amp;$C$100&amp;"'!$J$115:$J$164"), ROWS($J$104:J151)), "")</f>
        <v>0</v>
      </c>
      <c r="K151"/>
      <c r="L151"/>
      <c r="M151"/>
      <c r="N151"/>
      <c r="O151"/>
      <c r="P151"/>
    </row>
    <row r="152" spans="1:16">
      <c r="A152" s="190">
        <v>49</v>
      </c>
      <c r="B152" s="374" cm="1">
        <f t="array" aca="1" ref="B152" ca="1">IFERROR(
  INDEX(INDIRECT("'"&amp;$C$100&amp;"'!$B$115:$J$164"),
        ROWS($B$104:B152),
        COLUMNS($B$104:B152)
  ),
  ""
)</f>
        <v>0</v>
      </c>
      <c r="C152" s="374"/>
      <c r="D152" s="374"/>
      <c r="E152" s="374"/>
      <c r="F152" s="374"/>
      <c r="G152" s="27" cm="1">
        <f t="array" aca="1" ref="G152" ca="1">IFERROR(INDEX(INDIRECT("'"&amp;$C$100&amp;"'!$G$115:$G$164"), ROWS($G$104:G152)), "")</f>
        <v>0</v>
      </c>
      <c r="H152" s="27" cm="1">
        <f t="array" aca="1" ref="H152" ca="1">IFERROR(INDEX(INDIRECT("'"&amp;$C$100&amp;"'!$H$115:$H$164"), ROWS($H$104:H152)), "")</f>
        <v>0</v>
      </c>
      <c r="I152" s="27" cm="1">
        <f t="array" aca="1" ref="I152" ca="1">IFERROR(INDEX(INDIRECT("'"&amp;$C$100&amp;"'!$I$115:$I$164"), ROWS($I$104:I152)), "")</f>
        <v>0</v>
      </c>
      <c r="J152" s="238" cm="1">
        <f t="array" aca="1" ref="J152" ca="1">IFERROR(INDEX(INDIRECT("'"&amp;$C$100&amp;"'!$J$115:$J$164"), ROWS($J$104:J152)), "")</f>
        <v>0</v>
      </c>
      <c r="K152"/>
      <c r="L152"/>
      <c r="M152"/>
      <c r="N152"/>
      <c r="O152"/>
      <c r="P152"/>
    </row>
    <row r="153" spans="1:16" ht="18.600000000000001" thickBot="1">
      <c r="A153" s="191">
        <v>50</v>
      </c>
      <c r="B153" s="375" cm="1">
        <f t="array" aca="1" ref="B153" ca="1">IFERROR(
  INDEX(INDIRECT("'"&amp;$C$100&amp;"'!$B$115:$J$164"),
        ROWS($B$104:B153),
        COLUMNS($B$104:B153)
  ),
  ""
)</f>
        <v>0</v>
      </c>
      <c r="C153" s="375"/>
      <c r="D153" s="375"/>
      <c r="E153" s="375"/>
      <c r="F153" s="375"/>
      <c r="G153" s="239" cm="1">
        <f t="array" aca="1" ref="G153" ca="1">IFERROR(INDEX(INDIRECT("'"&amp;$C$100&amp;"'!$G$115:$G$164"), ROWS($G$104:G153)), "")</f>
        <v>0</v>
      </c>
      <c r="H153" s="239" cm="1">
        <f t="array" aca="1" ref="H153" ca="1">IFERROR(INDEX(INDIRECT("'"&amp;$C$100&amp;"'!$H$115:$H$164"), ROWS($H$104:H153)), "")</f>
        <v>0</v>
      </c>
      <c r="I153" s="239" cm="1">
        <f t="array" aca="1" ref="I153" ca="1">IFERROR(INDEX(INDIRECT("'"&amp;$C$100&amp;"'!$I$115:$I$164"), ROWS($I$104:I153)), "")</f>
        <v>0</v>
      </c>
      <c r="J153" s="240" cm="1">
        <f t="array" aca="1" ref="J153" ca="1">IFERROR(INDEX(INDIRECT("'"&amp;$C$100&amp;"'!$J$115:$J$164"), ROWS($J$104:J153)), "")</f>
        <v>0</v>
      </c>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sheetData>
  <mergeCells count="52">
    <mergeCell ref="N16:O16"/>
    <mergeCell ref="B103:F103"/>
    <mergeCell ref="B104:F104"/>
    <mergeCell ref="B105:F105"/>
    <mergeCell ref="B106:F106"/>
    <mergeCell ref="B107:F107"/>
    <mergeCell ref="B108:F108"/>
    <mergeCell ref="B109:F109"/>
    <mergeCell ref="B110:F110"/>
    <mergeCell ref="B111:F111"/>
    <mergeCell ref="B112:F112"/>
    <mergeCell ref="B113:F113"/>
    <mergeCell ref="B114:F114"/>
    <mergeCell ref="B115:F115"/>
    <mergeCell ref="B116:F116"/>
    <mergeCell ref="B117:F117"/>
    <mergeCell ref="B118:F118"/>
    <mergeCell ref="B119:F119"/>
    <mergeCell ref="B120:F120"/>
    <mergeCell ref="B121:F121"/>
    <mergeCell ref="B122:F122"/>
    <mergeCell ref="B123:F123"/>
    <mergeCell ref="B124:F124"/>
    <mergeCell ref="B125:F125"/>
    <mergeCell ref="B126:F126"/>
    <mergeCell ref="B127:F127"/>
    <mergeCell ref="B128:F128"/>
    <mergeCell ref="B129:F129"/>
    <mergeCell ref="B130:F130"/>
    <mergeCell ref="B131:F131"/>
    <mergeCell ref="B132:F132"/>
    <mergeCell ref="B133:F133"/>
    <mergeCell ref="B134:F134"/>
    <mergeCell ref="B135:F135"/>
    <mergeCell ref="B136:F136"/>
    <mergeCell ref="B137:F137"/>
    <mergeCell ref="B138:F138"/>
    <mergeCell ref="B139:F139"/>
    <mergeCell ref="B140:F140"/>
    <mergeCell ref="B141:F141"/>
    <mergeCell ref="B142:F142"/>
    <mergeCell ref="B143:F143"/>
    <mergeCell ref="B144:F144"/>
    <mergeCell ref="B145:F145"/>
    <mergeCell ref="B146:F146"/>
    <mergeCell ref="B152:F152"/>
    <mergeCell ref="B153:F153"/>
    <mergeCell ref="B147:F147"/>
    <mergeCell ref="B148:F148"/>
    <mergeCell ref="B149:F149"/>
    <mergeCell ref="B150:F150"/>
    <mergeCell ref="B151:F151"/>
  </mergeCells>
  <phoneticPr fontId="5"/>
  <conditionalFormatting sqref="I104:I153">
    <cfRule type="cellIs" dxfId="141" priority="4" operator="equal">
      <formula>$K$99</formula>
    </cfRule>
    <cfRule type="cellIs" dxfId="140" priority="5" operator="equal">
      <formula>$J$99</formula>
    </cfRule>
    <cfRule type="cellIs" dxfId="139" priority="6" operator="equal">
      <formula>$I$99</formula>
    </cfRule>
  </conditionalFormatting>
  <conditionalFormatting sqref="J104:J153">
    <cfRule type="cellIs" dxfId="138" priority="1" operator="equal">
      <formula>$P$99</formula>
    </cfRule>
    <cfRule type="cellIs" dxfId="137" priority="2" operator="equal">
      <formula>$O$99</formula>
    </cfRule>
    <cfRule type="cellIs" dxfId="136" priority="3" operator="equal">
      <formula>$N$99</formula>
    </cfRule>
  </conditionalFormatting>
  <dataValidations count="2">
    <dataValidation type="list" allowBlank="1" showInputMessage="1" showErrorMessage="1" sqref="I104:I153" xr:uid="{135D279A-40CA-41C4-BBD1-0A9751FB93C6}">
      <formula1>$I$99:$K$99</formula1>
    </dataValidation>
    <dataValidation type="list" allowBlank="1" showInputMessage="1" showErrorMessage="1" sqref="J104:J153" xr:uid="{D66DED79-03C5-47A2-84A4-06A840C491DD}">
      <formula1>$N$99:$P$99</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4" tint="0.39997558519241921"/>
  </sheetPr>
  <dimension ref="A1:G31"/>
  <sheetViews>
    <sheetView zoomScaleNormal="100" workbookViewId="0">
      <selection activeCell="D4" sqref="D4"/>
    </sheetView>
  </sheetViews>
  <sheetFormatPr defaultColWidth="8.5" defaultRowHeight="18"/>
  <cols>
    <col min="2" max="2" width="45.09765625" customWidth="1"/>
  </cols>
  <sheetData>
    <row r="1" spans="1:7" ht="18.600000000000001" thickBot="1">
      <c r="A1" s="108">
        <v>0</v>
      </c>
      <c r="B1" s="108" t="s">
        <v>283</v>
      </c>
      <c r="C1" s="97" t="s">
        <v>107</v>
      </c>
      <c r="E1" s="19" t="str">
        <f>HYPERLINK("#ダッシュボード!A2","▶ ダッシュボードへ")</f>
        <v>▶ ダッシュボードへ</v>
      </c>
      <c r="F1" s="24"/>
      <c r="G1" s="25"/>
    </row>
    <row r="2" spans="1:7">
      <c r="A2" s="108">
        <v>1</v>
      </c>
      <c r="B2" s="133" t="s">
        <v>286</v>
      </c>
      <c r="C2" s="41" t="s">
        <v>290</v>
      </c>
    </row>
    <row r="3" spans="1:7">
      <c r="A3" s="108">
        <v>2</v>
      </c>
      <c r="B3" s="133" t="s">
        <v>287</v>
      </c>
      <c r="C3" s="41"/>
    </row>
    <row r="4" spans="1:7">
      <c r="A4" s="108">
        <v>3</v>
      </c>
      <c r="B4" s="133"/>
      <c r="C4" s="41"/>
    </row>
    <row r="5" spans="1:7">
      <c r="A5" s="108">
        <v>4</v>
      </c>
      <c r="B5" s="133"/>
      <c r="C5" s="41"/>
    </row>
    <row r="6" spans="1:7">
      <c r="A6" s="108">
        <v>5</v>
      </c>
      <c r="B6" s="133"/>
      <c r="C6" s="41"/>
    </row>
    <row r="7" spans="1:7">
      <c r="A7" s="108">
        <v>6</v>
      </c>
      <c r="B7" s="133"/>
      <c r="C7" s="41"/>
    </row>
    <row r="8" spans="1:7">
      <c r="A8" s="108">
        <v>7</v>
      </c>
      <c r="B8" s="133"/>
      <c r="C8" s="41"/>
    </row>
    <row r="9" spans="1:7">
      <c r="A9" s="108">
        <v>8</v>
      </c>
      <c r="B9" s="133"/>
      <c r="C9" s="41"/>
    </row>
    <row r="10" spans="1:7">
      <c r="A10" s="108">
        <v>9</v>
      </c>
      <c r="B10" s="133"/>
      <c r="C10" s="41"/>
    </row>
    <row r="11" spans="1:7">
      <c r="A11" s="108">
        <v>10</v>
      </c>
      <c r="B11" s="133"/>
      <c r="C11" s="41"/>
    </row>
    <row r="12" spans="1:7">
      <c r="A12" s="108">
        <v>11</v>
      </c>
      <c r="B12" s="133"/>
      <c r="C12" s="41"/>
    </row>
    <row r="13" spans="1:7">
      <c r="A13" s="108">
        <v>12</v>
      </c>
      <c r="B13" s="133"/>
      <c r="C13" s="41"/>
    </row>
    <row r="14" spans="1:7">
      <c r="A14" s="108">
        <v>13</v>
      </c>
      <c r="B14" s="133"/>
      <c r="C14" s="41"/>
    </row>
    <row r="15" spans="1:7">
      <c r="A15" s="108">
        <v>14</v>
      </c>
      <c r="B15" s="133"/>
      <c r="C15" s="41"/>
    </row>
    <row r="16" spans="1:7">
      <c r="A16" s="108">
        <v>15</v>
      </c>
      <c r="B16" s="133"/>
      <c r="C16" s="41"/>
    </row>
    <row r="17" spans="1:3">
      <c r="A17" s="108">
        <v>16</v>
      </c>
      <c r="B17" s="133"/>
      <c r="C17" s="41"/>
    </row>
    <row r="18" spans="1:3">
      <c r="A18" s="108">
        <v>17</v>
      </c>
      <c r="B18" s="133"/>
      <c r="C18" s="41"/>
    </row>
    <row r="19" spans="1:3">
      <c r="A19" s="108">
        <v>18</v>
      </c>
      <c r="B19" s="133"/>
      <c r="C19" s="41"/>
    </row>
    <row r="20" spans="1:3">
      <c r="A20" s="108">
        <v>19</v>
      </c>
      <c r="B20" s="133"/>
      <c r="C20" s="41"/>
    </row>
    <row r="21" spans="1:3">
      <c r="A21" s="108">
        <v>20</v>
      </c>
      <c r="B21" s="133"/>
      <c r="C21" s="41"/>
    </row>
    <row r="22" spans="1:3">
      <c r="A22" s="108">
        <v>21</v>
      </c>
      <c r="B22" s="133"/>
      <c r="C22" s="41"/>
    </row>
    <row r="23" spans="1:3">
      <c r="A23" s="108">
        <v>22</v>
      </c>
      <c r="B23" s="133"/>
      <c r="C23" s="41"/>
    </row>
    <row r="24" spans="1:3">
      <c r="A24" s="108">
        <v>23</v>
      </c>
      <c r="B24" s="133"/>
      <c r="C24" s="41"/>
    </row>
    <row r="25" spans="1:3">
      <c r="A25" s="108">
        <v>24</v>
      </c>
      <c r="B25" s="133"/>
      <c r="C25" s="41"/>
    </row>
    <row r="26" spans="1:3">
      <c r="A26" s="108">
        <v>25</v>
      </c>
      <c r="B26" s="133"/>
      <c r="C26" s="41"/>
    </row>
    <row r="27" spans="1:3">
      <c r="A27" s="108">
        <v>26</v>
      </c>
      <c r="B27" s="133"/>
      <c r="C27" s="41"/>
    </row>
    <row r="28" spans="1:3">
      <c r="A28" s="108">
        <v>27</v>
      </c>
      <c r="B28" s="133"/>
      <c r="C28" s="41"/>
    </row>
    <row r="29" spans="1:3">
      <c r="A29" s="108">
        <v>28</v>
      </c>
      <c r="B29" s="133"/>
      <c r="C29" s="41"/>
    </row>
    <row r="30" spans="1:3">
      <c r="A30" s="108">
        <v>29</v>
      </c>
      <c r="B30" s="133"/>
      <c r="C30" s="41"/>
    </row>
    <row r="31" spans="1:3">
      <c r="A31" s="108">
        <v>30</v>
      </c>
      <c r="B31" s="133"/>
      <c r="C31" s="41"/>
    </row>
  </sheetData>
  <phoneticPr fontId="5"/>
  <pageMargins left="0.7" right="0.7" top="0.75" bottom="0.75"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FF00"/>
  </sheetPr>
  <dimension ref="A1:BK164"/>
  <sheetViews>
    <sheetView zoomScaleNormal="100" workbookViewId="0">
      <pane ySplit="3" topLeftCell="A4" activePane="bottomLeft" state="frozen"/>
      <selection pane="bottomLeft" activeCell="A4" sqref="A4"/>
    </sheetView>
  </sheetViews>
  <sheetFormatPr defaultColWidth="8.5" defaultRowHeight="18"/>
  <cols>
    <col min="2" max="2" width="9.8984375" customWidth="1"/>
    <col min="5" max="5" width="9" customWidth="1"/>
    <col min="14" max="18" width="9.19921875" customWidth="1"/>
  </cols>
  <sheetData>
    <row r="1" spans="1:63" ht="18.600000000000001" thickBot="1">
      <c r="A1" s="372">
        <v>2025</v>
      </c>
      <c r="B1" s="371">
        <v>9</v>
      </c>
      <c r="C1" s="395" t="s">
        <v>1</v>
      </c>
      <c r="D1" s="395"/>
      <c r="E1" s="298" t="s">
        <v>91</v>
      </c>
      <c r="F1" s="382">
        <f>BI2</f>
        <v>0</v>
      </c>
      <c r="G1" s="383"/>
      <c r="H1" s="41"/>
      <c r="I1" s="100"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▶今日の日付へ移動</v>
      </c>
      <c r="J1" s="41"/>
      <c r="K1" s="41"/>
      <c r="L1" s="299" t="s">
        <v>92</v>
      </c>
      <c r="M1" s="300"/>
      <c r="N1" s="101" t="s">
        <v>270</v>
      </c>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97" t="s">
        <v>2</v>
      </c>
      <c r="AZ1" s="41"/>
      <c r="BA1" s="41"/>
      <c r="BB1" s="97" t="s">
        <v>3</v>
      </c>
      <c r="BC1" s="41"/>
      <c r="BD1" s="41"/>
      <c r="BE1" s="97" t="s">
        <v>292</v>
      </c>
      <c r="BF1" s="41"/>
      <c r="BG1" s="41"/>
      <c r="BH1" s="41"/>
      <c r="BI1" s="97" t="s">
        <v>136</v>
      </c>
      <c r="BJ1" s="41"/>
      <c r="BK1" s="41"/>
    </row>
    <row r="2" spans="1:63" ht="18.600000000000001" thickBot="1">
      <c r="A2" s="292" t="s">
        <v>4</v>
      </c>
      <c r="B2" s="293">
        <f>SUM(F6,O6,X6,AG6,AP6,AY6,BH6,F26,O26,X26,AG26,AP26,AY26,BH26,F46,O46,X46,AG46,AP46,AY46,BH46,F66,O66,X66,AG66,AP66,AY66,BH66)</f>
        <v>0</v>
      </c>
      <c r="C2" s="294" t="s">
        <v>4</v>
      </c>
      <c r="D2" s="41"/>
      <c r="E2" s="301">
        <f>A6</f>
        <v>45901</v>
      </c>
      <c r="F2" s="302">
        <f>J6</f>
        <v>45902</v>
      </c>
      <c r="G2" s="302">
        <f>S6</f>
        <v>45903</v>
      </c>
      <c r="H2" s="302">
        <f>AB6</f>
        <v>45904</v>
      </c>
      <c r="I2" s="302">
        <f>AK6</f>
        <v>45905</v>
      </c>
      <c r="J2" s="302">
        <f>AT6</f>
        <v>45906</v>
      </c>
      <c r="K2" s="302">
        <f>BC6</f>
        <v>45907</v>
      </c>
      <c r="L2" s="302">
        <f>A26</f>
        <v>45908</v>
      </c>
      <c r="M2" s="302">
        <f>J26</f>
        <v>45909</v>
      </c>
      <c r="N2" s="302">
        <f>S26</f>
        <v>45910</v>
      </c>
      <c r="O2" s="302">
        <f>AB26</f>
        <v>45911</v>
      </c>
      <c r="P2" s="302">
        <f>AK26</f>
        <v>45912</v>
      </c>
      <c r="Q2" s="302">
        <f>AT26</f>
        <v>45913</v>
      </c>
      <c r="R2" s="302">
        <f>BC26</f>
        <v>45914</v>
      </c>
      <c r="S2" s="302">
        <f>A46</f>
        <v>45915</v>
      </c>
      <c r="T2" s="302">
        <f>J46</f>
        <v>45916</v>
      </c>
      <c r="U2" s="302">
        <f>S46</f>
        <v>45917</v>
      </c>
      <c r="V2" s="302">
        <f>AB46</f>
        <v>45918</v>
      </c>
      <c r="W2" s="302">
        <f>AK46</f>
        <v>45919</v>
      </c>
      <c r="X2" s="302">
        <f>AT46</f>
        <v>45920</v>
      </c>
      <c r="Y2" s="302">
        <f>BC46</f>
        <v>45921</v>
      </c>
      <c r="Z2" s="302">
        <f>A66</f>
        <v>45922</v>
      </c>
      <c r="AA2" s="302">
        <f>J66</f>
        <v>45923</v>
      </c>
      <c r="AB2" s="302">
        <f>S66</f>
        <v>45924</v>
      </c>
      <c r="AC2" s="302">
        <f>AB66</f>
        <v>45925</v>
      </c>
      <c r="AD2" s="302">
        <f>AK66</f>
        <v>45926</v>
      </c>
      <c r="AE2" s="302">
        <f>AT66</f>
        <v>45927</v>
      </c>
      <c r="AF2" s="302">
        <f>BC66</f>
        <v>45928</v>
      </c>
      <c r="AG2" s="302">
        <f>A86</f>
        <v>45929</v>
      </c>
      <c r="AH2" s="302">
        <f>J86</f>
        <v>45930</v>
      </c>
      <c r="AI2" s="303" t="str">
        <f>S86</f>
        <v/>
      </c>
      <c r="AJ2" s="41"/>
      <c r="AK2" s="102" t="s">
        <v>5</v>
      </c>
      <c r="AL2" s="103">
        <f>SUM(H24,Q24,Z24,AI24,AR24,BA24,BJ24,H44,Q44,Z44,AI44,AR44,BA44,BJ44,H64,Q64,Z64,AI64,AR64,BA64,BJ64,H84,Q84,Z84,AI84,AR84,BA84,BJ84,H104,Q104,Z104)</f>
        <v>0</v>
      </c>
      <c r="AM2" s="104" t="s">
        <v>6</v>
      </c>
      <c r="AN2" s="102" t="s">
        <v>7</v>
      </c>
      <c r="AO2" s="288">
        <v>1226</v>
      </c>
      <c r="AP2" s="106" t="s">
        <v>144</v>
      </c>
      <c r="AQ2" s="102">
        <f>B2</f>
        <v>0</v>
      </c>
      <c r="AR2" s="106" t="s">
        <v>145</v>
      </c>
      <c r="AS2" s="106" t="s">
        <v>8</v>
      </c>
      <c r="AT2" s="105">
        <f>AO2*AQ2</f>
        <v>0</v>
      </c>
      <c r="AU2" s="106" t="s">
        <v>6</v>
      </c>
      <c r="AV2" s="107" t="s">
        <v>146</v>
      </c>
      <c r="AW2" s="288"/>
      <c r="AX2" s="106" t="s">
        <v>271</v>
      </c>
      <c r="AY2" s="105">
        <f>(AL2+AT2)-AW2</f>
        <v>0</v>
      </c>
      <c r="AZ2" s="106" t="s">
        <v>6</v>
      </c>
      <c r="BA2" s="106" t="s">
        <v>9</v>
      </c>
      <c r="BB2" s="288"/>
      <c r="BC2" s="106" t="s">
        <v>6</v>
      </c>
      <c r="BD2" s="106" t="s">
        <v>10</v>
      </c>
      <c r="BE2" s="288"/>
      <c r="BF2" s="106" t="s">
        <v>11</v>
      </c>
      <c r="BG2" s="1">
        <f>B1</f>
        <v>9</v>
      </c>
      <c r="BH2" s="106" t="s">
        <v>12</v>
      </c>
      <c r="BI2" s="393">
        <f>SUM(AY2,BB2)</f>
        <v>0</v>
      </c>
      <c r="BJ2" s="394"/>
      <c r="BK2" s="106" t="s">
        <v>13</v>
      </c>
    </row>
    <row r="3" spans="1:63" ht="18.600000000000001" thickBot="1">
      <c r="A3" s="295" t="s">
        <v>14</v>
      </c>
      <c r="B3" s="296">
        <f>COUNTIF(E3:AI3,"&gt;0")</f>
        <v>0</v>
      </c>
      <c r="C3" s="297" t="s">
        <v>15</v>
      </c>
      <c r="D3" s="41"/>
      <c r="E3" s="304" t="str">
        <f>F6</f>
        <v/>
      </c>
      <c r="F3" s="305" t="str">
        <f>O6</f>
        <v/>
      </c>
      <c r="G3" s="305" t="str">
        <f>X6</f>
        <v/>
      </c>
      <c r="H3" s="305" t="str">
        <f>AG6</f>
        <v/>
      </c>
      <c r="I3" s="305" t="str">
        <f>AP6</f>
        <v/>
      </c>
      <c r="J3" s="305" t="str">
        <f>AY6</f>
        <v/>
      </c>
      <c r="K3" s="305" t="str">
        <f>BH6</f>
        <v/>
      </c>
      <c r="L3" s="305" t="str">
        <f>F26</f>
        <v/>
      </c>
      <c r="M3" s="305" t="str">
        <f>O26</f>
        <v/>
      </c>
      <c r="N3" s="305" t="str">
        <f>X26</f>
        <v/>
      </c>
      <c r="O3" s="305" t="str">
        <f>AG26</f>
        <v/>
      </c>
      <c r="P3" s="305" t="str">
        <f>AP26</f>
        <v/>
      </c>
      <c r="Q3" s="305" t="str">
        <f>AY26</f>
        <v/>
      </c>
      <c r="R3" s="305" t="str">
        <f>BH26</f>
        <v/>
      </c>
      <c r="S3" s="305" t="str">
        <f>F46</f>
        <v/>
      </c>
      <c r="T3" s="305" t="str">
        <f>O46</f>
        <v/>
      </c>
      <c r="U3" s="305" t="str">
        <f>X46</f>
        <v/>
      </c>
      <c r="V3" s="305" t="str">
        <f>AG46</f>
        <v/>
      </c>
      <c r="W3" s="305" t="str">
        <f>AP46</f>
        <v/>
      </c>
      <c r="X3" s="305" t="str">
        <f>AY46</f>
        <v/>
      </c>
      <c r="Y3" s="305" t="str">
        <f>BH46</f>
        <v/>
      </c>
      <c r="Z3" s="305" t="str">
        <f>F66</f>
        <v/>
      </c>
      <c r="AA3" s="305" t="str">
        <f>O66</f>
        <v/>
      </c>
      <c r="AB3" s="305" t="str">
        <f>X66</f>
        <v/>
      </c>
      <c r="AC3" s="305" t="str">
        <f>AG66</f>
        <v/>
      </c>
      <c r="AD3" s="305" t="str">
        <f>AP66</f>
        <v/>
      </c>
      <c r="AE3" s="305" t="str">
        <f>AY66</f>
        <v/>
      </c>
      <c r="AF3" s="305" t="str">
        <f>BH66</f>
        <v/>
      </c>
      <c r="AG3" s="305" t="str">
        <f>F86</f>
        <v/>
      </c>
      <c r="AH3" s="305" t="str">
        <f>O86</f>
        <v/>
      </c>
      <c r="AI3" s="306" t="str">
        <f>X86</f>
        <v/>
      </c>
      <c r="AJ3" s="41"/>
      <c r="AK3" s="41"/>
      <c r="AL3" s="41"/>
      <c r="AM3" s="109" t="s">
        <v>55</v>
      </c>
      <c r="AN3" s="110" t="s">
        <v>54</v>
      </c>
      <c r="AO3" s="111">
        <f>売上工数管理!P10</f>
        <v>1226</v>
      </c>
      <c r="AP3" s="106" t="s">
        <v>147</v>
      </c>
      <c r="AQ3" s="110">
        <f>AQ2</f>
        <v>0</v>
      </c>
      <c r="AR3" s="106" t="s">
        <v>145</v>
      </c>
      <c r="AS3" s="106" t="s">
        <v>56</v>
      </c>
      <c r="AT3" s="111">
        <f>AO3*AQ3</f>
        <v>0</v>
      </c>
      <c r="AU3" s="106" t="s">
        <v>6</v>
      </c>
      <c r="AV3" s="109" t="s">
        <v>106</v>
      </c>
      <c r="AW3" s="112" t="str">
        <f>IF(OR(AL2=0,AQ3=0),"", AL2/AQ3)</f>
        <v/>
      </c>
      <c r="AX3" s="106" t="s">
        <v>6</v>
      </c>
      <c r="AY3" s="97" t="s">
        <v>57</v>
      </c>
      <c r="AZ3" s="41"/>
      <c r="BA3" s="41"/>
      <c r="BB3" s="41"/>
      <c r="BC3" s="41"/>
      <c r="BD3" s="41"/>
      <c r="BE3" s="41"/>
      <c r="BF3" s="41"/>
      <c r="BG3" s="41"/>
      <c r="BH3" s="41"/>
      <c r="BI3" s="41"/>
      <c r="BJ3" s="41"/>
      <c r="BK3" s="41"/>
    </row>
    <row r="4" spans="1:63" ht="18.600000000000001" thickBot="1">
      <c r="A4" s="41"/>
      <c r="C4" s="41"/>
      <c r="D4" s="41"/>
      <c r="E4" s="101" t="s">
        <v>267</v>
      </c>
      <c r="F4" s="41"/>
      <c r="G4" s="41"/>
      <c r="H4" s="41"/>
      <c r="I4" s="41"/>
      <c r="J4" s="101" t="s">
        <v>291</v>
      </c>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c r="BA4" s="41"/>
      <c r="BB4" s="41"/>
      <c r="BC4" s="41"/>
      <c r="BD4" s="41"/>
      <c r="BE4" s="41"/>
      <c r="BF4" s="41"/>
      <c r="BG4" s="41"/>
      <c r="BH4" s="41"/>
      <c r="BI4" s="41"/>
      <c r="BJ4" s="41"/>
      <c r="BK4" s="41"/>
    </row>
    <row r="5" spans="1:63">
      <c r="A5" s="390" t="s">
        <v>16</v>
      </c>
      <c r="B5" s="391"/>
      <c r="C5" s="391" t="s">
        <v>17</v>
      </c>
      <c r="D5" s="391"/>
      <c r="E5" s="391" t="s">
        <v>18</v>
      </c>
      <c r="F5" s="392"/>
      <c r="G5" s="41"/>
      <c r="H5" s="41"/>
      <c r="I5" s="41"/>
      <c r="J5" s="390" t="s">
        <v>16</v>
      </c>
      <c r="K5" s="391"/>
      <c r="L5" s="391" t="s">
        <v>17</v>
      </c>
      <c r="M5" s="391"/>
      <c r="N5" s="391" t="s">
        <v>18</v>
      </c>
      <c r="O5" s="392"/>
      <c r="P5" s="41"/>
      <c r="Q5" s="41"/>
      <c r="R5" s="41"/>
      <c r="S5" s="390" t="s">
        <v>16</v>
      </c>
      <c r="T5" s="391"/>
      <c r="U5" s="391" t="s">
        <v>17</v>
      </c>
      <c r="V5" s="391"/>
      <c r="W5" s="391" t="s">
        <v>18</v>
      </c>
      <c r="X5" s="392"/>
      <c r="Y5" s="41"/>
      <c r="Z5" s="41"/>
      <c r="AA5" s="41"/>
      <c r="AB5" s="390" t="s">
        <v>16</v>
      </c>
      <c r="AC5" s="391"/>
      <c r="AD5" s="391" t="s">
        <v>17</v>
      </c>
      <c r="AE5" s="391"/>
      <c r="AF5" s="391" t="s">
        <v>18</v>
      </c>
      <c r="AG5" s="392"/>
      <c r="AH5" s="41"/>
      <c r="AI5" s="41"/>
      <c r="AJ5" s="41"/>
      <c r="AK5" s="390" t="s">
        <v>16</v>
      </c>
      <c r="AL5" s="391"/>
      <c r="AM5" s="391" t="s">
        <v>17</v>
      </c>
      <c r="AN5" s="391"/>
      <c r="AO5" s="391" t="s">
        <v>18</v>
      </c>
      <c r="AP5" s="392"/>
      <c r="AQ5" s="41"/>
      <c r="AR5" s="41"/>
      <c r="AS5" s="41"/>
      <c r="AT5" s="390" t="s">
        <v>16</v>
      </c>
      <c r="AU5" s="391"/>
      <c r="AV5" s="391" t="s">
        <v>17</v>
      </c>
      <c r="AW5" s="391"/>
      <c r="AX5" s="391" t="s">
        <v>18</v>
      </c>
      <c r="AY5" s="392"/>
      <c r="AZ5" s="41"/>
      <c r="BA5" s="41"/>
      <c r="BB5" s="41"/>
      <c r="BC5" s="390" t="s">
        <v>16</v>
      </c>
      <c r="BD5" s="391"/>
      <c r="BE5" s="391" t="s">
        <v>17</v>
      </c>
      <c r="BF5" s="391"/>
      <c r="BG5" s="391" t="s">
        <v>18</v>
      </c>
      <c r="BH5" s="392"/>
      <c r="BI5" s="41"/>
      <c r="BJ5" s="41"/>
      <c r="BK5" s="41"/>
    </row>
    <row r="6" spans="1:63" ht="18.600000000000001" thickBot="1">
      <c r="A6" s="387">
        <f>DATE(A1,B1,1)</f>
        <v>45901</v>
      </c>
      <c r="B6" s="388"/>
      <c r="C6" s="289"/>
      <c r="D6" s="289"/>
      <c r="E6" s="290" t="str">
        <f>IF(C6="","",D6-C6-H6)</f>
        <v/>
      </c>
      <c r="F6" s="291" t="str">
        <f>IF(AND(E6=""),"",SUM(E9:E23))</f>
        <v/>
      </c>
      <c r="G6" s="114" t="s">
        <v>19</v>
      </c>
      <c r="H6" s="287">
        <v>4.1666666666666699E-2</v>
      </c>
      <c r="I6" s="41"/>
      <c r="J6" s="387">
        <f>A6+1</f>
        <v>45902</v>
      </c>
      <c r="K6" s="388"/>
      <c r="L6" s="290"/>
      <c r="M6" s="290"/>
      <c r="N6" s="290" t="str">
        <f>IF(L6="","",M6-L6-Q6)</f>
        <v/>
      </c>
      <c r="O6" s="291" t="str">
        <f>IF(AND(N6=""),"",SUM(N9:N23))</f>
        <v/>
      </c>
      <c r="P6" s="114" t="s">
        <v>19</v>
      </c>
      <c r="Q6" s="287">
        <v>4.1666666666666699E-2</v>
      </c>
      <c r="R6" s="41"/>
      <c r="S6" s="387">
        <f>J6+1</f>
        <v>45903</v>
      </c>
      <c r="T6" s="388"/>
      <c r="U6" s="289"/>
      <c r="V6" s="289"/>
      <c r="W6" s="290" t="str">
        <f>IF(U6="","",V6-U6-Z6)</f>
        <v/>
      </c>
      <c r="X6" s="291" t="str">
        <f>IF(AND(W6=""),"",SUM(W9:W23))</f>
        <v/>
      </c>
      <c r="Y6" s="114" t="s">
        <v>19</v>
      </c>
      <c r="Z6" s="287">
        <v>4.1666666666666699E-2</v>
      </c>
      <c r="AA6" s="41"/>
      <c r="AB6" s="387">
        <f>S6+1</f>
        <v>45904</v>
      </c>
      <c r="AC6" s="388"/>
      <c r="AD6" s="289"/>
      <c r="AE6" s="289"/>
      <c r="AF6" s="290" t="str">
        <f>IF(AD6="","",AE6-AD6-AI6)</f>
        <v/>
      </c>
      <c r="AG6" s="291" t="str">
        <f>IF(AND(AF6=""),"",SUM(AF9:AF23))</f>
        <v/>
      </c>
      <c r="AH6" s="114" t="s">
        <v>19</v>
      </c>
      <c r="AI6" s="287">
        <v>4.1666666666666699E-2</v>
      </c>
      <c r="AJ6" s="41"/>
      <c r="AK6" s="387">
        <f>AB6+1</f>
        <v>45905</v>
      </c>
      <c r="AL6" s="388"/>
      <c r="AM6" s="289"/>
      <c r="AN6" s="289"/>
      <c r="AO6" s="290" t="str">
        <f>IF(AM6="","",AN6-AM6-AR6)</f>
        <v/>
      </c>
      <c r="AP6" s="291" t="str">
        <f>IF(AND(AO6=""),"",SUM(AO9:AO23))</f>
        <v/>
      </c>
      <c r="AQ6" s="114" t="s">
        <v>19</v>
      </c>
      <c r="AR6" s="287">
        <v>4.1666666666666699E-2</v>
      </c>
      <c r="AS6" s="41"/>
      <c r="AT6" s="387">
        <f>AK6+1</f>
        <v>45906</v>
      </c>
      <c r="AU6" s="388"/>
      <c r="AV6" s="289"/>
      <c r="AW6" s="289"/>
      <c r="AX6" s="290" t="str">
        <f>IF(AV6="","",AW6-AV6-BA6)</f>
        <v/>
      </c>
      <c r="AY6" s="291" t="str">
        <f>IF(AND(AX6=""),"",SUM(AX9:AX23))</f>
        <v/>
      </c>
      <c r="AZ6" s="114" t="s">
        <v>19</v>
      </c>
      <c r="BA6" s="287">
        <v>4.1666666666666699E-2</v>
      </c>
      <c r="BB6" s="41"/>
      <c r="BC6" s="387">
        <f>AT6+1</f>
        <v>45907</v>
      </c>
      <c r="BD6" s="388"/>
      <c r="BE6" s="289"/>
      <c r="BF6" s="289"/>
      <c r="BG6" s="290" t="str">
        <f>IF(BE6="","",BF6-BE6-BJ6)</f>
        <v/>
      </c>
      <c r="BH6" s="291" t="str">
        <f>IF(AND(BG6=""),"",SUM(BG9:BG23))</f>
        <v/>
      </c>
      <c r="BI6" s="114" t="s">
        <v>19</v>
      </c>
      <c r="BJ6" s="287">
        <v>4.1666666666666699E-2</v>
      </c>
      <c r="BK6" s="41"/>
    </row>
    <row r="7" spans="1:63" ht="18.600000000000001" thickBot="1">
      <c r="A7" s="41" t="s">
        <v>38</v>
      </c>
      <c r="B7" s="115"/>
      <c r="C7" s="115"/>
      <c r="D7" s="115"/>
      <c r="E7" s="116"/>
      <c r="F7" s="117"/>
      <c r="G7" s="117"/>
      <c r="H7" s="185"/>
      <c r="I7" s="117"/>
      <c r="J7" s="41" t="s">
        <v>38</v>
      </c>
      <c r="K7" s="115"/>
      <c r="L7" s="115"/>
      <c r="M7" s="115"/>
      <c r="N7" s="116"/>
      <c r="O7" s="117"/>
      <c r="P7" s="117"/>
      <c r="Q7" s="185"/>
      <c r="R7" s="41"/>
      <c r="S7" s="41" t="s">
        <v>38</v>
      </c>
      <c r="T7" s="115"/>
      <c r="U7" s="115"/>
      <c r="V7" s="115"/>
      <c r="W7" s="116"/>
      <c r="X7" s="117"/>
      <c r="Y7" s="117"/>
      <c r="Z7" s="185"/>
      <c r="AA7" s="41"/>
      <c r="AB7" s="41" t="s">
        <v>38</v>
      </c>
      <c r="AC7" s="115"/>
      <c r="AD7" s="115"/>
      <c r="AE7" s="115"/>
      <c r="AF7" s="116"/>
      <c r="AG7" s="117"/>
      <c r="AH7" s="117"/>
      <c r="AI7" s="185"/>
      <c r="AJ7" s="41"/>
      <c r="AK7" s="41" t="s">
        <v>38</v>
      </c>
      <c r="AL7" s="41"/>
      <c r="AM7" s="115"/>
      <c r="AN7" s="115"/>
      <c r="AO7" s="116"/>
      <c r="AP7" s="117"/>
      <c r="AQ7" s="117"/>
      <c r="AR7" s="185"/>
      <c r="AS7" s="41"/>
      <c r="AT7" s="41" t="s">
        <v>38</v>
      </c>
      <c r="AU7" s="115"/>
      <c r="AV7" s="115"/>
      <c r="AW7" s="115"/>
      <c r="AX7" s="116"/>
      <c r="AY7" s="117"/>
      <c r="AZ7" s="117"/>
      <c r="BA7" s="185"/>
      <c r="BB7" s="41"/>
      <c r="BC7" s="41" t="s">
        <v>38</v>
      </c>
      <c r="BD7" s="115"/>
      <c r="BE7" s="115"/>
      <c r="BF7" s="115"/>
      <c r="BG7" s="116"/>
      <c r="BH7" s="117"/>
      <c r="BI7" s="117"/>
      <c r="BJ7" s="185"/>
      <c r="BK7" s="41"/>
    </row>
    <row r="8" spans="1:63">
      <c r="A8" s="308" t="s">
        <v>20</v>
      </c>
      <c r="B8" s="389" t="s">
        <v>21</v>
      </c>
      <c r="C8" s="389"/>
      <c r="D8" s="389"/>
      <c r="E8" s="309" t="s">
        <v>22</v>
      </c>
      <c r="F8" s="309" t="s">
        <v>0</v>
      </c>
      <c r="G8" s="309" t="s">
        <v>39</v>
      </c>
      <c r="H8" s="310" t="s">
        <v>23</v>
      </c>
      <c r="I8" s="311" t="s">
        <v>24</v>
      </c>
      <c r="J8" s="308" t="s">
        <v>20</v>
      </c>
      <c r="K8" s="389" t="s">
        <v>21</v>
      </c>
      <c r="L8" s="389"/>
      <c r="M8" s="389"/>
      <c r="N8" s="309" t="s">
        <v>22</v>
      </c>
      <c r="O8" s="309" t="s">
        <v>0</v>
      </c>
      <c r="P8" s="309" t="s">
        <v>39</v>
      </c>
      <c r="Q8" s="310" t="s">
        <v>23</v>
      </c>
      <c r="R8" s="311" t="s">
        <v>24</v>
      </c>
      <c r="S8" s="308" t="s">
        <v>20</v>
      </c>
      <c r="T8" s="389" t="s">
        <v>21</v>
      </c>
      <c r="U8" s="389"/>
      <c r="V8" s="389"/>
      <c r="W8" s="309" t="s">
        <v>22</v>
      </c>
      <c r="X8" s="309" t="s">
        <v>0</v>
      </c>
      <c r="Y8" s="309" t="s">
        <v>39</v>
      </c>
      <c r="Z8" s="310" t="s">
        <v>23</v>
      </c>
      <c r="AA8" s="311" t="s">
        <v>24</v>
      </c>
      <c r="AB8" s="308" t="s">
        <v>20</v>
      </c>
      <c r="AC8" s="389" t="s">
        <v>21</v>
      </c>
      <c r="AD8" s="389"/>
      <c r="AE8" s="389"/>
      <c r="AF8" s="309" t="s">
        <v>22</v>
      </c>
      <c r="AG8" s="309" t="s">
        <v>0</v>
      </c>
      <c r="AH8" s="309" t="s">
        <v>39</v>
      </c>
      <c r="AI8" s="310" t="s">
        <v>23</v>
      </c>
      <c r="AJ8" s="311" t="s">
        <v>24</v>
      </c>
      <c r="AK8" s="308" t="s">
        <v>20</v>
      </c>
      <c r="AL8" s="389" t="s">
        <v>21</v>
      </c>
      <c r="AM8" s="389"/>
      <c r="AN8" s="389"/>
      <c r="AO8" s="309" t="s">
        <v>22</v>
      </c>
      <c r="AP8" s="309" t="s">
        <v>0</v>
      </c>
      <c r="AQ8" s="309" t="s">
        <v>39</v>
      </c>
      <c r="AR8" s="310" t="s">
        <v>23</v>
      </c>
      <c r="AS8" s="311" t="s">
        <v>24</v>
      </c>
      <c r="AT8" s="308" t="s">
        <v>20</v>
      </c>
      <c r="AU8" s="389" t="s">
        <v>21</v>
      </c>
      <c r="AV8" s="389"/>
      <c r="AW8" s="389"/>
      <c r="AX8" s="309" t="s">
        <v>22</v>
      </c>
      <c r="AY8" s="309" t="s">
        <v>0</v>
      </c>
      <c r="AZ8" s="309" t="s">
        <v>39</v>
      </c>
      <c r="BA8" s="310" t="s">
        <v>23</v>
      </c>
      <c r="BB8" s="311" t="s">
        <v>24</v>
      </c>
      <c r="BC8" s="308" t="s">
        <v>20</v>
      </c>
      <c r="BD8" s="389" t="s">
        <v>21</v>
      </c>
      <c r="BE8" s="389"/>
      <c r="BF8" s="389"/>
      <c r="BG8" s="309" t="s">
        <v>22</v>
      </c>
      <c r="BH8" s="309" t="s">
        <v>0</v>
      </c>
      <c r="BI8" s="309" t="s">
        <v>39</v>
      </c>
      <c r="BJ8" s="310" t="s">
        <v>23</v>
      </c>
      <c r="BK8" s="311" t="s">
        <v>24</v>
      </c>
    </row>
    <row r="9" spans="1:63">
      <c r="A9" s="312"/>
      <c r="B9" s="385" t="str">
        <f>IF(A9="","",VLOOKUP(A9,案件コード!$A$1:$B$31,2,FALSE()))</f>
        <v/>
      </c>
      <c r="C9" s="385"/>
      <c r="D9" s="385"/>
      <c r="E9" s="113" t="str">
        <f t="shared" ref="E9:E23" si="0">IF(AND(F9="",G9=""),"",SUM(F9:G9))</f>
        <v/>
      </c>
      <c r="F9" s="285"/>
      <c r="G9" s="284"/>
      <c r="H9" s="286"/>
      <c r="I9" s="313"/>
      <c r="J9" s="312"/>
      <c r="K9" s="385" t="str">
        <f>IF(J9="","",VLOOKUP(J9,案件コード!$A$1:$B$31,2,FALSE()))</f>
        <v/>
      </c>
      <c r="L9" s="385"/>
      <c r="M9" s="385"/>
      <c r="N9" s="113" t="str">
        <f t="shared" ref="N9:N23" si="1">IF(AND(O9="",P9=""),"",SUM(O9:P9))</f>
        <v/>
      </c>
      <c r="O9" s="285"/>
      <c r="P9" s="284"/>
      <c r="Q9" s="286"/>
      <c r="R9" s="313"/>
      <c r="S9" s="312"/>
      <c r="T9" s="385" t="str">
        <f>IF(S9="","",VLOOKUP(S9,案件コード!$A$1:$B$31,2,FALSE()))</f>
        <v/>
      </c>
      <c r="U9" s="385"/>
      <c r="V9" s="385"/>
      <c r="W9" s="113" t="str">
        <f t="shared" ref="W9:W23" si="2">IF(AND(X9="",Y9=""),"",SUM(X9:Y9))</f>
        <v/>
      </c>
      <c r="X9" s="285"/>
      <c r="Y9" s="284"/>
      <c r="Z9" s="286"/>
      <c r="AA9" s="321"/>
      <c r="AB9" s="312"/>
      <c r="AC9" s="385" t="str">
        <f>IF(AB9="","",VLOOKUP(AB9,案件コード!$A$1:$B$31,2,FALSE()))</f>
        <v/>
      </c>
      <c r="AD9" s="385"/>
      <c r="AE9" s="385"/>
      <c r="AF9" s="113" t="str">
        <f t="shared" ref="AF9:AF23" si="3">IF(AND(AG9="",AH9=""),"",SUM(AG9:AH9))</f>
        <v/>
      </c>
      <c r="AG9" s="285"/>
      <c r="AH9" s="284"/>
      <c r="AI9" s="286"/>
      <c r="AJ9" s="321"/>
      <c r="AK9" s="312"/>
      <c r="AL9" s="385" t="str">
        <f>IF(AK9="","",VLOOKUP(AK9,案件コード!$A$1:$B$31,2,FALSE()))</f>
        <v/>
      </c>
      <c r="AM9" s="385"/>
      <c r="AN9" s="385"/>
      <c r="AO9" s="113" t="str">
        <f t="shared" ref="AO9:AO23" si="4">IF(AND(AP9="",AQ9=""),"",SUM(AP9:AQ9))</f>
        <v/>
      </c>
      <c r="AP9" s="285"/>
      <c r="AQ9" s="284"/>
      <c r="AR9" s="286"/>
      <c r="AS9" s="321"/>
      <c r="AT9" s="312"/>
      <c r="AU9" s="385" t="str">
        <f>IF(AT9="","",VLOOKUP(AT9,案件コード!$A$1:$B$31,2,FALSE()))</f>
        <v/>
      </c>
      <c r="AV9" s="385"/>
      <c r="AW9" s="385"/>
      <c r="AX9" s="113" t="str">
        <f t="shared" ref="AX9:AX23" si="5">IF(AND(AY9="",AZ9=""),"",SUM(AY9:AZ9))</f>
        <v/>
      </c>
      <c r="AY9" s="285"/>
      <c r="AZ9" s="284"/>
      <c r="BA9" s="286"/>
      <c r="BB9" s="321"/>
      <c r="BC9" s="312"/>
      <c r="BD9" s="385" t="str">
        <f>IF(BC9="","",VLOOKUP(BC9,案件コード!$A$1:$B$31,2,FALSE()))</f>
        <v/>
      </c>
      <c r="BE9" s="385"/>
      <c r="BF9" s="385"/>
      <c r="BG9" s="113" t="str">
        <f t="shared" ref="BG9:BG23" si="6">IF(AND(BH9="",BI9=""),"",SUM(BH9:BI9))</f>
        <v/>
      </c>
      <c r="BH9" s="285"/>
      <c r="BI9" s="284"/>
      <c r="BJ9" s="286"/>
      <c r="BK9" s="321"/>
    </row>
    <row r="10" spans="1:63">
      <c r="A10" s="312"/>
      <c r="B10" s="385" t="str">
        <f>IF(A10="","",VLOOKUP(A10,案件コード!$A$1:$B$31,2,FALSE()))</f>
        <v/>
      </c>
      <c r="C10" s="385"/>
      <c r="D10" s="385"/>
      <c r="E10" s="113" t="str">
        <f t="shared" si="0"/>
        <v/>
      </c>
      <c r="F10" s="285"/>
      <c r="G10" s="284"/>
      <c r="H10" s="286"/>
      <c r="I10" s="314"/>
      <c r="J10" s="312"/>
      <c r="K10" s="385" t="str">
        <f>IF(J10="","",VLOOKUP(J10,案件コード!$A$1:$B$31,2,FALSE()))</f>
        <v/>
      </c>
      <c r="L10" s="385"/>
      <c r="M10" s="385"/>
      <c r="N10" s="113" t="str">
        <f t="shared" si="1"/>
        <v/>
      </c>
      <c r="O10" s="285"/>
      <c r="P10" s="284"/>
      <c r="Q10" s="286"/>
      <c r="R10" s="314"/>
      <c r="S10" s="312"/>
      <c r="T10" s="385" t="str">
        <f>IF(S10="","",VLOOKUP(S10,案件コード!$A$1:$B$31,2,FALSE()))</f>
        <v/>
      </c>
      <c r="U10" s="385"/>
      <c r="V10" s="385"/>
      <c r="W10" s="113" t="str">
        <f t="shared" si="2"/>
        <v/>
      </c>
      <c r="X10" s="285"/>
      <c r="Y10" s="284"/>
      <c r="Z10" s="286"/>
      <c r="AA10" s="322"/>
      <c r="AB10" s="312"/>
      <c r="AC10" s="385" t="str">
        <f>IF(AB10="","",VLOOKUP(AB10,案件コード!$A$1:$B$31,2,FALSE()))</f>
        <v/>
      </c>
      <c r="AD10" s="385"/>
      <c r="AE10" s="385"/>
      <c r="AF10" s="113" t="str">
        <f t="shared" si="3"/>
        <v/>
      </c>
      <c r="AG10" s="285"/>
      <c r="AH10" s="284"/>
      <c r="AI10" s="286"/>
      <c r="AJ10" s="322"/>
      <c r="AK10" s="312"/>
      <c r="AL10" s="385" t="str">
        <f>IF(AK10="","",VLOOKUP(AK10,案件コード!$A$1:$B$31,2,FALSE()))</f>
        <v/>
      </c>
      <c r="AM10" s="385"/>
      <c r="AN10" s="385"/>
      <c r="AO10" s="113" t="str">
        <f t="shared" si="4"/>
        <v/>
      </c>
      <c r="AP10" s="285"/>
      <c r="AQ10" s="284"/>
      <c r="AR10" s="286"/>
      <c r="AS10" s="322"/>
      <c r="AT10" s="312"/>
      <c r="AU10" s="385" t="str">
        <f>IF(AT10="","",VLOOKUP(AT10,案件コード!$A$1:$B$31,2,FALSE()))</f>
        <v/>
      </c>
      <c r="AV10" s="385"/>
      <c r="AW10" s="385"/>
      <c r="AX10" s="113" t="str">
        <f t="shared" si="5"/>
        <v/>
      </c>
      <c r="AY10" s="285"/>
      <c r="AZ10" s="284"/>
      <c r="BA10" s="286"/>
      <c r="BB10" s="322"/>
      <c r="BC10" s="312"/>
      <c r="BD10" s="385" t="str">
        <f>IF(BC10="","",VLOOKUP(BC10,案件コード!$A$1:$B$31,2,FALSE()))</f>
        <v/>
      </c>
      <c r="BE10" s="385"/>
      <c r="BF10" s="385"/>
      <c r="BG10" s="113" t="str">
        <f t="shared" si="6"/>
        <v/>
      </c>
      <c r="BH10" s="285"/>
      <c r="BI10" s="284"/>
      <c r="BJ10" s="286"/>
      <c r="BK10" s="322"/>
    </row>
    <row r="11" spans="1:63">
      <c r="A11" s="312"/>
      <c r="B11" s="385" t="str">
        <f>IF(A11="","",VLOOKUP(A11,案件コード!$A$1:$B$31,2,FALSE()))</f>
        <v/>
      </c>
      <c r="C11" s="385"/>
      <c r="D11" s="385"/>
      <c r="E11" s="113" t="str">
        <f t="shared" si="0"/>
        <v/>
      </c>
      <c r="F11" s="285"/>
      <c r="G11" s="284"/>
      <c r="H11" s="286"/>
      <c r="I11" s="314"/>
      <c r="J11" s="312"/>
      <c r="K11" s="385" t="str">
        <f>IF(J11="","",VLOOKUP(J11,案件コード!$A$1:$B$31,2,FALSE()))</f>
        <v/>
      </c>
      <c r="L11" s="385"/>
      <c r="M11" s="385"/>
      <c r="N11" s="113" t="str">
        <f t="shared" si="1"/>
        <v/>
      </c>
      <c r="O11" s="285"/>
      <c r="P11" s="284"/>
      <c r="Q11" s="286"/>
      <c r="R11" s="314"/>
      <c r="S11" s="312"/>
      <c r="T11" s="385" t="str">
        <f>IF(S11="","",VLOOKUP(S11,案件コード!$A$1:$B$31,2,FALSE()))</f>
        <v/>
      </c>
      <c r="U11" s="385"/>
      <c r="V11" s="385"/>
      <c r="W11" s="113" t="str">
        <f t="shared" si="2"/>
        <v/>
      </c>
      <c r="X11" s="285"/>
      <c r="Y11" s="284"/>
      <c r="Z11" s="286"/>
      <c r="AA11" s="322"/>
      <c r="AB11" s="312"/>
      <c r="AC11" s="385" t="str">
        <f>IF(AB11="","",VLOOKUP(AB11,案件コード!$A$1:$B$31,2,FALSE()))</f>
        <v/>
      </c>
      <c r="AD11" s="385"/>
      <c r="AE11" s="385"/>
      <c r="AF11" s="113" t="str">
        <f t="shared" si="3"/>
        <v/>
      </c>
      <c r="AG11" s="285"/>
      <c r="AH11" s="284"/>
      <c r="AI11" s="286"/>
      <c r="AJ11" s="322"/>
      <c r="AK11" s="312"/>
      <c r="AL11" s="385" t="str">
        <f>IF(AK11="","",VLOOKUP(AK11,案件コード!$A$1:$B$31,2,FALSE()))</f>
        <v/>
      </c>
      <c r="AM11" s="385"/>
      <c r="AN11" s="385"/>
      <c r="AO11" s="113" t="str">
        <f t="shared" si="4"/>
        <v/>
      </c>
      <c r="AP11" s="285"/>
      <c r="AQ11" s="284"/>
      <c r="AR11" s="286"/>
      <c r="AS11" s="322"/>
      <c r="AT11" s="312"/>
      <c r="AU11" s="385" t="str">
        <f>IF(AT11="","",VLOOKUP(AT11,案件コード!$A$1:$B$31,2,FALSE()))</f>
        <v/>
      </c>
      <c r="AV11" s="385"/>
      <c r="AW11" s="385"/>
      <c r="AX11" s="113" t="str">
        <f t="shared" si="5"/>
        <v/>
      </c>
      <c r="AY11" s="285"/>
      <c r="AZ11" s="284"/>
      <c r="BA11" s="286"/>
      <c r="BB11" s="322"/>
      <c r="BC11" s="312"/>
      <c r="BD11" s="385" t="str">
        <f>IF(BC11="","",VLOOKUP(BC11,案件コード!$A$1:$B$31,2,FALSE()))</f>
        <v/>
      </c>
      <c r="BE11" s="385"/>
      <c r="BF11" s="385"/>
      <c r="BG11" s="113" t="str">
        <f t="shared" si="6"/>
        <v/>
      </c>
      <c r="BH11" s="285"/>
      <c r="BI11" s="284"/>
      <c r="BJ11" s="286"/>
      <c r="BK11" s="322"/>
    </row>
    <row r="12" spans="1:63">
      <c r="A12" s="312"/>
      <c r="B12" s="385" t="str">
        <f>IF(A12="","",VLOOKUP(A12,案件コード!$A$1:$B$31,2,FALSE()))</f>
        <v/>
      </c>
      <c r="C12" s="385"/>
      <c r="D12" s="385"/>
      <c r="E12" s="113" t="str">
        <f t="shared" si="0"/>
        <v/>
      </c>
      <c r="F12" s="285"/>
      <c r="G12" s="284"/>
      <c r="H12" s="286"/>
      <c r="I12" s="314"/>
      <c r="J12" s="312"/>
      <c r="K12" s="385" t="str">
        <f>IF(J12="","",VLOOKUP(J12,案件コード!$A$1:$B$31,2,FALSE()))</f>
        <v/>
      </c>
      <c r="L12" s="385"/>
      <c r="M12" s="385"/>
      <c r="N12" s="113" t="str">
        <f t="shared" si="1"/>
        <v/>
      </c>
      <c r="O12" s="285"/>
      <c r="P12" s="284"/>
      <c r="Q12" s="286"/>
      <c r="R12" s="314"/>
      <c r="S12" s="312"/>
      <c r="T12" s="385" t="str">
        <f>IF(S12="","",VLOOKUP(S12,案件コード!$A$1:$B$31,2,FALSE()))</f>
        <v/>
      </c>
      <c r="U12" s="385"/>
      <c r="V12" s="385"/>
      <c r="W12" s="113" t="str">
        <f t="shared" si="2"/>
        <v/>
      </c>
      <c r="X12" s="285"/>
      <c r="Y12" s="284"/>
      <c r="Z12" s="286"/>
      <c r="AA12" s="322"/>
      <c r="AB12" s="312"/>
      <c r="AC12" s="385" t="str">
        <f>IF(AB12="","",VLOOKUP(AB12,案件コード!$A$1:$B$31,2,FALSE()))</f>
        <v/>
      </c>
      <c r="AD12" s="385"/>
      <c r="AE12" s="385"/>
      <c r="AF12" s="113" t="str">
        <f t="shared" si="3"/>
        <v/>
      </c>
      <c r="AG12" s="285"/>
      <c r="AH12" s="284"/>
      <c r="AI12" s="286"/>
      <c r="AJ12" s="322"/>
      <c r="AK12" s="312"/>
      <c r="AL12" s="385" t="str">
        <f>IF(AK12="","",VLOOKUP(AK12,案件コード!$A$1:$B$31,2,FALSE()))</f>
        <v/>
      </c>
      <c r="AM12" s="385"/>
      <c r="AN12" s="385"/>
      <c r="AO12" s="113" t="str">
        <f t="shared" si="4"/>
        <v/>
      </c>
      <c r="AP12" s="285"/>
      <c r="AQ12" s="284"/>
      <c r="AR12" s="286"/>
      <c r="AS12" s="322"/>
      <c r="AT12" s="312"/>
      <c r="AU12" s="385" t="str">
        <f>IF(AT12="","",VLOOKUP(AT12,案件コード!$A$1:$B$31,2,FALSE()))</f>
        <v/>
      </c>
      <c r="AV12" s="385"/>
      <c r="AW12" s="385"/>
      <c r="AX12" s="113" t="str">
        <f t="shared" si="5"/>
        <v/>
      </c>
      <c r="AY12" s="285"/>
      <c r="AZ12" s="284"/>
      <c r="BA12" s="286"/>
      <c r="BB12" s="322"/>
      <c r="BC12" s="312"/>
      <c r="BD12" s="385" t="str">
        <f>IF(BC12="","",VLOOKUP(BC12,案件コード!$A$1:$B$31,2,FALSE()))</f>
        <v/>
      </c>
      <c r="BE12" s="385"/>
      <c r="BF12" s="385"/>
      <c r="BG12" s="113" t="str">
        <f t="shared" si="6"/>
        <v/>
      </c>
      <c r="BH12" s="285"/>
      <c r="BI12" s="284"/>
      <c r="BJ12" s="286"/>
      <c r="BK12" s="322"/>
    </row>
    <row r="13" spans="1:63">
      <c r="A13" s="312"/>
      <c r="B13" s="385" t="str">
        <f>IF(A13="","",VLOOKUP(A13,案件コード!$A$1:$B$31,2,FALSE()))</f>
        <v/>
      </c>
      <c r="C13" s="385"/>
      <c r="D13" s="385"/>
      <c r="E13" s="113" t="str">
        <f t="shared" si="0"/>
        <v/>
      </c>
      <c r="F13" s="285"/>
      <c r="G13" s="284"/>
      <c r="H13" s="286"/>
      <c r="I13" s="314"/>
      <c r="J13" s="312"/>
      <c r="K13" s="385" t="str">
        <f>IF(J13="","",VLOOKUP(J13,案件コード!$A$1:$B$31,2,FALSE()))</f>
        <v/>
      </c>
      <c r="L13" s="385"/>
      <c r="M13" s="385"/>
      <c r="N13" s="113" t="str">
        <f t="shared" si="1"/>
        <v/>
      </c>
      <c r="O13" s="285"/>
      <c r="P13" s="284"/>
      <c r="Q13" s="286"/>
      <c r="R13" s="314"/>
      <c r="S13" s="312"/>
      <c r="T13" s="385" t="str">
        <f>IF(S13="","",VLOOKUP(S13,案件コード!$A$1:$B$31,2,FALSE()))</f>
        <v/>
      </c>
      <c r="U13" s="385"/>
      <c r="V13" s="385"/>
      <c r="W13" s="113" t="str">
        <f t="shared" si="2"/>
        <v/>
      </c>
      <c r="X13" s="285"/>
      <c r="Y13" s="284"/>
      <c r="Z13" s="286"/>
      <c r="AA13" s="322"/>
      <c r="AB13" s="312"/>
      <c r="AC13" s="385" t="str">
        <f>IF(AB13="","",VLOOKUP(AB13,案件コード!$A$1:$B$31,2,FALSE()))</f>
        <v/>
      </c>
      <c r="AD13" s="385"/>
      <c r="AE13" s="385"/>
      <c r="AF13" s="113" t="str">
        <f t="shared" si="3"/>
        <v/>
      </c>
      <c r="AG13" s="285"/>
      <c r="AH13" s="284"/>
      <c r="AI13" s="286"/>
      <c r="AJ13" s="322"/>
      <c r="AK13" s="312"/>
      <c r="AL13" s="385" t="str">
        <f>IF(AK13="","",VLOOKUP(AK13,案件コード!$A$1:$B$31,2,FALSE()))</f>
        <v/>
      </c>
      <c r="AM13" s="385"/>
      <c r="AN13" s="385"/>
      <c r="AO13" s="113" t="str">
        <f t="shared" si="4"/>
        <v/>
      </c>
      <c r="AP13" s="285"/>
      <c r="AQ13" s="284"/>
      <c r="AR13" s="286"/>
      <c r="AS13" s="322"/>
      <c r="AT13" s="312"/>
      <c r="AU13" s="385" t="str">
        <f>IF(AT13="","",VLOOKUP(AT13,案件コード!$A$1:$B$31,2,FALSE()))</f>
        <v/>
      </c>
      <c r="AV13" s="385"/>
      <c r="AW13" s="385"/>
      <c r="AX13" s="113" t="str">
        <f t="shared" si="5"/>
        <v/>
      </c>
      <c r="AY13" s="285"/>
      <c r="AZ13" s="284"/>
      <c r="BA13" s="286"/>
      <c r="BB13" s="322"/>
      <c r="BC13" s="312"/>
      <c r="BD13" s="385" t="str">
        <f>IF(BC13="","",VLOOKUP(BC13,案件コード!$A$1:$B$31,2,FALSE()))</f>
        <v/>
      </c>
      <c r="BE13" s="385"/>
      <c r="BF13" s="385"/>
      <c r="BG13" s="113" t="str">
        <f t="shared" si="6"/>
        <v/>
      </c>
      <c r="BH13" s="285"/>
      <c r="BI13" s="284"/>
      <c r="BJ13" s="286"/>
      <c r="BK13" s="322"/>
    </row>
    <row r="14" spans="1:63">
      <c r="A14" s="312"/>
      <c r="B14" s="385" t="str">
        <f>IF(A14="","",VLOOKUP(A14,案件コード!$A$1:$B$31,2,FALSE()))</f>
        <v/>
      </c>
      <c r="C14" s="385"/>
      <c r="D14" s="385"/>
      <c r="E14" s="113" t="str">
        <f t="shared" si="0"/>
        <v/>
      </c>
      <c r="F14" s="285"/>
      <c r="G14" s="284"/>
      <c r="H14" s="286"/>
      <c r="I14" s="314"/>
      <c r="J14" s="312"/>
      <c r="K14" s="385" t="str">
        <f>IF(J14="","",VLOOKUP(J14,案件コード!$A$1:$B$31,2,FALSE()))</f>
        <v/>
      </c>
      <c r="L14" s="385"/>
      <c r="M14" s="385"/>
      <c r="N14" s="113" t="str">
        <f t="shared" si="1"/>
        <v/>
      </c>
      <c r="O14" s="285"/>
      <c r="P14" s="284"/>
      <c r="Q14" s="286"/>
      <c r="R14" s="314"/>
      <c r="S14" s="312"/>
      <c r="T14" s="385" t="str">
        <f>IF(S14="","",VLOOKUP(S14,案件コード!$A$1:$B$31,2,FALSE()))</f>
        <v/>
      </c>
      <c r="U14" s="385"/>
      <c r="V14" s="385"/>
      <c r="W14" s="113" t="str">
        <f t="shared" si="2"/>
        <v/>
      </c>
      <c r="X14" s="285"/>
      <c r="Y14" s="284"/>
      <c r="Z14" s="286"/>
      <c r="AA14" s="322"/>
      <c r="AB14" s="312"/>
      <c r="AC14" s="385" t="str">
        <f>IF(AB14="","",VLOOKUP(AB14,案件コード!$A$1:$B$31,2,FALSE()))</f>
        <v/>
      </c>
      <c r="AD14" s="385"/>
      <c r="AE14" s="385"/>
      <c r="AF14" s="113" t="str">
        <f t="shared" si="3"/>
        <v/>
      </c>
      <c r="AG14" s="285"/>
      <c r="AH14" s="284"/>
      <c r="AI14" s="286"/>
      <c r="AJ14" s="322"/>
      <c r="AK14" s="312"/>
      <c r="AL14" s="385" t="str">
        <f>IF(AK14="","",VLOOKUP(AK14,案件コード!$A$1:$B$31,2,FALSE()))</f>
        <v/>
      </c>
      <c r="AM14" s="385"/>
      <c r="AN14" s="385"/>
      <c r="AO14" s="113" t="str">
        <f t="shared" si="4"/>
        <v/>
      </c>
      <c r="AP14" s="285"/>
      <c r="AQ14" s="284"/>
      <c r="AR14" s="286"/>
      <c r="AS14" s="322"/>
      <c r="AT14" s="312"/>
      <c r="AU14" s="385" t="str">
        <f>IF(AT14="","",VLOOKUP(AT14,案件コード!$A$1:$B$31,2,FALSE()))</f>
        <v/>
      </c>
      <c r="AV14" s="385"/>
      <c r="AW14" s="385"/>
      <c r="AX14" s="113" t="str">
        <f t="shared" si="5"/>
        <v/>
      </c>
      <c r="AY14" s="285"/>
      <c r="AZ14" s="284"/>
      <c r="BA14" s="286"/>
      <c r="BB14" s="322"/>
      <c r="BC14" s="312"/>
      <c r="BD14" s="385" t="str">
        <f>IF(BC14="","",VLOOKUP(BC14,案件コード!$A$1:$B$31,2,FALSE()))</f>
        <v/>
      </c>
      <c r="BE14" s="385"/>
      <c r="BF14" s="385"/>
      <c r="BG14" s="113" t="str">
        <f t="shared" si="6"/>
        <v/>
      </c>
      <c r="BH14" s="285"/>
      <c r="BI14" s="284"/>
      <c r="BJ14" s="286"/>
      <c r="BK14" s="322"/>
    </row>
    <row r="15" spans="1:63">
      <c r="A15" s="312"/>
      <c r="B15" s="385" t="str">
        <f>IF(A15="","",VLOOKUP(A15,案件コード!$A$1:$B$31,2,FALSE()))</f>
        <v/>
      </c>
      <c r="C15" s="385"/>
      <c r="D15" s="385"/>
      <c r="E15" s="113" t="str">
        <f t="shared" si="0"/>
        <v/>
      </c>
      <c r="F15" s="285"/>
      <c r="G15" s="284"/>
      <c r="H15" s="286"/>
      <c r="I15" s="314"/>
      <c r="J15" s="312"/>
      <c r="K15" s="385" t="str">
        <f>IF(J15="","",VLOOKUP(J15,案件コード!$A$1:$B$31,2,FALSE()))</f>
        <v/>
      </c>
      <c r="L15" s="385"/>
      <c r="M15" s="385"/>
      <c r="N15" s="113" t="str">
        <f t="shared" si="1"/>
        <v/>
      </c>
      <c r="O15" s="285"/>
      <c r="P15" s="284"/>
      <c r="Q15" s="286"/>
      <c r="R15" s="314"/>
      <c r="S15" s="312"/>
      <c r="T15" s="385" t="str">
        <f>IF(S15="","",VLOOKUP(S15,案件コード!$A$1:$B$31,2,FALSE()))</f>
        <v/>
      </c>
      <c r="U15" s="385"/>
      <c r="V15" s="385"/>
      <c r="W15" s="113" t="str">
        <f t="shared" si="2"/>
        <v/>
      </c>
      <c r="X15" s="285"/>
      <c r="Y15" s="284"/>
      <c r="Z15" s="286"/>
      <c r="AA15" s="322"/>
      <c r="AB15" s="312"/>
      <c r="AC15" s="385" t="str">
        <f>IF(AB15="","",VLOOKUP(AB15,案件コード!$A$1:$B$31,2,FALSE()))</f>
        <v/>
      </c>
      <c r="AD15" s="385"/>
      <c r="AE15" s="385"/>
      <c r="AF15" s="113" t="str">
        <f t="shared" si="3"/>
        <v/>
      </c>
      <c r="AG15" s="285"/>
      <c r="AH15" s="284"/>
      <c r="AI15" s="286"/>
      <c r="AJ15" s="322"/>
      <c r="AK15" s="312"/>
      <c r="AL15" s="385" t="str">
        <f>IF(AK15="","",VLOOKUP(AK15,案件コード!$A$1:$B$31,2,FALSE()))</f>
        <v/>
      </c>
      <c r="AM15" s="385"/>
      <c r="AN15" s="385"/>
      <c r="AO15" s="113" t="str">
        <f t="shared" si="4"/>
        <v/>
      </c>
      <c r="AP15" s="285"/>
      <c r="AQ15" s="284"/>
      <c r="AR15" s="286"/>
      <c r="AS15" s="322"/>
      <c r="AT15" s="312"/>
      <c r="AU15" s="385" t="str">
        <f>IF(AT15="","",VLOOKUP(AT15,案件コード!$A$1:$B$31,2,FALSE()))</f>
        <v/>
      </c>
      <c r="AV15" s="385"/>
      <c r="AW15" s="385"/>
      <c r="AX15" s="113" t="str">
        <f t="shared" si="5"/>
        <v/>
      </c>
      <c r="AY15" s="285"/>
      <c r="AZ15" s="284"/>
      <c r="BA15" s="286"/>
      <c r="BB15" s="322"/>
      <c r="BC15" s="312"/>
      <c r="BD15" s="385" t="str">
        <f>IF(BC15="","",VLOOKUP(BC15,案件コード!$A$1:$B$31,2,FALSE()))</f>
        <v/>
      </c>
      <c r="BE15" s="385"/>
      <c r="BF15" s="385"/>
      <c r="BG15" s="113" t="str">
        <f t="shared" si="6"/>
        <v/>
      </c>
      <c r="BH15" s="285"/>
      <c r="BI15" s="284"/>
      <c r="BJ15" s="286"/>
      <c r="BK15" s="322"/>
    </row>
    <row r="16" spans="1:63">
      <c r="A16" s="312"/>
      <c r="B16" s="385" t="str">
        <f>IF(A16="","",VLOOKUP(A16,案件コード!$A$1:$B$31,2,FALSE()))</f>
        <v/>
      </c>
      <c r="C16" s="385"/>
      <c r="D16" s="385"/>
      <c r="E16" s="113" t="str">
        <f t="shared" si="0"/>
        <v/>
      </c>
      <c r="F16" s="285"/>
      <c r="G16" s="284"/>
      <c r="H16" s="286"/>
      <c r="I16" s="314"/>
      <c r="J16" s="312"/>
      <c r="K16" s="385" t="str">
        <f>IF(J16="","",VLOOKUP(J16,案件コード!$A$1:$B$31,2,FALSE()))</f>
        <v/>
      </c>
      <c r="L16" s="385"/>
      <c r="M16" s="385"/>
      <c r="N16" s="113" t="str">
        <f t="shared" si="1"/>
        <v/>
      </c>
      <c r="O16" s="285"/>
      <c r="P16" s="284"/>
      <c r="Q16" s="286"/>
      <c r="R16" s="314"/>
      <c r="S16" s="312"/>
      <c r="T16" s="385" t="str">
        <f>IF(S16="","",VLOOKUP(S16,案件コード!$A$1:$B$31,2,FALSE()))</f>
        <v/>
      </c>
      <c r="U16" s="385"/>
      <c r="V16" s="385"/>
      <c r="W16" s="113" t="str">
        <f t="shared" si="2"/>
        <v/>
      </c>
      <c r="X16" s="285"/>
      <c r="Y16" s="284"/>
      <c r="Z16" s="286"/>
      <c r="AA16" s="322"/>
      <c r="AB16" s="312"/>
      <c r="AC16" s="385" t="str">
        <f>IF(AB16="","",VLOOKUP(AB16,案件コード!$A$1:$B$31,2,FALSE()))</f>
        <v/>
      </c>
      <c r="AD16" s="385"/>
      <c r="AE16" s="385"/>
      <c r="AF16" s="113" t="str">
        <f t="shared" si="3"/>
        <v/>
      </c>
      <c r="AG16" s="285"/>
      <c r="AH16" s="284"/>
      <c r="AI16" s="286"/>
      <c r="AJ16" s="322"/>
      <c r="AK16" s="312"/>
      <c r="AL16" s="385" t="str">
        <f>IF(AK16="","",VLOOKUP(AK16,案件コード!$A$1:$B$31,2,FALSE()))</f>
        <v/>
      </c>
      <c r="AM16" s="385"/>
      <c r="AN16" s="385"/>
      <c r="AO16" s="113" t="str">
        <f t="shared" si="4"/>
        <v/>
      </c>
      <c r="AP16" s="285"/>
      <c r="AQ16" s="284"/>
      <c r="AR16" s="286"/>
      <c r="AS16" s="322"/>
      <c r="AT16" s="312"/>
      <c r="AU16" s="385" t="str">
        <f>IF(AT16="","",VLOOKUP(AT16,案件コード!$A$1:$B$31,2,FALSE()))</f>
        <v/>
      </c>
      <c r="AV16" s="385"/>
      <c r="AW16" s="385"/>
      <c r="AX16" s="113" t="str">
        <f t="shared" si="5"/>
        <v/>
      </c>
      <c r="AY16" s="285"/>
      <c r="AZ16" s="284"/>
      <c r="BA16" s="286"/>
      <c r="BB16" s="322"/>
      <c r="BC16" s="312"/>
      <c r="BD16" s="385" t="str">
        <f>IF(BC16="","",VLOOKUP(BC16,案件コード!$A$1:$B$31,2,FALSE()))</f>
        <v/>
      </c>
      <c r="BE16" s="385"/>
      <c r="BF16" s="385"/>
      <c r="BG16" s="113" t="str">
        <f t="shared" si="6"/>
        <v/>
      </c>
      <c r="BH16" s="285"/>
      <c r="BI16" s="284"/>
      <c r="BJ16" s="286"/>
      <c r="BK16" s="322"/>
    </row>
    <row r="17" spans="1:63">
      <c r="A17" s="312"/>
      <c r="B17" s="385" t="str">
        <f>IF(A17="","",VLOOKUP(A17,案件コード!$A$1:$B$31,2,FALSE()))</f>
        <v/>
      </c>
      <c r="C17" s="385"/>
      <c r="D17" s="385"/>
      <c r="E17" s="113" t="str">
        <f t="shared" si="0"/>
        <v/>
      </c>
      <c r="F17" s="285"/>
      <c r="G17" s="284"/>
      <c r="H17" s="286"/>
      <c r="I17" s="314"/>
      <c r="J17" s="312"/>
      <c r="K17" s="385" t="str">
        <f>IF(J17="","",VLOOKUP(J17,案件コード!$A$1:$B$31,2,FALSE()))</f>
        <v/>
      </c>
      <c r="L17" s="385"/>
      <c r="M17" s="385"/>
      <c r="N17" s="113" t="str">
        <f t="shared" si="1"/>
        <v/>
      </c>
      <c r="O17" s="285"/>
      <c r="P17" s="284"/>
      <c r="Q17" s="286"/>
      <c r="R17" s="314"/>
      <c r="S17" s="312"/>
      <c r="T17" s="385" t="str">
        <f>IF(S17="","",VLOOKUP(S17,案件コード!$A$1:$B$31,2,FALSE()))</f>
        <v/>
      </c>
      <c r="U17" s="385"/>
      <c r="V17" s="385"/>
      <c r="W17" s="113" t="str">
        <f t="shared" si="2"/>
        <v/>
      </c>
      <c r="X17" s="285"/>
      <c r="Y17" s="284"/>
      <c r="Z17" s="286"/>
      <c r="AA17" s="322"/>
      <c r="AB17" s="312"/>
      <c r="AC17" s="385" t="str">
        <f>IF(AB17="","",VLOOKUP(AB17,案件コード!$A$1:$B$31,2,FALSE()))</f>
        <v/>
      </c>
      <c r="AD17" s="385"/>
      <c r="AE17" s="385"/>
      <c r="AF17" s="113" t="str">
        <f t="shared" si="3"/>
        <v/>
      </c>
      <c r="AG17" s="285"/>
      <c r="AH17" s="284"/>
      <c r="AI17" s="286"/>
      <c r="AJ17" s="322"/>
      <c r="AK17" s="312"/>
      <c r="AL17" s="385" t="str">
        <f>IF(AK17="","",VLOOKUP(AK17,案件コード!$A$1:$B$31,2,FALSE()))</f>
        <v/>
      </c>
      <c r="AM17" s="385"/>
      <c r="AN17" s="385"/>
      <c r="AO17" s="113" t="str">
        <f t="shared" si="4"/>
        <v/>
      </c>
      <c r="AP17" s="285"/>
      <c r="AQ17" s="284"/>
      <c r="AR17" s="286"/>
      <c r="AS17" s="322"/>
      <c r="AT17" s="312"/>
      <c r="AU17" s="385" t="str">
        <f>IF(AT17="","",VLOOKUP(AT17,案件コード!$A$1:$B$31,2,FALSE()))</f>
        <v/>
      </c>
      <c r="AV17" s="385"/>
      <c r="AW17" s="385"/>
      <c r="AX17" s="113" t="str">
        <f t="shared" si="5"/>
        <v/>
      </c>
      <c r="AY17" s="285"/>
      <c r="AZ17" s="284"/>
      <c r="BA17" s="286"/>
      <c r="BB17" s="322"/>
      <c r="BC17" s="312"/>
      <c r="BD17" s="385" t="str">
        <f>IF(BC17="","",VLOOKUP(BC17,案件コード!$A$1:$B$31,2,FALSE()))</f>
        <v/>
      </c>
      <c r="BE17" s="385"/>
      <c r="BF17" s="385"/>
      <c r="BG17" s="113" t="str">
        <f t="shared" si="6"/>
        <v/>
      </c>
      <c r="BH17" s="285"/>
      <c r="BI17" s="284"/>
      <c r="BJ17" s="286"/>
      <c r="BK17" s="322"/>
    </row>
    <row r="18" spans="1:63">
      <c r="A18" s="312"/>
      <c r="B18" s="385" t="str">
        <f>IF(A18="","",VLOOKUP(A18,案件コード!$A$1:$B$31,2,FALSE()))</f>
        <v/>
      </c>
      <c r="C18" s="385"/>
      <c r="D18" s="385"/>
      <c r="E18" s="113" t="str">
        <f t="shared" si="0"/>
        <v/>
      </c>
      <c r="F18" s="285"/>
      <c r="G18" s="284"/>
      <c r="H18" s="286"/>
      <c r="I18" s="314"/>
      <c r="J18" s="312"/>
      <c r="K18" s="385" t="str">
        <f>IF(J18="","",VLOOKUP(J18,案件コード!$A$1:$B$31,2,FALSE()))</f>
        <v/>
      </c>
      <c r="L18" s="385"/>
      <c r="M18" s="385"/>
      <c r="N18" s="113" t="str">
        <f t="shared" si="1"/>
        <v/>
      </c>
      <c r="O18" s="285"/>
      <c r="P18" s="284"/>
      <c r="Q18" s="286"/>
      <c r="R18" s="314"/>
      <c r="S18" s="312"/>
      <c r="T18" s="385" t="str">
        <f>IF(S18="","",VLOOKUP(S18,案件コード!$A$1:$B$31,2,FALSE()))</f>
        <v/>
      </c>
      <c r="U18" s="385"/>
      <c r="V18" s="385"/>
      <c r="W18" s="113" t="str">
        <f t="shared" si="2"/>
        <v/>
      </c>
      <c r="X18" s="285"/>
      <c r="Y18" s="284"/>
      <c r="Z18" s="286"/>
      <c r="AA18" s="322"/>
      <c r="AB18" s="312"/>
      <c r="AC18" s="385" t="str">
        <f>IF(AB18="","",VLOOKUP(AB18,案件コード!$A$1:$B$31,2,FALSE()))</f>
        <v/>
      </c>
      <c r="AD18" s="385"/>
      <c r="AE18" s="385"/>
      <c r="AF18" s="113" t="str">
        <f t="shared" si="3"/>
        <v/>
      </c>
      <c r="AG18" s="285"/>
      <c r="AH18" s="284"/>
      <c r="AI18" s="286"/>
      <c r="AJ18" s="322"/>
      <c r="AK18" s="312"/>
      <c r="AL18" s="385" t="str">
        <f>IF(AK18="","",VLOOKUP(AK18,案件コード!$A$1:$B$31,2,FALSE()))</f>
        <v/>
      </c>
      <c r="AM18" s="385"/>
      <c r="AN18" s="385"/>
      <c r="AO18" s="113" t="str">
        <f t="shared" si="4"/>
        <v/>
      </c>
      <c r="AP18" s="285"/>
      <c r="AQ18" s="284"/>
      <c r="AR18" s="286"/>
      <c r="AS18" s="322"/>
      <c r="AT18" s="312"/>
      <c r="AU18" s="385" t="str">
        <f>IF(AT18="","",VLOOKUP(AT18,案件コード!$A$1:$B$31,2,FALSE()))</f>
        <v/>
      </c>
      <c r="AV18" s="385"/>
      <c r="AW18" s="385"/>
      <c r="AX18" s="113" t="str">
        <f t="shared" si="5"/>
        <v/>
      </c>
      <c r="AY18" s="285"/>
      <c r="AZ18" s="284"/>
      <c r="BA18" s="286"/>
      <c r="BB18" s="322"/>
      <c r="BC18" s="312"/>
      <c r="BD18" s="385" t="str">
        <f>IF(BC18="","",VLOOKUP(BC18,案件コード!$A$1:$B$31,2,FALSE()))</f>
        <v/>
      </c>
      <c r="BE18" s="385"/>
      <c r="BF18" s="385"/>
      <c r="BG18" s="113" t="str">
        <f t="shared" si="6"/>
        <v/>
      </c>
      <c r="BH18" s="285"/>
      <c r="BI18" s="284"/>
      <c r="BJ18" s="286"/>
      <c r="BK18" s="322"/>
    </row>
    <row r="19" spans="1:63">
      <c r="A19" s="312"/>
      <c r="B19" s="385" t="str">
        <f>IF(A19="","",VLOOKUP(A19,案件コード!$A$1:$B$31,2,FALSE()))</f>
        <v/>
      </c>
      <c r="C19" s="385"/>
      <c r="D19" s="385"/>
      <c r="E19" s="113" t="str">
        <f t="shared" si="0"/>
        <v/>
      </c>
      <c r="F19" s="285"/>
      <c r="G19" s="284"/>
      <c r="H19" s="286"/>
      <c r="I19" s="314"/>
      <c r="J19" s="312"/>
      <c r="K19" s="385" t="str">
        <f>IF(J19="","",VLOOKUP(J19,案件コード!$A$1:$B$31,2,FALSE()))</f>
        <v/>
      </c>
      <c r="L19" s="385"/>
      <c r="M19" s="385"/>
      <c r="N19" s="113" t="str">
        <f t="shared" si="1"/>
        <v/>
      </c>
      <c r="O19" s="285"/>
      <c r="P19" s="284"/>
      <c r="Q19" s="286"/>
      <c r="R19" s="314"/>
      <c r="S19" s="312"/>
      <c r="T19" s="385" t="str">
        <f>IF(S19="","",VLOOKUP(S19,案件コード!$A$1:$B$31,2,FALSE()))</f>
        <v/>
      </c>
      <c r="U19" s="385"/>
      <c r="V19" s="385"/>
      <c r="W19" s="113" t="str">
        <f t="shared" si="2"/>
        <v/>
      </c>
      <c r="X19" s="285"/>
      <c r="Y19" s="284"/>
      <c r="Z19" s="286"/>
      <c r="AA19" s="322"/>
      <c r="AB19" s="312"/>
      <c r="AC19" s="385" t="str">
        <f>IF(AB19="","",VLOOKUP(AB19,案件コード!$A$1:$B$31,2,FALSE()))</f>
        <v/>
      </c>
      <c r="AD19" s="385"/>
      <c r="AE19" s="385"/>
      <c r="AF19" s="113" t="str">
        <f t="shared" si="3"/>
        <v/>
      </c>
      <c r="AG19" s="285"/>
      <c r="AH19" s="284"/>
      <c r="AI19" s="286"/>
      <c r="AJ19" s="322"/>
      <c r="AK19" s="312"/>
      <c r="AL19" s="385" t="str">
        <f>IF(AK19="","",VLOOKUP(AK19,案件コード!$A$1:$B$31,2,FALSE()))</f>
        <v/>
      </c>
      <c r="AM19" s="385"/>
      <c r="AN19" s="385"/>
      <c r="AO19" s="113" t="str">
        <f t="shared" si="4"/>
        <v/>
      </c>
      <c r="AP19" s="285"/>
      <c r="AQ19" s="284"/>
      <c r="AR19" s="286"/>
      <c r="AS19" s="322"/>
      <c r="AT19" s="312"/>
      <c r="AU19" s="385" t="str">
        <f>IF(AT19="","",VLOOKUP(AT19,案件コード!$A$1:$B$31,2,FALSE()))</f>
        <v/>
      </c>
      <c r="AV19" s="385"/>
      <c r="AW19" s="385"/>
      <c r="AX19" s="113" t="str">
        <f t="shared" si="5"/>
        <v/>
      </c>
      <c r="AY19" s="285"/>
      <c r="AZ19" s="284"/>
      <c r="BA19" s="286"/>
      <c r="BB19" s="322"/>
      <c r="BC19" s="312"/>
      <c r="BD19" s="385" t="str">
        <f>IF(BC19="","",VLOOKUP(BC19,案件コード!$A$1:$B$31,2,FALSE()))</f>
        <v/>
      </c>
      <c r="BE19" s="385"/>
      <c r="BF19" s="385"/>
      <c r="BG19" s="113" t="str">
        <f t="shared" si="6"/>
        <v/>
      </c>
      <c r="BH19" s="285"/>
      <c r="BI19" s="284"/>
      <c r="BJ19" s="286"/>
      <c r="BK19" s="322"/>
    </row>
    <row r="20" spans="1:63">
      <c r="A20" s="312"/>
      <c r="B20" s="385" t="str">
        <f>IF(A20="","",VLOOKUP(A20,案件コード!$A$1:$B$31,2,FALSE()))</f>
        <v/>
      </c>
      <c r="C20" s="385"/>
      <c r="D20" s="385"/>
      <c r="E20" s="113" t="str">
        <f t="shared" si="0"/>
        <v/>
      </c>
      <c r="F20" s="285"/>
      <c r="G20" s="284"/>
      <c r="H20" s="286"/>
      <c r="I20" s="314"/>
      <c r="J20" s="312"/>
      <c r="K20" s="385" t="str">
        <f>IF(J20="","",VLOOKUP(J20,案件コード!$A$1:$B$31,2,FALSE()))</f>
        <v/>
      </c>
      <c r="L20" s="385"/>
      <c r="M20" s="385"/>
      <c r="N20" s="113" t="str">
        <f t="shared" si="1"/>
        <v/>
      </c>
      <c r="O20" s="285"/>
      <c r="P20" s="284"/>
      <c r="Q20" s="286"/>
      <c r="R20" s="314"/>
      <c r="S20" s="312"/>
      <c r="T20" s="385" t="str">
        <f>IF(S20="","",VLOOKUP(S20,案件コード!$A$1:$B$31,2,FALSE()))</f>
        <v/>
      </c>
      <c r="U20" s="385"/>
      <c r="V20" s="385"/>
      <c r="W20" s="113" t="str">
        <f t="shared" si="2"/>
        <v/>
      </c>
      <c r="X20" s="285"/>
      <c r="Y20" s="284"/>
      <c r="Z20" s="286"/>
      <c r="AA20" s="322"/>
      <c r="AB20" s="312"/>
      <c r="AC20" s="385" t="str">
        <f>IF(AB20="","",VLOOKUP(AB20,案件コード!$A$1:$B$31,2,FALSE()))</f>
        <v/>
      </c>
      <c r="AD20" s="385"/>
      <c r="AE20" s="385"/>
      <c r="AF20" s="113" t="str">
        <f t="shared" si="3"/>
        <v/>
      </c>
      <c r="AG20" s="285"/>
      <c r="AH20" s="284"/>
      <c r="AI20" s="286"/>
      <c r="AJ20" s="322"/>
      <c r="AK20" s="312"/>
      <c r="AL20" s="385" t="str">
        <f>IF(AK20="","",VLOOKUP(AK20,案件コード!$A$1:$B$31,2,FALSE()))</f>
        <v/>
      </c>
      <c r="AM20" s="385"/>
      <c r="AN20" s="385"/>
      <c r="AO20" s="113" t="str">
        <f t="shared" si="4"/>
        <v/>
      </c>
      <c r="AP20" s="285"/>
      <c r="AQ20" s="284"/>
      <c r="AR20" s="286"/>
      <c r="AS20" s="322"/>
      <c r="AT20" s="312"/>
      <c r="AU20" s="385" t="str">
        <f>IF(AT20="","",VLOOKUP(AT20,案件コード!$A$1:$B$31,2,FALSE()))</f>
        <v/>
      </c>
      <c r="AV20" s="385"/>
      <c r="AW20" s="385"/>
      <c r="AX20" s="113" t="str">
        <f t="shared" si="5"/>
        <v/>
      </c>
      <c r="AY20" s="285"/>
      <c r="AZ20" s="284"/>
      <c r="BA20" s="286"/>
      <c r="BB20" s="322"/>
      <c r="BC20" s="312"/>
      <c r="BD20" s="385" t="str">
        <f>IF(BC20="","",VLOOKUP(BC20,案件コード!$A$1:$B$31,2,FALSE()))</f>
        <v/>
      </c>
      <c r="BE20" s="385"/>
      <c r="BF20" s="385"/>
      <c r="BG20" s="113" t="str">
        <f t="shared" si="6"/>
        <v/>
      </c>
      <c r="BH20" s="285"/>
      <c r="BI20" s="284"/>
      <c r="BJ20" s="286"/>
      <c r="BK20" s="322"/>
    </row>
    <row r="21" spans="1:63">
      <c r="A21" s="312"/>
      <c r="B21" s="385" t="str">
        <f>IF(A21="","",VLOOKUP(A21,案件コード!$A$1:$B$31,2,FALSE()))</f>
        <v/>
      </c>
      <c r="C21" s="385"/>
      <c r="D21" s="385"/>
      <c r="E21" s="113" t="str">
        <f t="shared" si="0"/>
        <v/>
      </c>
      <c r="F21" s="285"/>
      <c r="G21" s="284"/>
      <c r="H21" s="286"/>
      <c r="I21" s="314"/>
      <c r="J21" s="312"/>
      <c r="K21" s="385" t="str">
        <f>IF(J21="","",VLOOKUP(J21,案件コード!$A$1:$B$31,2,FALSE()))</f>
        <v/>
      </c>
      <c r="L21" s="385"/>
      <c r="M21" s="385"/>
      <c r="N21" s="113" t="str">
        <f t="shared" si="1"/>
        <v/>
      </c>
      <c r="O21" s="285"/>
      <c r="P21" s="284"/>
      <c r="Q21" s="286"/>
      <c r="R21" s="314"/>
      <c r="S21" s="312"/>
      <c r="T21" s="385" t="str">
        <f>IF(S21="","",VLOOKUP(S21,案件コード!$A$1:$B$31,2,FALSE()))</f>
        <v/>
      </c>
      <c r="U21" s="385"/>
      <c r="V21" s="385"/>
      <c r="W21" s="113" t="str">
        <f t="shared" si="2"/>
        <v/>
      </c>
      <c r="X21" s="285"/>
      <c r="Y21" s="284"/>
      <c r="Z21" s="286"/>
      <c r="AA21" s="322"/>
      <c r="AB21" s="312"/>
      <c r="AC21" s="385" t="str">
        <f>IF(AB21="","",VLOOKUP(AB21,案件コード!$A$1:$B$31,2,FALSE()))</f>
        <v/>
      </c>
      <c r="AD21" s="385"/>
      <c r="AE21" s="385"/>
      <c r="AF21" s="113" t="str">
        <f t="shared" si="3"/>
        <v/>
      </c>
      <c r="AG21" s="285"/>
      <c r="AH21" s="284"/>
      <c r="AI21" s="286"/>
      <c r="AJ21" s="322"/>
      <c r="AK21" s="312"/>
      <c r="AL21" s="385" t="str">
        <f>IF(AK21="","",VLOOKUP(AK21,案件コード!$A$1:$B$31,2,FALSE()))</f>
        <v/>
      </c>
      <c r="AM21" s="385"/>
      <c r="AN21" s="385"/>
      <c r="AO21" s="113" t="str">
        <f t="shared" si="4"/>
        <v/>
      </c>
      <c r="AP21" s="285"/>
      <c r="AQ21" s="284"/>
      <c r="AR21" s="286"/>
      <c r="AS21" s="322"/>
      <c r="AT21" s="312"/>
      <c r="AU21" s="385" t="str">
        <f>IF(AT21="","",VLOOKUP(AT21,案件コード!$A$1:$B$31,2,FALSE()))</f>
        <v/>
      </c>
      <c r="AV21" s="385"/>
      <c r="AW21" s="385"/>
      <c r="AX21" s="113" t="str">
        <f t="shared" si="5"/>
        <v/>
      </c>
      <c r="AY21" s="285"/>
      <c r="AZ21" s="284"/>
      <c r="BA21" s="286"/>
      <c r="BB21" s="322"/>
      <c r="BC21" s="312"/>
      <c r="BD21" s="385" t="str">
        <f>IF(BC21="","",VLOOKUP(BC21,案件コード!$A$1:$B$31,2,FALSE()))</f>
        <v/>
      </c>
      <c r="BE21" s="385"/>
      <c r="BF21" s="385"/>
      <c r="BG21" s="113" t="str">
        <f t="shared" si="6"/>
        <v/>
      </c>
      <c r="BH21" s="285"/>
      <c r="BI21" s="284"/>
      <c r="BJ21" s="286"/>
      <c r="BK21" s="322"/>
    </row>
    <row r="22" spans="1:63">
      <c r="A22" s="312"/>
      <c r="B22" s="385" t="str">
        <f>IF(A22="","",VLOOKUP(A22,案件コード!$A$1:$B$31,2,FALSE()))</f>
        <v/>
      </c>
      <c r="C22" s="385"/>
      <c r="D22" s="385"/>
      <c r="E22" s="113" t="str">
        <f t="shared" si="0"/>
        <v/>
      </c>
      <c r="F22" s="285"/>
      <c r="G22" s="284"/>
      <c r="H22" s="286"/>
      <c r="I22" s="314"/>
      <c r="J22" s="312"/>
      <c r="K22" s="385" t="str">
        <f>IF(J22="","",VLOOKUP(J22,案件コード!$A$1:$B$31,2,FALSE()))</f>
        <v/>
      </c>
      <c r="L22" s="385"/>
      <c r="M22" s="385"/>
      <c r="N22" s="113" t="str">
        <f t="shared" si="1"/>
        <v/>
      </c>
      <c r="O22" s="285"/>
      <c r="P22" s="284"/>
      <c r="Q22" s="286"/>
      <c r="R22" s="314"/>
      <c r="S22" s="312"/>
      <c r="T22" s="385" t="str">
        <f>IF(S22="","",VLOOKUP(S22,案件コード!$A$1:$B$31,2,FALSE()))</f>
        <v/>
      </c>
      <c r="U22" s="385"/>
      <c r="V22" s="385"/>
      <c r="W22" s="113" t="str">
        <f t="shared" si="2"/>
        <v/>
      </c>
      <c r="X22" s="285"/>
      <c r="Y22" s="284"/>
      <c r="Z22" s="286"/>
      <c r="AA22" s="322"/>
      <c r="AB22" s="312"/>
      <c r="AC22" s="385" t="str">
        <f>IF(AB22="","",VLOOKUP(AB22,案件コード!$A$1:$B$31,2,FALSE()))</f>
        <v/>
      </c>
      <c r="AD22" s="385"/>
      <c r="AE22" s="385"/>
      <c r="AF22" s="113" t="str">
        <f t="shared" si="3"/>
        <v/>
      </c>
      <c r="AG22" s="285"/>
      <c r="AH22" s="284"/>
      <c r="AI22" s="286"/>
      <c r="AJ22" s="322"/>
      <c r="AK22" s="312"/>
      <c r="AL22" s="385" t="str">
        <f>IF(AK22="","",VLOOKUP(AK22,案件コード!$A$1:$B$31,2,FALSE()))</f>
        <v/>
      </c>
      <c r="AM22" s="385"/>
      <c r="AN22" s="385"/>
      <c r="AO22" s="113" t="str">
        <f t="shared" si="4"/>
        <v/>
      </c>
      <c r="AP22" s="285"/>
      <c r="AQ22" s="284"/>
      <c r="AR22" s="286"/>
      <c r="AS22" s="322"/>
      <c r="AT22" s="312"/>
      <c r="AU22" s="385" t="str">
        <f>IF(AT22="","",VLOOKUP(AT22,案件コード!$A$1:$B$31,2,FALSE()))</f>
        <v/>
      </c>
      <c r="AV22" s="385"/>
      <c r="AW22" s="385"/>
      <c r="AX22" s="113" t="str">
        <f t="shared" si="5"/>
        <v/>
      </c>
      <c r="AY22" s="285"/>
      <c r="AZ22" s="284"/>
      <c r="BA22" s="286"/>
      <c r="BB22" s="322"/>
      <c r="BC22" s="312"/>
      <c r="BD22" s="385" t="str">
        <f>IF(BC22="","",VLOOKUP(BC22,案件コード!$A$1:$B$31,2,FALSE()))</f>
        <v/>
      </c>
      <c r="BE22" s="385"/>
      <c r="BF22" s="385"/>
      <c r="BG22" s="113" t="str">
        <f t="shared" si="6"/>
        <v/>
      </c>
      <c r="BH22" s="285"/>
      <c r="BI22" s="284"/>
      <c r="BJ22" s="286"/>
      <c r="BK22" s="322"/>
    </row>
    <row r="23" spans="1:63" ht="18.600000000000001" thickBot="1">
      <c r="A23" s="315"/>
      <c r="B23" s="386" t="str">
        <f>IF(A23="","",VLOOKUP(A23,案件コード!$A$1:$B$31,2,FALSE()))</f>
        <v/>
      </c>
      <c r="C23" s="386"/>
      <c r="D23" s="386"/>
      <c r="E23" s="316" t="str">
        <f t="shared" si="0"/>
        <v/>
      </c>
      <c r="F23" s="317"/>
      <c r="G23" s="318"/>
      <c r="H23" s="319"/>
      <c r="I23" s="320"/>
      <c r="J23" s="315"/>
      <c r="K23" s="386" t="str">
        <f>IF(J23="","",VLOOKUP(J23,案件コード!$A$1:$B$31,2,FALSE()))</f>
        <v/>
      </c>
      <c r="L23" s="386"/>
      <c r="M23" s="386"/>
      <c r="N23" s="316" t="str">
        <f t="shared" si="1"/>
        <v/>
      </c>
      <c r="O23" s="317"/>
      <c r="P23" s="318"/>
      <c r="Q23" s="319"/>
      <c r="R23" s="320"/>
      <c r="S23" s="315"/>
      <c r="T23" s="386" t="str">
        <f>IF(S23="","",VLOOKUP(S23,案件コード!$A$1:$B$31,2,FALSE()))</f>
        <v/>
      </c>
      <c r="U23" s="386"/>
      <c r="V23" s="386"/>
      <c r="W23" s="316" t="str">
        <f t="shared" si="2"/>
        <v/>
      </c>
      <c r="X23" s="317"/>
      <c r="Y23" s="318"/>
      <c r="Z23" s="319"/>
      <c r="AA23" s="323"/>
      <c r="AB23" s="315"/>
      <c r="AC23" s="386" t="str">
        <f>IF(AB23="","",VLOOKUP(AB23,案件コード!$A$1:$B$31,2,FALSE()))</f>
        <v/>
      </c>
      <c r="AD23" s="386"/>
      <c r="AE23" s="386"/>
      <c r="AF23" s="316" t="str">
        <f t="shared" si="3"/>
        <v/>
      </c>
      <c r="AG23" s="317"/>
      <c r="AH23" s="318"/>
      <c r="AI23" s="319"/>
      <c r="AJ23" s="323"/>
      <c r="AK23" s="315"/>
      <c r="AL23" s="386" t="str">
        <f>IF(AK23="","",VLOOKUP(AK23,案件コード!$A$1:$B$31,2,FALSE()))</f>
        <v/>
      </c>
      <c r="AM23" s="386"/>
      <c r="AN23" s="386"/>
      <c r="AO23" s="316" t="str">
        <f t="shared" si="4"/>
        <v/>
      </c>
      <c r="AP23" s="317"/>
      <c r="AQ23" s="318"/>
      <c r="AR23" s="319"/>
      <c r="AS23" s="323"/>
      <c r="AT23" s="315"/>
      <c r="AU23" s="386" t="str">
        <f>IF(AT23="","",VLOOKUP(AT23,案件コード!$A$1:$B$31,2,FALSE()))</f>
        <v/>
      </c>
      <c r="AV23" s="386"/>
      <c r="AW23" s="386"/>
      <c r="AX23" s="316" t="str">
        <f t="shared" si="5"/>
        <v/>
      </c>
      <c r="AY23" s="317"/>
      <c r="AZ23" s="318"/>
      <c r="BA23" s="319"/>
      <c r="BB23" s="323"/>
      <c r="BC23" s="315"/>
      <c r="BD23" s="386" t="str">
        <f>IF(BC23="","",VLOOKUP(BC23,案件コード!$A$1:$B$31,2,FALSE()))</f>
        <v/>
      </c>
      <c r="BE23" s="386"/>
      <c r="BF23" s="386"/>
      <c r="BG23" s="316" t="str">
        <f t="shared" si="6"/>
        <v/>
      </c>
      <c r="BH23" s="317"/>
      <c r="BI23" s="318"/>
      <c r="BJ23" s="319"/>
      <c r="BK23" s="323"/>
    </row>
    <row r="24" spans="1:63" ht="18.600000000000001" thickBot="1">
      <c r="A24" s="41"/>
      <c r="B24" s="41"/>
      <c r="C24" s="41"/>
      <c r="D24" s="41"/>
      <c r="E24" s="41"/>
      <c r="F24" s="41"/>
      <c r="G24" s="41"/>
      <c r="H24" s="307">
        <f>SUM(H9:H23)</f>
        <v>0</v>
      </c>
      <c r="I24" s="41"/>
      <c r="J24" s="41"/>
      <c r="K24" s="41"/>
      <c r="L24" s="41"/>
      <c r="M24" s="41"/>
      <c r="N24" s="41"/>
      <c r="O24" s="41"/>
      <c r="P24" s="41"/>
      <c r="Q24" s="307">
        <f>SUM(Q9:Q23)</f>
        <v>0</v>
      </c>
      <c r="R24" s="41"/>
      <c r="S24" s="41"/>
      <c r="T24" s="41"/>
      <c r="U24" s="41"/>
      <c r="V24" s="41"/>
      <c r="W24" s="41"/>
      <c r="X24" s="41"/>
      <c r="Y24" s="41"/>
      <c r="Z24" s="307">
        <f>SUM(Z9:Z23)</f>
        <v>0</v>
      </c>
      <c r="AA24" s="41"/>
      <c r="AB24" s="41"/>
      <c r="AC24" s="41"/>
      <c r="AD24" s="41"/>
      <c r="AE24" s="41"/>
      <c r="AF24" s="41"/>
      <c r="AG24" s="41"/>
      <c r="AH24" s="41"/>
      <c r="AI24" s="307">
        <f>SUM(AI9:AI23)</f>
        <v>0</v>
      </c>
      <c r="AJ24" s="41"/>
      <c r="AK24" s="41"/>
      <c r="AL24" s="41"/>
      <c r="AM24" s="41"/>
      <c r="AN24" s="41"/>
      <c r="AO24" s="41"/>
      <c r="AP24" s="41"/>
      <c r="AQ24" s="41"/>
      <c r="AR24" s="307">
        <f>SUM(AR9:AR23)</f>
        <v>0</v>
      </c>
      <c r="AS24" s="41"/>
      <c r="AT24" s="41"/>
      <c r="AU24" s="41"/>
      <c r="AV24" s="41"/>
      <c r="AW24" s="41"/>
      <c r="AX24" s="41"/>
      <c r="AY24" s="41"/>
      <c r="AZ24" s="41"/>
      <c r="BA24" s="307">
        <f>SUM(BA9:BA23)</f>
        <v>0</v>
      </c>
      <c r="BB24" s="41"/>
      <c r="BC24" s="41"/>
      <c r="BD24" s="41"/>
      <c r="BE24" s="41"/>
      <c r="BF24" s="41"/>
      <c r="BG24" s="41"/>
      <c r="BH24" s="41"/>
      <c r="BI24" s="41"/>
      <c r="BJ24" s="307">
        <f>SUM(BJ9:BJ23)</f>
        <v>0</v>
      </c>
      <c r="BK24" s="41"/>
    </row>
    <row r="25" spans="1:63">
      <c r="A25" s="390" t="s">
        <v>16</v>
      </c>
      <c r="B25" s="391"/>
      <c r="C25" s="391" t="s">
        <v>17</v>
      </c>
      <c r="D25" s="391"/>
      <c r="E25" s="391" t="s">
        <v>18</v>
      </c>
      <c r="F25" s="392"/>
      <c r="G25" s="41"/>
      <c r="H25" s="41"/>
      <c r="I25" s="41"/>
      <c r="J25" s="390" t="s">
        <v>16</v>
      </c>
      <c r="K25" s="391"/>
      <c r="L25" s="391" t="s">
        <v>17</v>
      </c>
      <c r="M25" s="391"/>
      <c r="N25" s="391" t="s">
        <v>18</v>
      </c>
      <c r="O25" s="392"/>
      <c r="P25" s="41"/>
      <c r="Q25" s="41"/>
      <c r="R25" s="41"/>
      <c r="S25" s="390" t="s">
        <v>16</v>
      </c>
      <c r="T25" s="391"/>
      <c r="U25" s="391" t="s">
        <v>17</v>
      </c>
      <c r="V25" s="391"/>
      <c r="W25" s="391" t="s">
        <v>18</v>
      </c>
      <c r="X25" s="392"/>
      <c r="Y25" s="41"/>
      <c r="Z25" s="41"/>
      <c r="AA25" s="41"/>
      <c r="AB25" s="390" t="s">
        <v>16</v>
      </c>
      <c r="AC25" s="391"/>
      <c r="AD25" s="391" t="s">
        <v>17</v>
      </c>
      <c r="AE25" s="391"/>
      <c r="AF25" s="391" t="s">
        <v>18</v>
      </c>
      <c r="AG25" s="392"/>
      <c r="AH25" s="41"/>
      <c r="AI25" s="41"/>
      <c r="AJ25" s="41"/>
      <c r="AK25" s="390" t="s">
        <v>16</v>
      </c>
      <c r="AL25" s="391"/>
      <c r="AM25" s="391" t="s">
        <v>17</v>
      </c>
      <c r="AN25" s="391"/>
      <c r="AO25" s="391" t="s">
        <v>18</v>
      </c>
      <c r="AP25" s="392"/>
      <c r="AQ25" s="41"/>
      <c r="AR25" s="41"/>
      <c r="AS25" s="41"/>
      <c r="AT25" s="390" t="s">
        <v>16</v>
      </c>
      <c r="AU25" s="391"/>
      <c r="AV25" s="391" t="s">
        <v>17</v>
      </c>
      <c r="AW25" s="391"/>
      <c r="AX25" s="391" t="s">
        <v>18</v>
      </c>
      <c r="AY25" s="392"/>
      <c r="AZ25" s="41"/>
      <c r="BA25" s="41"/>
      <c r="BB25" s="41"/>
      <c r="BC25" s="390" t="s">
        <v>16</v>
      </c>
      <c r="BD25" s="391"/>
      <c r="BE25" s="391" t="s">
        <v>17</v>
      </c>
      <c r="BF25" s="391"/>
      <c r="BG25" s="391" t="s">
        <v>18</v>
      </c>
      <c r="BH25" s="392"/>
      <c r="BI25" s="41"/>
      <c r="BJ25" s="41"/>
      <c r="BK25" s="41"/>
    </row>
    <row r="26" spans="1:63" ht="18.600000000000001" thickBot="1">
      <c r="A26" s="387">
        <f>BC6+1</f>
        <v>45908</v>
      </c>
      <c r="B26" s="388"/>
      <c r="C26" s="289"/>
      <c r="D26" s="289"/>
      <c r="E26" s="290" t="str">
        <f>IF(C26="","",D26-C26-H26)</f>
        <v/>
      </c>
      <c r="F26" s="291" t="str">
        <f>IF(AND(E26=""),"",SUM(E29:E43))</f>
        <v/>
      </c>
      <c r="G26" s="114" t="s">
        <v>19</v>
      </c>
      <c r="H26" s="287">
        <v>4.1666666666666699E-2</v>
      </c>
      <c r="I26" s="41"/>
      <c r="J26" s="387">
        <f>A26+1</f>
        <v>45909</v>
      </c>
      <c r="K26" s="388"/>
      <c r="L26" s="289"/>
      <c r="M26" s="289"/>
      <c r="N26" s="290" t="str">
        <f>IF(L26="","",M26-L26-Q26)</f>
        <v/>
      </c>
      <c r="O26" s="291" t="str">
        <f>IF(AND(N26=""),"",SUM(N29:N43))</f>
        <v/>
      </c>
      <c r="P26" s="114" t="s">
        <v>19</v>
      </c>
      <c r="Q26" s="287">
        <v>4.1666666666666699E-2</v>
      </c>
      <c r="R26" s="41"/>
      <c r="S26" s="387">
        <f>J26+1</f>
        <v>45910</v>
      </c>
      <c r="T26" s="388"/>
      <c r="U26" s="289"/>
      <c r="V26" s="289"/>
      <c r="W26" s="290" t="str">
        <f>IF(U26="","",V26-U26-Z26)</f>
        <v/>
      </c>
      <c r="X26" s="291" t="str">
        <f>IF(AND(W26=""),"",SUM(W29:W43))</f>
        <v/>
      </c>
      <c r="Y26" s="114" t="s">
        <v>19</v>
      </c>
      <c r="Z26" s="287">
        <v>4.1666666666666699E-2</v>
      </c>
      <c r="AA26" s="41"/>
      <c r="AB26" s="387">
        <f>S26+1</f>
        <v>45911</v>
      </c>
      <c r="AC26" s="388"/>
      <c r="AD26" s="289"/>
      <c r="AE26" s="289"/>
      <c r="AF26" s="290" t="str">
        <f>IF(AD26="","",AE26-AD26-AI26)</f>
        <v/>
      </c>
      <c r="AG26" s="291" t="str">
        <f>IF(AND(AF26=""),"",SUM(AF29:AF43))</f>
        <v/>
      </c>
      <c r="AH26" s="114" t="s">
        <v>19</v>
      </c>
      <c r="AI26" s="287">
        <v>4.1666666666666699E-2</v>
      </c>
      <c r="AJ26" s="41"/>
      <c r="AK26" s="387">
        <f>AB26+1</f>
        <v>45912</v>
      </c>
      <c r="AL26" s="388"/>
      <c r="AM26" s="289"/>
      <c r="AN26" s="289"/>
      <c r="AO26" s="290" t="str">
        <f>IF(AM26="","",AN26-AM26-AR26)</f>
        <v/>
      </c>
      <c r="AP26" s="291" t="str">
        <f>IF(AND(AO26=""),"",SUM(AO29:AO43))</f>
        <v/>
      </c>
      <c r="AQ26" s="114" t="s">
        <v>19</v>
      </c>
      <c r="AR26" s="287">
        <v>4.1666666666666699E-2</v>
      </c>
      <c r="AS26" s="41"/>
      <c r="AT26" s="387">
        <f>AK26+1</f>
        <v>45913</v>
      </c>
      <c r="AU26" s="388"/>
      <c r="AV26" s="289"/>
      <c r="AW26" s="289"/>
      <c r="AX26" s="290" t="str">
        <f>IF(AV26="","",AW26-AV26-BA26)</f>
        <v/>
      </c>
      <c r="AY26" s="291" t="str">
        <f>IF(AND(AX26=""),"",SUM(AX29:AX43))</f>
        <v/>
      </c>
      <c r="AZ26" s="114" t="s">
        <v>19</v>
      </c>
      <c r="BA26" s="287">
        <v>4.1666666666666699E-2</v>
      </c>
      <c r="BB26" s="41"/>
      <c r="BC26" s="387">
        <f>AT26+1</f>
        <v>45914</v>
      </c>
      <c r="BD26" s="388"/>
      <c r="BE26" s="289"/>
      <c r="BF26" s="289"/>
      <c r="BG26" s="290" t="str">
        <f>IF(BE26="","",BF26-BE26-BJ26)</f>
        <v/>
      </c>
      <c r="BH26" s="291" t="str">
        <f>IF(AND(BG26=""),"",SUM(BG29:BG43))</f>
        <v/>
      </c>
      <c r="BI26" s="114" t="s">
        <v>19</v>
      </c>
      <c r="BJ26" s="287">
        <v>4.1666666666666699E-2</v>
      </c>
      <c r="BK26" s="41"/>
    </row>
    <row r="27" spans="1:63" ht="18.600000000000001" thickBot="1">
      <c r="A27" s="41" t="s">
        <v>38</v>
      </c>
      <c r="B27" s="115"/>
      <c r="C27" s="115"/>
      <c r="D27" s="115"/>
      <c r="E27" s="116"/>
      <c r="F27" s="117"/>
      <c r="G27" s="117"/>
      <c r="H27" s="185"/>
      <c r="I27" s="41"/>
      <c r="J27" s="41" t="s">
        <v>38</v>
      </c>
      <c r="K27" s="115"/>
      <c r="L27" s="115"/>
      <c r="M27" s="115"/>
      <c r="N27" s="116"/>
      <c r="O27" s="117"/>
      <c r="P27" s="117"/>
      <c r="Q27" s="185"/>
      <c r="R27" s="41"/>
      <c r="S27" s="41" t="s">
        <v>38</v>
      </c>
      <c r="T27" s="115"/>
      <c r="U27" s="115"/>
      <c r="V27" s="115"/>
      <c r="W27" s="116"/>
      <c r="X27" s="117"/>
      <c r="Y27" s="117"/>
      <c r="Z27" s="185"/>
      <c r="AA27" s="41"/>
      <c r="AB27" s="41" t="s">
        <v>38</v>
      </c>
      <c r="AC27" s="115"/>
      <c r="AD27" s="115"/>
      <c r="AE27" s="115"/>
      <c r="AF27" s="116"/>
      <c r="AG27" s="117"/>
      <c r="AH27" s="117"/>
      <c r="AI27" s="185"/>
      <c r="AJ27" s="41"/>
      <c r="AK27" s="41" t="s">
        <v>38</v>
      </c>
      <c r="AL27" s="115"/>
      <c r="AM27" s="115"/>
      <c r="AN27" s="115"/>
      <c r="AO27" s="116"/>
      <c r="AP27" s="117"/>
      <c r="AQ27" s="117"/>
      <c r="AR27" s="185"/>
      <c r="AS27" s="41"/>
      <c r="AT27" s="41" t="s">
        <v>38</v>
      </c>
      <c r="AU27" s="115"/>
      <c r="AV27" s="115"/>
      <c r="AW27" s="115"/>
      <c r="AX27" s="116"/>
      <c r="AY27" s="117"/>
      <c r="AZ27" s="117"/>
      <c r="BA27" s="185"/>
      <c r="BB27" s="41"/>
      <c r="BC27" s="41" t="s">
        <v>38</v>
      </c>
      <c r="BD27" s="115"/>
      <c r="BE27" s="115"/>
      <c r="BF27" s="115"/>
      <c r="BG27" s="116"/>
      <c r="BH27" s="117"/>
      <c r="BI27" s="117"/>
      <c r="BJ27" s="185"/>
      <c r="BK27" s="41"/>
    </row>
    <row r="28" spans="1:63">
      <c r="A28" s="308" t="s">
        <v>20</v>
      </c>
      <c r="B28" s="389" t="s">
        <v>21</v>
      </c>
      <c r="C28" s="389"/>
      <c r="D28" s="389"/>
      <c r="E28" s="309" t="s">
        <v>22</v>
      </c>
      <c r="F28" s="309" t="s">
        <v>0</v>
      </c>
      <c r="G28" s="309" t="s">
        <v>39</v>
      </c>
      <c r="H28" s="310" t="s">
        <v>23</v>
      </c>
      <c r="I28" s="311" t="s">
        <v>24</v>
      </c>
      <c r="J28" s="308" t="s">
        <v>20</v>
      </c>
      <c r="K28" s="389" t="s">
        <v>21</v>
      </c>
      <c r="L28" s="389"/>
      <c r="M28" s="389"/>
      <c r="N28" s="309" t="s">
        <v>22</v>
      </c>
      <c r="O28" s="309" t="s">
        <v>0</v>
      </c>
      <c r="P28" s="309" t="s">
        <v>39</v>
      </c>
      <c r="Q28" s="310" t="s">
        <v>23</v>
      </c>
      <c r="R28" s="311" t="s">
        <v>24</v>
      </c>
      <c r="S28" s="308" t="s">
        <v>20</v>
      </c>
      <c r="T28" s="389" t="s">
        <v>21</v>
      </c>
      <c r="U28" s="389"/>
      <c r="V28" s="389"/>
      <c r="W28" s="309" t="s">
        <v>22</v>
      </c>
      <c r="X28" s="309" t="s">
        <v>0</v>
      </c>
      <c r="Y28" s="309" t="s">
        <v>39</v>
      </c>
      <c r="Z28" s="310" t="s">
        <v>23</v>
      </c>
      <c r="AA28" s="311" t="s">
        <v>24</v>
      </c>
      <c r="AB28" s="308" t="s">
        <v>20</v>
      </c>
      <c r="AC28" s="389" t="s">
        <v>21</v>
      </c>
      <c r="AD28" s="389"/>
      <c r="AE28" s="389"/>
      <c r="AF28" s="309" t="s">
        <v>22</v>
      </c>
      <c r="AG28" s="309" t="s">
        <v>0</v>
      </c>
      <c r="AH28" s="309" t="s">
        <v>39</v>
      </c>
      <c r="AI28" s="310" t="s">
        <v>23</v>
      </c>
      <c r="AJ28" s="311" t="s">
        <v>24</v>
      </c>
      <c r="AK28" s="308" t="s">
        <v>20</v>
      </c>
      <c r="AL28" s="389" t="s">
        <v>21</v>
      </c>
      <c r="AM28" s="389"/>
      <c r="AN28" s="389"/>
      <c r="AO28" s="309" t="s">
        <v>22</v>
      </c>
      <c r="AP28" s="309" t="s">
        <v>0</v>
      </c>
      <c r="AQ28" s="309" t="s">
        <v>39</v>
      </c>
      <c r="AR28" s="310" t="s">
        <v>23</v>
      </c>
      <c r="AS28" s="311" t="s">
        <v>24</v>
      </c>
      <c r="AT28" s="308" t="s">
        <v>20</v>
      </c>
      <c r="AU28" s="389" t="s">
        <v>21</v>
      </c>
      <c r="AV28" s="389"/>
      <c r="AW28" s="389"/>
      <c r="AX28" s="309" t="s">
        <v>22</v>
      </c>
      <c r="AY28" s="309" t="s">
        <v>0</v>
      </c>
      <c r="AZ28" s="309" t="s">
        <v>39</v>
      </c>
      <c r="BA28" s="310" t="s">
        <v>23</v>
      </c>
      <c r="BB28" s="311" t="s">
        <v>24</v>
      </c>
      <c r="BC28" s="308" t="s">
        <v>20</v>
      </c>
      <c r="BD28" s="389" t="s">
        <v>21</v>
      </c>
      <c r="BE28" s="389"/>
      <c r="BF28" s="389"/>
      <c r="BG28" s="309" t="s">
        <v>22</v>
      </c>
      <c r="BH28" s="309" t="s">
        <v>0</v>
      </c>
      <c r="BI28" s="309" t="s">
        <v>39</v>
      </c>
      <c r="BJ28" s="310" t="s">
        <v>23</v>
      </c>
      <c r="BK28" s="311" t="s">
        <v>24</v>
      </c>
    </row>
    <row r="29" spans="1:63">
      <c r="A29" s="312"/>
      <c r="B29" s="385" t="str">
        <f>IF(A29="","",VLOOKUP(A29,案件コード!$A$1:$B$31,2,FALSE()))</f>
        <v/>
      </c>
      <c r="C29" s="385"/>
      <c r="D29" s="385"/>
      <c r="E29" s="113" t="str">
        <f t="shared" ref="E29:E43" si="7">IF(AND(F29="",G29=""),"",SUM(F29:G29))</f>
        <v/>
      </c>
      <c r="F29" s="285"/>
      <c r="G29" s="284"/>
      <c r="H29" s="286"/>
      <c r="I29" s="321"/>
      <c r="J29" s="312"/>
      <c r="K29" s="385" t="str">
        <f>IF(J29="","",VLOOKUP(J29,案件コード!$A$1:$B$31,2,FALSE()))</f>
        <v/>
      </c>
      <c r="L29" s="385"/>
      <c r="M29" s="385"/>
      <c r="N29" s="113" t="str">
        <f t="shared" ref="N29:N43" si="8">IF(AND(O29="",P29=""),"",SUM(O29:P29))</f>
        <v/>
      </c>
      <c r="O29" s="285"/>
      <c r="P29" s="284"/>
      <c r="Q29" s="286"/>
      <c r="R29" s="321"/>
      <c r="S29" s="312"/>
      <c r="T29" s="385" t="str">
        <f>IF(S29="","",VLOOKUP(S29,案件コード!$A$1:$B$31,2,FALSE()))</f>
        <v/>
      </c>
      <c r="U29" s="385"/>
      <c r="V29" s="385"/>
      <c r="W29" s="113" t="str">
        <f t="shared" ref="W29:W43" si="9">IF(AND(X29="",Y29=""),"",SUM(X29:Y29))</f>
        <v/>
      </c>
      <c r="X29" s="285"/>
      <c r="Y29" s="284"/>
      <c r="Z29" s="286"/>
      <c r="AA29" s="321"/>
      <c r="AB29" s="312"/>
      <c r="AC29" s="385" t="str">
        <f>IF(AB29="","",VLOOKUP(AB29,案件コード!$A$1:$B$31,2,FALSE()))</f>
        <v/>
      </c>
      <c r="AD29" s="385"/>
      <c r="AE29" s="385"/>
      <c r="AF29" s="113" t="str">
        <f t="shared" ref="AF29:AF43" si="10">IF(AND(AG29="",AH29=""),"",SUM(AG29:AH29))</f>
        <v/>
      </c>
      <c r="AG29" s="285"/>
      <c r="AH29" s="284"/>
      <c r="AI29" s="286"/>
      <c r="AJ29" s="321"/>
      <c r="AK29" s="312"/>
      <c r="AL29" s="385" t="str">
        <f>IF(AK29="","",VLOOKUP(AK29,案件コード!$A$1:$B$31,2,FALSE()))</f>
        <v/>
      </c>
      <c r="AM29" s="385"/>
      <c r="AN29" s="385"/>
      <c r="AO29" s="113" t="str">
        <f t="shared" ref="AO29:AO43" si="11">IF(AND(AP29="",AQ29=""),"",SUM(AP29:AQ29))</f>
        <v/>
      </c>
      <c r="AP29" s="285"/>
      <c r="AQ29" s="284"/>
      <c r="AR29" s="286"/>
      <c r="AS29" s="321"/>
      <c r="AT29" s="312"/>
      <c r="AU29" s="385" t="str">
        <f>IF(AT29="","",VLOOKUP(AT29,案件コード!$A$1:$B$31,2,FALSE()))</f>
        <v/>
      </c>
      <c r="AV29" s="385"/>
      <c r="AW29" s="385"/>
      <c r="AX29" s="113" t="str">
        <f t="shared" ref="AX29:AX43" si="12">IF(AND(AY29="",AZ29=""),"",SUM(AY29:AZ29))</f>
        <v/>
      </c>
      <c r="AY29" s="285"/>
      <c r="AZ29" s="284"/>
      <c r="BA29" s="286"/>
      <c r="BB29" s="321"/>
      <c r="BC29" s="312"/>
      <c r="BD29" s="385" t="str">
        <f>IF(BC29="","",VLOOKUP(BC29,案件コード!$A$1:$B$31,2,FALSE()))</f>
        <v/>
      </c>
      <c r="BE29" s="385"/>
      <c r="BF29" s="385"/>
      <c r="BG29" s="113" t="str">
        <f t="shared" ref="BG29:BG43" si="13">IF(AND(BH29="",BI29=""),"",SUM(BH29:BI29))</f>
        <v/>
      </c>
      <c r="BH29" s="285"/>
      <c r="BI29" s="284"/>
      <c r="BJ29" s="286"/>
      <c r="BK29" s="321"/>
    </row>
    <row r="30" spans="1:63">
      <c r="A30" s="312"/>
      <c r="B30" s="385" t="str">
        <f>IF(A30="","",VLOOKUP(A30,案件コード!$A$1:$B$31,2,FALSE()))</f>
        <v/>
      </c>
      <c r="C30" s="385"/>
      <c r="D30" s="385"/>
      <c r="E30" s="113" t="str">
        <f t="shared" si="7"/>
        <v/>
      </c>
      <c r="F30" s="285"/>
      <c r="G30" s="284"/>
      <c r="H30" s="286"/>
      <c r="I30" s="322"/>
      <c r="J30" s="312"/>
      <c r="K30" s="385" t="str">
        <f>IF(J30="","",VLOOKUP(J30,案件コード!$A$1:$B$31,2,FALSE()))</f>
        <v/>
      </c>
      <c r="L30" s="385"/>
      <c r="M30" s="385"/>
      <c r="N30" s="113" t="str">
        <f t="shared" si="8"/>
        <v/>
      </c>
      <c r="O30" s="285"/>
      <c r="P30" s="284"/>
      <c r="Q30" s="286"/>
      <c r="R30" s="322"/>
      <c r="S30" s="312"/>
      <c r="T30" s="385" t="str">
        <f>IF(S30="","",VLOOKUP(S30,案件コード!$A$1:$B$31,2,FALSE()))</f>
        <v/>
      </c>
      <c r="U30" s="385"/>
      <c r="V30" s="385"/>
      <c r="W30" s="113" t="str">
        <f t="shared" si="9"/>
        <v/>
      </c>
      <c r="X30" s="285"/>
      <c r="Y30" s="284"/>
      <c r="Z30" s="286"/>
      <c r="AA30" s="322"/>
      <c r="AB30" s="312"/>
      <c r="AC30" s="385" t="str">
        <f>IF(AB30="","",VLOOKUP(AB30,案件コード!$A$1:$B$31,2,FALSE()))</f>
        <v/>
      </c>
      <c r="AD30" s="385"/>
      <c r="AE30" s="385"/>
      <c r="AF30" s="113" t="str">
        <f t="shared" si="10"/>
        <v/>
      </c>
      <c r="AG30" s="285"/>
      <c r="AH30" s="284"/>
      <c r="AI30" s="286"/>
      <c r="AJ30" s="322"/>
      <c r="AK30" s="312"/>
      <c r="AL30" s="385" t="str">
        <f>IF(AK30="","",VLOOKUP(AK30,案件コード!$A$1:$B$31,2,FALSE()))</f>
        <v/>
      </c>
      <c r="AM30" s="385"/>
      <c r="AN30" s="385"/>
      <c r="AO30" s="113" t="str">
        <f t="shared" si="11"/>
        <v/>
      </c>
      <c r="AP30" s="285"/>
      <c r="AQ30" s="284"/>
      <c r="AR30" s="286"/>
      <c r="AS30" s="322"/>
      <c r="AT30" s="312"/>
      <c r="AU30" s="385" t="str">
        <f>IF(AT30="","",VLOOKUP(AT30,案件コード!$A$1:$B$31,2,FALSE()))</f>
        <v/>
      </c>
      <c r="AV30" s="385"/>
      <c r="AW30" s="385"/>
      <c r="AX30" s="113" t="str">
        <f t="shared" si="12"/>
        <v/>
      </c>
      <c r="AY30" s="285"/>
      <c r="AZ30" s="284"/>
      <c r="BA30" s="286"/>
      <c r="BB30" s="322"/>
      <c r="BC30" s="312"/>
      <c r="BD30" s="385" t="str">
        <f>IF(BC30="","",VLOOKUP(BC30,案件コード!$A$1:$B$31,2,FALSE()))</f>
        <v/>
      </c>
      <c r="BE30" s="385"/>
      <c r="BF30" s="385"/>
      <c r="BG30" s="113" t="str">
        <f t="shared" si="13"/>
        <v/>
      </c>
      <c r="BH30" s="285"/>
      <c r="BI30" s="284"/>
      <c r="BJ30" s="286"/>
      <c r="BK30" s="322"/>
    </row>
    <row r="31" spans="1:63">
      <c r="A31" s="312"/>
      <c r="B31" s="385" t="str">
        <f>IF(A31="","",VLOOKUP(A31,案件コード!$A$1:$B$31,2,FALSE()))</f>
        <v/>
      </c>
      <c r="C31" s="385"/>
      <c r="D31" s="385"/>
      <c r="E31" s="113" t="str">
        <f t="shared" si="7"/>
        <v/>
      </c>
      <c r="F31" s="285"/>
      <c r="G31" s="284"/>
      <c r="H31" s="286"/>
      <c r="I31" s="322"/>
      <c r="J31" s="312"/>
      <c r="K31" s="385" t="str">
        <f>IF(J31="","",VLOOKUP(J31,案件コード!$A$1:$B$31,2,FALSE()))</f>
        <v/>
      </c>
      <c r="L31" s="385"/>
      <c r="M31" s="385"/>
      <c r="N31" s="113" t="str">
        <f t="shared" si="8"/>
        <v/>
      </c>
      <c r="O31" s="285"/>
      <c r="P31" s="284"/>
      <c r="Q31" s="286"/>
      <c r="R31" s="322"/>
      <c r="S31" s="312"/>
      <c r="T31" s="385" t="str">
        <f>IF(S31="","",VLOOKUP(S31,案件コード!$A$1:$B$31,2,FALSE()))</f>
        <v/>
      </c>
      <c r="U31" s="385"/>
      <c r="V31" s="385"/>
      <c r="W31" s="113" t="str">
        <f t="shared" si="9"/>
        <v/>
      </c>
      <c r="X31" s="285"/>
      <c r="Y31" s="284"/>
      <c r="Z31" s="286"/>
      <c r="AA31" s="322"/>
      <c r="AB31" s="312"/>
      <c r="AC31" s="385" t="str">
        <f>IF(AB31="","",VLOOKUP(AB31,案件コード!$A$1:$B$31,2,FALSE()))</f>
        <v/>
      </c>
      <c r="AD31" s="385"/>
      <c r="AE31" s="385"/>
      <c r="AF31" s="113" t="str">
        <f t="shared" si="10"/>
        <v/>
      </c>
      <c r="AG31" s="285"/>
      <c r="AH31" s="284"/>
      <c r="AI31" s="286"/>
      <c r="AJ31" s="322"/>
      <c r="AK31" s="312"/>
      <c r="AL31" s="385" t="str">
        <f>IF(AK31="","",VLOOKUP(AK31,案件コード!$A$1:$B$31,2,FALSE()))</f>
        <v/>
      </c>
      <c r="AM31" s="385"/>
      <c r="AN31" s="385"/>
      <c r="AO31" s="113" t="str">
        <f t="shared" si="11"/>
        <v/>
      </c>
      <c r="AP31" s="285"/>
      <c r="AQ31" s="284"/>
      <c r="AR31" s="286"/>
      <c r="AS31" s="322"/>
      <c r="AT31" s="312"/>
      <c r="AU31" s="385" t="str">
        <f>IF(AT31="","",VLOOKUP(AT31,案件コード!$A$1:$B$31,2,FALSE()))</f>
        <v/>
      </c>
      <c r="AV31" s="385"/>
      <c r="AW31" s="385"/>
      <c r="AX31" s="113" t="str">
        <f t="shared" si="12"/>
        <v/>
      </c>
      <c r="AY31" s="285"/>
      <c r="AZ31" s="284"/>
      <c r="BA31" s="286"/>
      <c r="BB31" s="322"/>
      <c r="BC31" s="312"/>
      <c r="BD31" s="385" t="str">
        <f>IF(BC31="","",VLOOKUP(BC31,案件コード!$A$1:$B$31,2,FALSE()))</f>
        <v/>
      </c>
      <c r="BE31" s="385"/>
      <c r="BF31" s="385"/>
      <c r="BG31" s="113" t="str">
        <f t="shared" si="13"/>
        <v/>
      </c>
      <c r="BH31" s="285"/>
      <c r="BI31" s="284"/>
      <c r="BJ31" s="286"/>
      <c r="BK31" s="322"/>
    </row>
    <row r="32" spans="1:63">
      <c r="A32" s="312"/>
      <c r="B32" s="385" t="str">
        <f>IF(A32="","",VLOOKUP(A32,案件コード!$A$1:$B$31,2,FALSE()))</f>
        <v/>
      </c>
      <c r="C32" s="385"/>
      <c r="D32" s="385"/>
      <c r="E32" s="113" t="str">
        <f t="shared" si="7"/>
        <v/>
      </c>
      <c r="F32" s="285"/>
      <c r="G32" s="284"/>
      <c r="H32" s="286"/>
      <c r="I32" s="322"/>
      <c r="J32" s="312"/>
      <c r="K32" s="385" t="str">
        <f>IF(J32="","",VLOOKUP(J32,案件コード!$A$1:$B$31,2,FALSE()))</f>
        <v/>
      </c>
      <c r="L32" s="385"/>
      <c r="M32" s="385"/>
      <c r="N32" s="113" t="str">
        <f t="shared" si="8"/>
        <v/>
      </c>
      <c r="O32" s="285"/>
      <c r="P32" s="284"/>
      <c r="Q32" s="286"/>
      <c r="R32" s="322"/>
      <c r="S32" s="312"/>
      <c r="T32" s="385" t="str">
        <f>IF(S32="","",VLOOKUP(S32,案件コード!$A$1:$B$31,2,FALSE()))</f>
        <v/>
      </c>
      <c r="U32" s="385"/>
      <c r="V32" s="385"/>
      <c r="W32" s="113" t="str">
        <f t="shared" si="9"/>
        <v/>
      </c>
      <c r="X32" s="285"/>
      <c r="Y32" s="284"/>
      <c r="Z32" s="286"/>
      <c r="AA32" s="322"/>
      <c r="AB32" s="312"/>
      <c r="AC32" s="385" t="str">
        <f>IF(AB32="","",VLOOKUP(AB32,案件コード!$A$1:$B$31,2,FALSE()))</f>
        <v/>
      </c>
      <c r="AD32" s="385"/>
      <c r="AE32" s="385"/>
      <c r="AF32" s="113" t="str">
        <f t="shared" si="10"/>
        <v/>
      </c>
      <c r="AG32" s="285"/>
      <c r="AH32" s="284"/>
      <c r="AI32" s="286"/>
      <c r="AJ32" s="322"/>
      <c r="AK32" s="312"/>
      <c r="AL32" s="385" t="str">
        <f>IF(AK32="","",VLOOKUP(AK32,案件コード!$A$1:$B$31,2,FALSE()))</f>
        <v/>
      </c>
      <c r="AM32" s="385"/>
      <c r="AN32" s="385"/>
      <c r="AO32" s="113" t="str">
        <f t="shared" si="11"/>
        <v/>
      </c>
      <c r="AP32" s="285"/>
      <c r="AQ32" s="284"/>
      <c r="AR32" s="286"/>
      <c r="AS32" s="322"/>
      <c r="AT32" s="312"/>
      <c r="AU32" s="385" t="str">
        <f>IF(AT32="","",VLOOKUP(AT32,案件コード!$A$1:$B$31,2,FALSE()))</f>
        <v/>
      </c>
      <c r="AV32" s="385"/>
      <c r="AW32" s="385"/>
      <c r="AX32" s="113" t="str">
        <f t="shared" si="12"/>
        <v/>
      </c>
      <c r="AY32" s="285"/>
      <c r="AZ32" s="284"/>
      <c r="BA32" s="286"/>
      <c r="BB32" s="322"/>
      <c r="BC32" s="312"/>
      <c r="BD32" s="385" t="str">
        <f>IF(BC32="","",VLOOKUP(BC32,案件コード!$A$1:$B$31,2,FALSE()))</f>
        <v/>
      </c>
      <c r="BE32" s="385"/>
      <c r="BF32" s="385"/>
      <c r="BG32" s="113" t="str">
        <f t="shared" si="13"/>
        <v/>
      </c>
      <c r="BH32" s="285"/>
      <c r="BI32" s="284"/>
      <c r="BJ32" s="286"/>
      <c r="BK32" s="322"/>
    </row>
    <row r="33" spans="1:63">
      <c r="A33" s="312"/>
      <c r="B33" s="385" t="str">
        <f>IF(A33="","",VLOOKUP(A33,案件コード!$A$1:$B$31,2,FALSE()))</f>
        <v/>
      </c>
      <c r="C33" s="385"/>
      <c r="D33" s="385"/>
      <c r="E33" s="113" t="str">
        <f t="shared" si="7"/>
        <v/>
      </c>
      <c r="F33" s="285"/>
      <c r="G33" s="284"/>
      <c r="H33" s="286"/>
      <c r="I33" s="322"/>
      <c r="J33" s="312"/>
      <c r="K33" s="385" t="str">
        <f>IF(J33="","",VLOOKUP(J33,案件コード!$A$1:$B$31,2,FALSE()))</f>
        <v/>
      </c>
      <c r="L33" s="385"/>
      <c r="M33" s="385"/>
      <c r="N33" s="113" t="str">
        <f t="shared" si="8"/>
        <v/>
      </c>
      <c r="O33" s="285"/>
      <c r="P33" s="284"/>
      <c r="Q33" s="286"/>
      <c r="R33" s="322"/>
      <c r="S33" s="312"/>
      <c r="T33" s="385" t="str">
        <f>IF(S33="","",VLOOKUP(S33,案件コード!$A$1:$B$31,2,FALSE()))</f>
        <v/>
      </c>
      <c r="U33" s="385"/>
      <c r="V33" s="385"/>
      <c r="W33" s="113" t="str">
        <f t="shared" si="9"/>
        <v/>
      </c>
      <c r="X33" s="285"/>
      <c r="Y33" s="284"/>
      <c r="Z33" s="286"/>
      <c r="AA33" s="322"/>
      <c r="AB33" s="312"/>
      <c r="AC33" s="385" t="str">
        <f>IF(AB33="","",VLOOKUP(AB33,案件コード!$A$1:$B$31,2,FALSE()))</f>
        <v/>
      </c>
      <c r="AD33" s="385"/>
      <c r="AE33" s="385"/>
      <c r="AF33" s="113" t="str">
        <f t="shared" si="10"/>
        <v/>
      </c>
      <c r="AG33" s="285"/>
      <c r="AH33" s="284"/>
      <c r="AI33" s="286"/>
      <c r="AJ33" s="322"/>
      <c r="AK33" s="312"/>
      <c r="AL33" s="385" t="str">
        <f>IF(AK33="","",VLOOKUP(AK33,案件コード!$A$1:$B$31,2,FALSE()))</f>
        <v/>
      </c>
      <c r="AM33" s="385"/>
      <c r="AN33" s="385"/>
      <c r="AO33" s="113" t="str">
        <f t="shared" si="11"/>
        <v/>
      </c>
      <c r="AP33" s="285"/>
      <c r="AQ33" s="284"/>
      <c r="AR33" s="286"/>
      <c r="AS33" s="322"/>
      <c r="AT33" s="312"/>
      <c r="AU33" s="385" t="str">
        <f>IF(AT33="","",VLOOKUP(AT33,案件コード!$A$1:$B$31,2,FALSE()))</f>
        <v/>
      </c>
      <c r="AV33" s="385"/>
      <c r="AW33" s="385"/>
      <c r="AX33" s="113" t="str">
        <f t="shared" si="12"/>
        <v/>
      </c>
      <c r="AY33" s="285"/>
      <c r="AZ33" s="284"/>
      <c r="BA33" s="286"/>
      <c r="BB33" s="322"/>
      <c r="BC33" s="312"/>
      <c r="BD33" s="385" t="str">
        <f>IF(BC33="","",VLOOKUP(BC33,案件コード!$A$1:$B$31,2,FALSE()))</f>
        <v/>
      </c>
      <c r="BE33" s="385"/>
      <c r="BF33" s="385"/>
      <c r="BG33" s="113" t="str">
        <f t="shared" si="13"/>
        <v/>
      </c>
      <c r="BH33" s="285"/>
      <c r="BI33" s="284"/>
      <c r="BJ33" s="286"/>
      <c r="BK33" s="322"/>
    </row>
    <row r="34" spans="1:63">
      <c r="A34" s="312"/>
      <c r="B34" s="385" t="str">
        <f>IF(A34="","",VLOOKUP(A34,案件コード!$A$1:$B$31,2,FALSE()))</f>
        <v/>
      </c>
      <c r="C34" s="385"/>
      <c r="D34" s="385"/>
      <c r="E34" s="113" t="str">
        <f t="shared" si="7"/>
        <v/>
      </c>
      <c r="F34" s="285"/>
      <c r="G34" s="284"/>
      <c r="H34" s="286"/>
      <c r="I34" s="322"/>
      <c r="J34" s="312"/>
      <c r="K34" s="385" t="str">
        <f>IF(J34="","",VLOOKUP(J34,案件コード!$A$1:$B$31,2,FALSE()))</f>
        <v/>
      </c>
      <c r="L34" s="385"/>
      <c r="M34" s="385"/>
      <c r="N34" s="113" t="str">
        <f t="shared" si="8"/>
        <v/>
      </c>
      <c r="O34" s="285"/>
      <c r="P34" s="284"/>
      <c r="Q34" s="286"/>
      <c r="R34" s="322"/>
      <c r="S34" s="312"/>
      <c r="T34" s="385" t="str">
        <f>IF(S34="","",VLOOKUP(S34,案件コード!$A$1:$B$31,2,FALSE()))</f>
        <v/>
      </c>
      <c r="U34" s="385"/>
      <c r="V34" s="385"/>
      <c r="W34" s="113" t="str">
        <f t="shared" si="9"/>
        <v/>
      </c>
      <c r="X34" s="285"/>
      <c r="Y34" s="284"/>
      <c r="Z34" s="286"/>
      <c r="AA34" s="322"/>
      <c r="AB34" s="312"/>
      <c r="AC34" s="385" t="str">
        <f>IF(AB34="","",VLOOKUP(AB34,案件コード!$A$1:$B$31,2,FALSE()))</f>
        <v/>
      </c>
      <c r="AD34" s="385"/>
      <c r="AE34" s="385"/>
      <c r="AF34" s="113" t="str">
        <f t="shared" si="10"/>
        <v/>
      </c>
      <c r="AG34" s="285"/>
      <c r="AH34" s="284"/>
      <c r="AI34" s="286"/>
      <c r="AJ34" s="322"/>
      <c r="AK34" s="312"/>
      <c r="AL34" s="385" t="str">
        <f>IF(AK34="","",VLOOKUP(AK34,案件コード!$A$1:$B$31,2,FALSE()))</f>
        <v/>
      </c>
      <c r="AM34" s="385"/>
      <c r="AN34" s="385"/>
      <c r="AO34" s="113" t="str">
        <f t="shared" si="11"/>
        <v/>
      </c>
      <c r="AP34" s="285"/>
      <c r="AQ34" s="284"/>
      <c r="AR34" s="286"/>
      <c r="AS34" s="322"/>
      <c r="AT34" s="312"/>
      <c r="AU34" s="385" t="str">
        <f>IF(AT34="","",VLOOKUP(AT34,案件コード!$A$1:$B$31,2,FALSE()))</f>
        <v/>
      </c>
      <c r="AV34" s="385"/>
      <c r="AW34" s="385"/>
      <c r="AX34" s="113" t="str">
        <f t="shared" si="12"/>
        <v/>
      </c>
      <c r="AY34" s="285"/>
      <c r="AZ34" s="284"/>
      <c r="BA34" s="286"/>
      <c r="BB34" s="322"/>
      <c r="BC34" s="312"/>
      <c r="BD34" s="385" t="str">
        <f>IF(BC34="","",VLOOKUP(BC34,案件コード!$A$1:$B$31,2,FALSE()))</f>
        <v/>
      </c>
      <c r="BE34" s="385"/>
      <c r="BF34" s="385"/>
      <c r="BG34" s="113" t="str">
        <f t="shared" si="13"/>
        <v/>
      </c>
      <c r="BH34" s="285"/>
      <c r="BI34" s="284"/>
      <c r="BJ34" s="286"/>
      <c r="BK34" s="322"/>
    </row>
    <row r="35" spans="1:63">
      <c r="A35" s="312"/>
      <c r="B35" s="385" t="str">
        <f>IF(A35="","",VLOOKUP(A35,案件コード!$A$1:$B$31,2,FALSE()))</f>
        <v/>
      </c>
      <c r="C35" s="385"/>
      <c r="D35" s="385"/>
      <c r="E35" s="113" t="str">
        <f t="shared" si="7"/>
        <v/>
      </c>
      <c r="F35" s="285"/>
      <c r="G35" s="284"/>
      <c r="H35" s="286"/>
      <c r="I35" s="322"/>
      <c r="J35" s="312"/>
      <c r="K35" s="385" t="str">
        <f>IF(J35="","",VLOOKUP(J35,案件コード!$A$1:$B$31,2,FALSE()))</f>
        <v/>
      </c>
      <c r="L35" s="385"/>
      <c r="M35" s="385"/>
      <c r="N35" s="113" t="str">
        <f t="shared" si="8"/>
        <v/>
      </c>
      <c r="O35" s="285"/>
      <c r="P35" s="284"/>
      <c r="Q35" s="286"/>
      <c r="R35" s="322"/>
      <c r="S35" s="312"/>
      <c r="T35" s="385" t="str">
        <f>IF(S35="","",VLOOKUP(S35,案件コード!$A$1:$B$31,2,FALSE()))</f>
        <v/>
      </c>
      <c r="U35" s="385"/>
      <c r="V35" s="385"/>
      <c r="W35" s="113" t="str">
        <f t="shared" si="9"/>
        <v/>
      </c>
      <c r="X35" s="285"/>
      <c r="Y35" s="284"/>
      <c r="Z35" s="286"/>
      <c r="AA35" s="322"/>
      <c r="AB35" s="312"/>
      <c r="AC35" s="385" t="str">
        <f>IF(AB35="","",VLOOKUP(AB35,案件コード!$A$1:$B$31,2,FALSE()))</f>
        <v/>
      </c>
      <c r="AD35" s="385"/>
      <c r="AE35" s="385"/>
      <c r="AF35" s="113" t="str">
        <f t="shared" si="10"/>
        <v/>
      </c>
      <c r="AG35" s="285"/>
      <c r="AH35" s="284"/>
      <c r="AI35" s="286"/>
      <c r="AJ35" s="322"/>
      <c r="AK35" s="312"/>
      <c r="AL35" s="385" t="str">
        <f>IF(AK35="","",VLOOKUP(AK35,案件コード!$A$1:$B$31,2,FALSE()))</f>
        <v/>
      </c>
      <c r="AM35" s="385"/>
      <c r="AN35" s="385"/>
      <c r="AO35" s="113" t="str">
        <f t="shared" si="11"/>
        <v/>
      </c>
      <c r="AP35" s="285"/>
      <c r="AQ35" s="284"/>
      <c r="AR35" s="286"/>
      <c r="AS35" s="322"/>
      <c r="AT35" s="312"/>
      <c r="AU35" s="385" t="str">
        <f>IF(AT35="","",VLOOKUP(AT35,案件コード!$A$1:$B$31,2,FALSE()))</f>
        <v/>
      </c>
      <c r="AV35" s="385"/>
      <c r="AW35" s="385"/>
      <c r="AX35" s="113" t="str">
        <f t="shared" si="12"/>
        <v/>
      </c>
      <c r="AY35" s="285"/>
      <c r="AZ35" s="284"/>
      <c r="BA35" s="286"/>
      <c r="BB35" s="322"/>
      <c r="BC35" s="312"/>
      <c r="BD35" s="385" t="str">
        <f>IF(BC35="","",VLOOKUP(BC35,案件コード!$A$1:$B$31,2,FALSE()))</f>
        <v/>
      </c>
      <c r="BE35" s="385"/>
      <c r="BF35" s="385"/>
      <c r="BG35" s="113" t="str">
        <f t="shared" si="13"/>
        <v/>
      </c>
      <c r="BH35" s="285"/>
      <c r="BI35" s="284"/>
      <c r="BJ35" s="286"/>
      <c r="BK35" s="322"/>
    </row>
    <row r="36" spans="1:63">
      <c r="A36" s="312"/>
      <c r="B36" s="385" t="str">
        <f>IF(A36="","",VLOOKUP(A36,案件コード!$A$1:$B$31,2,FALSE()))</f>
        <v/>
      </c>
      <c r="C36" s="385"/>
      <c r="D36" s="385"/>
      <c r="E36" s="113" t="str">
        <f t="shared" si="7"/>
        <v/>
      </c>
      <c r="F36" s="285"/>
      <c r="G36" s="284"/>
      <c r="H36" s="286"/>
      <c r="I36" s="322"/>
      <c r="J36" s="312"/>
      <c r="K36" s="385" t="str">
        <f>IF(J36="","",VLOOKUP(J36,案件コード!$A$1:$B$31,2,FALSE()))</f>
        <v/>
      </c>
      <c r="L36" s="385"/>
      <c r="M36" s="385"/>
      <c r="N36" s="113" t="str">
        <f t="shared" si="8"/>
        <v/>
      </c>
      <c r="O36" s="285"/>
      <c r="P36" s="284"/>
      <c r="Q36" s="286"/>
      <c r="R36" s="322"/>
      <c r="S36" s="312"/>
      <c r="T36" s="385" t="str">
        <f>IF(S36="","",VLOOKUP(S36,案件コード!$A$1:$B$31,2,FALSE()))</f>
        <v/>
      </c>
      <c r="U36" s="385"/>
      <c r="V36" s="385"/>
      <c r="W36" s="113" t="str">
        <f t="shared" si="9"/>
        <v/>
      </c>
      <c r="X36" s="285"/>
      <c r="Y36" s="284"/>
      <c r="Z36" s="286"/>
      <c r="AA36" s="322"/>
      <c r="AB36" s="312"/>
      <c r="AC36" s="385" t="str">
        <f>IF(AB36="","",VLOOKUP(AB36,案件コード!$A$1:$B$31,2,FALSE()))</f>
        <v/>
      </c>
      <c r="AD36" s="385"/>
      <c r="AE36" s="385"/>
      <c r="AF36" s="113" t="str">
        <f t="shared" si="10"/>
        <v/>
      </c>
      <c r="AG36" s="285"/>
      <c r="AH36" s="284"/>
      <c r="AI36" s="286"/>
      <c r="AJ36" s="322"/>
      <c r="AK36" s="312"/>
      <c r="AL36" s="385" t="str">
        <f>IF(AK36="","",VLOOKUP(AK36,案件コード!$A$1:$B$31,2,FALSE()))</f>
        <v/>
      </c>
      <c r="AM36" s="385"/>
      <c r="AN36" s="385"/>
      <c r="AO36" s="113" t="str">
        <f t="shared" si="11"/>
        <v/>
      </c>
      <c r="AP36" s="285"/>
      <c r="AQ36" s="284"/>
      <c r="AR36" s="286"/>
      <c r="AS36" s="322"/>
      <c r="AT36" s="312"/>
      <c r="AU36" s="385" t="str">
        <f>IF(AT36="","",VLOOKUP(AT36,案件コード!$A$1:$B$31,2,FALSE()))</f>
        <v/>
      </c>
      <c r="AV36" s="385"/>
      <c r="AW36" s="385"/>
      <c r="AX36" s="113" t="str">
        <f t="shared" si="12"/>
        <v/>
      </c>
      <c r="AY36" s="285"/>
      <c r="AZ36" s="284"/>
      <c r="BA36" s="286"/>
      <c r="BB36" s="322"/>
      <c r="BC36" s="312"/>
      <c r="BD36" s="385" t="str">
        <f>IF(BC36="","",VLOOKUP(BC36,案件コード!$A$1:$B$31,2,FALSE()))</f>
        <v/>
      </c>
      <c r="BE36" s="385"/>
      <c r="BF36" s="385"/>
      <c r="BG36" s="113" t="str">
        <f t="shared" si="13"/>
        <v/>
      </c>
      <c r="BH36" s="285"/>
      <c r="BI36" s="284"/>
      <c r="BJ36" s="286"/>
      <c r="BK36" s="322"/>
    </row>
    <row r="37" spans="1:63">
      <c r="A37" s="312"/>
      <c r="B37" s="385" t="str">
        <f>IF(A37="","",VLOOKUP(A37,案件コード!$A$1:$B$31,2,FALSE()))</f>
        <v/>
      </c>
      <c r="C37" s="385"/>
      <c r="D37" s="385"/>
      <c r="E37" s="113" t="str">
        <f t="shared" si="7"/>
        <v/>
      </c>
      <c r="F37" s="285"/>
      <c r="G37" s="284"/>
      <c r="H37" s="286"/>
      <c r="I37" s="322"/>
      <c r="J37" s="312"/>
      <c r="K37" s="385" t="str">
        <f>IF(J37="","",VLOOKUP(J37,案件コード!$A$1:$B$31,2,FALSE()))</f>
        <v/>
      </c>
      <c r="L37" s="385"/>
      <c r="M37" s="385"/>
      <c r="N37" s="113" t="str">
        <f t="shared" si="8"/>
        <v/>
      </c>
      <c r="O37" s="285"/>
      <c r="P37" s="284"/>
      <c r="Q37" s="286"/>
      <c r="R37" s="322"/>
      <c r="S37" s="312"/>
      <c r="T37" s="385" t="str">
        <f>IF(S37="","",VLOOKUP(S37,案件コード!$A$1:$B$31,2,FALSE()))</f>
        <v/>
      </c>
      <c r="U37" s="385"/>
      <c r="V37" s="385"/>
      <c r="W37" s="113" t="str">
        <f t="shared" si="9"/>
        <v/>
      </c>
      <c r="X37" s="285"/>
      <c r="Y37" s="284"/>
      <c r="Z37" s="286"/>
      <c r="AA37" s="322"/>
      <c r="AB37" s="312"/>
      <c r="AC37" s="385" t="str">
        <f>IF(AB37="","",VLOOKUP(AB37,案件コード!$A$1:$B$31,2,FALSE()))</f>
        <v/>
      </c>
      <c r="AD37" s="385"/>
      <c r="AE37" s="385"/>
      <c r="AF37" s="113" t="str">
        <f t="shared" si="10"/>
        <v/>
      </c>
      <c r="AG37" s="285"/>
      <c r="AH37" s="284"/>
      <c r="AI37" s="286"/>
      <c r="AJ37" s="322"/>
      <c r="AK37" s="312"/>
      <c r="AL37" s="385" t="str">
        <f>IF(AK37="","",VLOOKUP(AK37,案件コード!$A$1:$B$31,2,FALSE()))</f>
        <v/>
      </c>
      <c r="AM37" s="385"/>
      <c r="AN37" s="385"/>
      <c r="AO37" s="113" t="str">
        <f t="shared" si="11"/>
        <v/>
      </c>
      <c r="AP37" s="285"/>
      <c r="AQ37" s="284"/>
      <c r="AR37" s="286"/>
      <c r="AS37" s="322"/>
      <c r="AT37" s="312"/>
      <c r="AU37" s="385" t="str">
        <f>IF(AT37="","",VLOOKUP(AT37,案件コード!$A$1:$B$31,2,FALSE()))</f>
        <v/>
      </c>
      <c r="AV37" s="385"/>
      <c r="AW37" s="385"/>
      <c r="AX37" s="113" t="str">
        <f t="shared" si="12"/>
        <v/>
      </c>
      <c r="AY37" s="285"/>
      <c r="AZ37" s="284"/>
      <c r="BA37" s="286"/>
      <c r="BB37" s="322"/>
      <c r="BC37" s="312"/>
      <c r="BD37" s="385" t="str">
        <f>IF(BC37="","",VLOOKUP(BC37,案件コード!$A$1:$B$31,2,FALSE()))</f>
        <v/>
      </c>
      <c r="BE37" s="385"/>
      <c r="BF37" s="385"/>
      <c r="BG37" s="113" t="str">
        <f t="shared" si="13"/>
        <v/>
      </c>
      <c r="BH37" s="285"/>
      <c r="BI37" s="284"/>
      <c r="BJ37" s="286"/>
      <c r="BK37" s="322"/>
    </row>
    <row r="38" spans="1:63">
      <c r="A38" s="312"/>
      <c r="B38" s="385" t="str">
        <f>IF(A38="","",VLOOKUP(A38,案件コード!$A$1:$B$31,2,FALSE()))</f>
        <v/>
      </c>
      <c r="C38" s="385"/>
      <c r="D38" s="385"/>
      <c r="E38" s="113" t="str">
        <f t="shared" si="7"/>
        <v/>
      </c>
      <c r="F38" s="285"/>
      <c r="G38" s="284"/>
      <c r="H38" s="286"/>
      <c r="I38" s="322"/>
      <c r="J38" s="312"/>
      <c r="K38" s="385" t="str">
        <f>IF(J38="","",VLOOKUP(J38,案件コード!$A$1:$B$31,2,FALSE()))</f>
        <v/>
      </c>
      <c r="L38" s="385"/>
      <c r="M38" s="385"/>
      <c r="N38" s="113" t="str">
        <f t="shared" si="8"/>
        <v/>
      </c>
      <c r="O38" s="285"/>
      <c r="P38" s="284"/>
      <c r="Q38" s="286"/>
      <c r="R38" s="322"/>
      <c r="S38" s="312"/>
      <c r="T38" s="385" t="str">
        <f>IF(S38="","",VLOOKUP(S38,案件コード!$A$1:$B$31,2,FALSE()))</f>
        <v/>
      </c>
      <c r="U38" s="385"/>
      <c r="V38" s="385"/>
      <c r="W38" s="113" t="str">
        <f t="shared" si="9"/>
        <v/>
      </c>
      <c r="X38" s="285"/>
      <c r="Y38" s="284"/>
      <c r="Z38" s="286"/>
      <c r="AA38" s="322"/>
      <c r="AB38" s="312"/>
      <c r="AC38" s="385" t="str">
        <f>IF(AB38="","",VLOOKUP(AB38,案件コード!$A$1:$B$31,2,FALSE()))</f>
        <v/>
      </c>
      <c r="AD38" s="385"/>
      <c r="AE38" s="385"/>
      <c r="AF38" s="113" t="str">
        <f t="shared" si="10"/>
        <v/>
      </c>
      <c r="AG38" s="285"/>
      <c r="AH38" s="284"/>
      <c r="AI38" s="286"/>
      <c r="AJ38" s="322"/>
      <c r="AK38" s="312"/>
      <c r="AL38" s="385" t="str">
        <f>IF(AK38="","",VLOOKUP(AK38,案件コード!$A$1:$B$31,2,FALSE()))</f>
        <v/>
      </c>
      <c r="AM38" s="385"/>
      <c r="AN38" s="385"/>
      <c r="AO38" s="113" t="str">
        <f t="shared" si="11"/>
        <v/>
      </c>
      <c r="AP38" s="285"/>
      <c r="AQ38" s="284"/>
      <c r="AR38" s="286"/>
      <c r="AS38" s="322"/>
      <c r="AT38" s="312"/>
      <c r="AU38" s="385" t="str">
        <f>IF(AT38="","",VLOOKUP(AT38,案件コード!$A$1:$B$31,2,FALSE()))</f>
        <v/>
      </c>
      <c r="AV38" s="385"/>
      <c r="AW38" s="385"/>
      <c r="AX38" s="113" t="str">
        <f t="shared" si="12"/>
        <v/>
      </c>
      <c r="AY38" s="285"/>
      <c r="AZ38" s="284"/>
      <c r="BA38" s="286"/>
      <c r="BB38" s="322"/>
      <c r="BC38" s="312"/>
      <c r="BD38" s="385" t="str">
        <f>IF(BC38="","",VLOOKUP(BC38,案件コード!$A$1:$B$31,2,FALSE()))</f>
        <v/>
      </c>
      <c r="BE38" s="385"/>
      <c r="BF38" s="385"/>
      <c r="BG38" s="113" t="str">
        <f t="shared" si="13"/>
        <v/>
      </c>
      <c r="BH38" s="285"/>
      <c r="BI38" s="284"/>
      <c r="BJ38" s="286"/>
      <c r="BK38" s="322"/>
    </row>
    <row r="39" spans="1:63">
      <c r="A39" s="312"/>
      <c r="B39" s="385" t="str">
        <f>IF(A39="","",VLOOKUP(A39,案件コード!$A$1:$B$31,2,FALSE()))</f>
        <v/>
      </c>
      <c r="C39" s="385"/>
      <c r="D39" s="385"/>
      <c r="E39" s="113" t="str">
        <f t="shared" si="7"/>
        <v/>
      </c>
      <c r="F39" s="285"/>
      <c r="G39" s="284"/>
      <c r="H39" s="286"/>
      <c r="I39" s="322"/>
      <c r="J39" s="312"/>
      <c r="K39" s="385" t="str">
        <f>IF(J39="","",VLOOKUP(J39,案件コード!$A$1:$B$31,2,FALSE()))</f>
        <v/>
      </c>
      <c r="L39" s="385"/>
      <c r="M39" s="385"/>
      <c r="N39" s="113" t="str">
        <f t="shared" si="8"/>
        <v/>
      </c>
      <c r="O39" s="285"/>
      <c r="P39" s="284"/>
      <c r="Q39" s="286"/>
      <c r="R39" s="322"/>
      <c r="S39" s="312"/>
      <c r="T39" s="385" t="str">
        <f>IF(S39="","",VLOOKUP(S39,案件コード!$A$1:$B$31,2,FALSE()))</f>
        <v/>
      </c>
      <c r="U39" s="385"/>
      <c r="V39" s="385"/>
      <c r="W39" s="113" t="str">
        <f t="shared" si="9"/>
        <v/>
      </c>
      <c r="X39" s="285"/>
      <c r="Y39" s="284"/>
      <c r="Z39" s="286"/>
      <c r="AA39" s="322"/>
      <c r="AB39" s="312"/>
      <c r="AC39" s="385" t="str">
        <f>IF(AB39="","",VLOOKUP(AB39,案件コード!$A$1:$B$31,2,FALSE()))</f>
        <v/>
      </c>
      <c r="AD39" s="385"/>
      <c r="AE39" s="385"/>
      <c r="AF39" s="113" t="str">
        <f t="shared" si="10"/>
        <v/>
      </c>
      <c r="AG39" s="285"/>
      <c r="AH39" s="284"/>
      <c r="AI39" s="286"/>
      <c r="AJ39" s="322"/>
      <c r="AK39" s="312"/>
      <c r="AL39" s="385" t="str">
        <f>IF(AK39="","",VLOOKUP(AK39,案件コード!$A$1:$B$31,2,FALSE()))</f>
        <v/>
      </c>
      <c r="AM39" s="385"/>
      <c r="AN39" s="385"/>
      <c r="AO39" s="113" t="str">
        <f t="shared" si="11"/>
        <v/>
      </c>
      <c r="AP39" s="285"/>
      <c r="AQ39" s="284"/>
      <c r="AR39" s="286"/>
      <c r="AS39" s="322"/>
      <c r="AT39" s="312"/>
      <c r="AU39" s="385" t="str">
        <f>IF(AT39="","",VLOOKUP(AT39,案件コード!$A$1:$B$31,2,FALSE()))</f>
        <v/>
      </c>
      <c r="AV39" s="385"/>
      <c r="AW39" s="385"/>
      <c r="AX39" s="113" t="str">
        <f t="shared" si="12"/>
        <v/>
      </c>
      <c r="AY39" s="285"/>
      <c r="AZ39" s="284"/>
      <c r="BA39" s="286"/>
      <c r="BB39" s="322"/>
      <c r="BC39" s="312"/>
      <c r="BD39" s="385" t="str">
        <f>IF(BC39="","",VLOOKUP(BC39,案件コード!$A$1:$B$31,2,FALSE()))</f>
        <v/>
      </c>
      <c r="BE39" s="385"/>
      <c r="BF39" s="385"/>
      <c r="BG39" s="113" t="str">
        <f t="shared" si="13"/>
        <v/>
      </c>
      <c r="BH39" s="285"/>
      <c r="BI39" s="284"/>
      <c r="BJ39" s="286"/>
      <c r="BK39" s="322"/>
    </row>
    <row r="40" spans="1:63">
      <c r="A40" s="312"/>
      <c r="B40" s="385" t="str">
        <f>IF(A40="","",VLOOKUP(A40,案件コード!$A$1:$B$31,2,FALSE()))</f>
        <v/>
      </c>
      <c r="C40" s="385"/>
      <c r="D40" s="385"/>
      <c r="E40" s="113" t="str">
        <f t="shared" si="7"/>
        <v/>
      </c>
      <c r="F40" s="285"/>
      <c r="G40" s="284"/>
      <c r="H40" s="286"/>
      <c r="I40" s="322"/>
      <c r="J40" s="312"/>
      <c r="K40" s="385" t="str">
        <f>IF(J40="","",VLOOKUP(J40,案件コード!$A$1:$B$31,2,FALSE()))</f>
        <v/>
      </c>
      <c r="L40" s="385"/>
      <c r="M40" s="385"/>
      <c r="N40" s="113" t="str">
        <f t="shared" si="8"/>
        <v/>
      </c>
      <c r="O40" s="285"/>
      <c r="P40" s="284"/>
      <c r="Q40" s="286"/>
      <c r="R40" s="322"/>
      <c r="S40" s="312"/>
      <c r="T40" s="385" t="str">
        <f>IF(S40="","",VLOOKUP(S40,案件コード!$A$1:$B$31,2,FALSE()))</f>
        <v/>
      </c>
      <c r="U40" s="385"/>
      <c r="V40" s="385"/>
      <c r="W40" s="113" t="str">
        <f t="shared" si="9"/>
        <v/>
      </c>
      <c r="X40" s="285"/>
      <c r="Y40" s="284"/>
      <c r="Z40" s="286"/>
      <c r="AA40" s="322"/>
      <c r="AB40" s="312"/>
      <c r="AC40" s="385" t="str">
        <f>IF(AB40="","",VLOOKUP(AB40,案件コード!$A$1:$B$31,2,FALSE()))</f>
        <v/>
      </c>
      <c r="AD40" s="385"/>
      <c r="AE40" s="385"/>
      <c r="AF40" s="113" t="str">
        <f t="shared" si="10"/>
        <v/>
      </c>
      <c r="AG40" s="285"/>
      <c r="AH40" s="284"/>
      <c r="AI40" s="286"/>
      <c r="AJ40" s="322"/>
      <c r="AK40" s="312"/>
      <c r="AL40" s="385" t="str">
        <f>IF(AK40="","",VLOOKUP(AK40,案件コード!$A$1:$B$31,2,FALSE()))</f>
        <v/>
      </c>
      <c r="AM40" s="385"/>
      <c r="AN40" s="385"/>
      <c r="AO40" s="113" t="str">
        <f t="shared" si="11"/>
        <v/>
      </c>
      <c r="AP40" s="285"/>
      <c r="AQ40" s="284"/>
      <c r="AR40" s="286"/>
      <c r="AS40" s="322"/>
      <c r="AT40" s="312"/>
      <c r="AU40" s="385" t="str">
        <f>IF(AT40="","",VLOOKUP(AT40,案件コード!$A$1:$B$31,2,FALSE()))</f>
        <v/>
      </c>
      <c r="AV40" s="385"/>
      <c r="AW40" s="385"/>
      <c r="AX40" s="113" t="str">
        <f t="shared" si="12"/>
        <v/>
      </c>
      <c r="AY40" s="285"/>
      <c r="AZ40" s="284"/>
      <c r="BA40" s="286"/>
      <c r="BB40" s="322"/>
      <c r="BC40" s="312"/>
      <c r="BD40" s="385" t="str">
        <f>IF(BC40="","",VLOOKUP(BC40,案件コード!$A$1:$B$31,2,FALSE()))</f>
        <v/>
      </c>
      <c r="BE40" s="385"/>
      <c r="BF40" s="385"/>
      <c r="BG40" s="113" t="str">
        <f t="shared" si="13"/>
        <v/>
      </c>
      <c r="BH40" s="285"/>
      <c r="BI40" s="284"/>
      <c r="BJ40" s="286"/>
      <c r="BK40" s="322"/>
    </row>
    <row r="41" spans="1:63">
      <c r="A41" s="312"/>
      <c r="B41" s="385" t="str">
        <f>IF(A41="","",VLOOKUP(A41,案件コード!$A$1:$B$31,2,FALSE()))</f>
        <v/>
      </c>
      <c r="C41" s="385"/>
      <c r="D41" s="385"/>
      <c r="E41" s="113" t="str">
        <f t="shared" si="7"/>
        <v/>
      </c>
      <c r="F41" s="285"/>
      <c r="G41" s="284"/>
      <c r="H41" s="286"/>
      <c r="I41" s="322"/>
      <c r="J41" s="312"/>
      <c r="K41" s="385" t="str">
        <f>IF(J41="","",VLOOKUP(J41,案件コード!$A$1:$B$31,2,FALSE()))</f>
        <v/>
      </c>
      <c r="L41" s="385"/>
      <c r="M41" s="385"/>
      <c r="N41" s="113" t="str">
        <f t="shared" si="8"/>
        <v/>
      </c>
      <c r="O41" s="285"/>
      <c r="P41" s="284"/>
      <c r="Q41" s="286"/>
      <c r="R41" s="322"/>
      <c r="S41" s="312"/>
      <c r="T41" s="385" t="str">
        <f>IF(S41="","",VLOOKUP(S41,案件コード!$A$1:$B$31,2,FALSE()))</f>
        <v/>
      </c>
      <c r="U41" s="385"/>
      <c r="V41" s="385"/>
      <c r="W41" s="113" t="str">
        <f t="shared" si="9"/>
        <v/>
      </c>
      <c r="X41" s="285"/>
      <c r="Y41" s="284"/>
      <c r="Z41" s="286"/>
      <c r="AA41" s="322"/>
      <c r="AB41" s="312"/>
      <c r="AC41" s="385" t="str">
        <f>IF(AB41="","",VLOOKUP(AB41,案件コード!$A$1:$B$31,2,FALSE()))</f>
        <v/>
      </c>
      <c r="AD41" s="385"/>
      <c r="AE41" s="385"/>
      <c r="AF41" s="113" t="str">
        <f t="shared" si="10"/>
        <v/>
      </c>
      <c r="AG41" s="285"/>
      <c r="AH41" s="284"/>
      <c r="AI41" s="286"/>
      <c r="AJ41" s="322"/>
      <c r="AK41" s="312"/>
      <c r="AL41" s="385" t="str">
        <f>IF(AK41="","",VLOOKUP(AK41,案件コード!$A$1:$B$31,2,FALSE()))</f>
        <v/>
      </c>
      <c r="AM41" s="385"/>
      <c r="AN41" s="385"/>
      <c r="AO41" s="113" t="str">
        <f t="shared" si="11"/>
        <v/>
      </c>
      <c r="AP41" s="285"/>
      <c r="AQ41" s="284"/>
      <c r="AR41" s="286"/>
      <c r="AS41" s="322"/>
      <c r="AT41" s="312"/>
      <c r="AU41" s="385" t="str">
        <f>IF(AT41="","",VLOOKUP(AT41,案件コード!$A$1:$B$31,2,FALSE()))</f>
        <v/>
      </c>
      <c r="AV41" s="385"/>
      <c r="AW41" s="385"/>
      <c r="AX41" s="113" t="str">
        <f t="shared" si="12"/>
        <v/>
      </c>
      <c r="AY41" s="285"/>
      <c r="AZ41" s="284"/>
      <c r="BA41" s="286"/>
      <c r="BB41" s="322"/>
      <c r="BC41" s="312"/>
      <c r="BD41" s="385" t="str">
        <f>IF(BC41="","",VLOOKUP(BC41,案件コード!$A$1:$B$31,2,FALSE()))</f>
        <v/>
      </c>
      <c r="BE41" s="385"/>
      <c r="BF41" s="385"/>
      <c r="BG41" s="113" t="str">
        <f t="shared" si="13"/>
        <v/>
      </c>
      <c r="BH41" s="285"/>
      <c r="BI41" s="284"/>
      <c r="BJ41" s="286"/>
      <c r="BK41" s="322"/>
    </row>
    <row r="42" spans="1:63">
      <c r="A42" s="312"/>
      <c r="B42" s="385" t="str">
        <f>IF(A42="","",VLOOKUP(A42,案件コード!$A$1:$B$31,2,FALSE()))</f>
        <v/>
      </c>
      <c r="C42" s="385"/>
      <c r="D42" s="385"/>
      <c r="E42" s="113" t="str">
        <f t="shared" si="7"/>
        <v/>
      </c>
      <c r="F42" s="285"/>
      <c r="G42" s="284"/>
      <c r="H42" s="286"/>
      <c r="I42" s="322"/>
      <c r="J42" s="312"/>
      <c r="K42" s="385" t="str">
        <f>IF(J42="","",VLOOKUP(J42,案件コード!$A$1:$B$31,2,FALSE()))</f>
        <v/>
      </c>
      <c r="L42" s="385"/>
      <c r="M42" s="385"/>
      <c r="N42" s="113" t="str">
        <f t="shared" si="8"/>
        <v/>
      </c>
      <c r="O42" s="285"/>
      <c r="P42" s="284"/>
      <c r="Q42" s="286"/>
      <c r="R42" s="322"/>
      <c r="S42" s="312"/>
      <c r="T42" s="385" t="str">
        <f>IF(S42="","",VLOOKUP(S42,案件コード!$A$1:$B$31,2,FALSE()))</f>
        <v/>
      </c>
      <c r="U42" s="385"/>
      <c r="V42" s="385"/>
      <c r="W42" s="113" t="str">
        <f t="shared" si="9"/>
        <v/>
      </c>
      <c r="X42" s="285"/>
      <c r="Y42" s="284"/>
      <c r="Z42" s="286"/>
      <c r="AA42" s="322"/>
      <c r="AB42" s="312"/>
      <c r="AC42" s="385" t="str">
        <f>IF(AB42="","",VLOOKUP(AB42,案件コード!$A$1:$B$31,2,FALSE()))</f>
        <v/>
      </c>
      <c r="AD42" s="385"/>
      <c r="AE42" s="385"/>
      <c r="AF42" s="113" t="str">
        <f t="shared" si="10"/>
        <v/>
      </c>
      <c r="AG42" s="285"/>
      <c r="AH42" s="284"/>
      <c r="AI42" s="286"/>
      <c r="AJ42" s="322"/>
      <c r="AK42" s="312"/>
      <c r="AL42" s="385" t="str">
        <f>IF(AK42="","",VLOOKUP(AK42,案件コード!$A$1:$B$31,2,FALSE()))</f>
        <v/>
      </c>
      <c r="AM42" s="385"/>
      <c r="AN42" s="385"/>
      <c r="AO42" s="113" t="str">
        <f t="shared" si="11"/>
        <v/>
      </c>
      <c r="AP42" s="285"/>
      <c r="AQ42" s="284"/>
      <c r="AR42" s="286"/>
      <c r="AS42" s="322"/>
      <c r="AT42" s="312"/>
      <c r="AU42" s="385" t="str">
        <f>IF(AT42="","",VLOOKUP(AT42,案件コード!$A$1:$B$31,2,FALSE()))</f>
        <v/>
      </c>
      <c r="AV42" s="385"/>
      <c r="AW42" s="385"/>
      <c r="AX42" s="113" t="str">
        <f t="shared" si="12"/>
        <v/>
      </c>
      <c r="AY42" s="285"/>
      <c r="AZ42" s="284"/>
      <c r="BA42" s="286"/>
      <c r="BB42" s="322"/>
      <c r="BC42" s="312"/>
      <c r="BD42" s="385" t="str">
        <f>IF(BC42="","",VLOOKUP(BC42,案件コード!$A$1:$B$31,2,FALSE()))</f>
        <v/>
      </c>
      <c r="BE42" s="385"/>
      <c r="BF42" s="385"/>
      <c r="BG42" s="113" t="str">
        <f t="shared" si="13"/>
        <v/>
      </c>
      <c r="BH42" s="285"/>
      <c r="BI42" s="284"/>
      <c r="BJ42" s="286"/>
      <c r="BK42" s="322"/>
    </row>
    <row r="43" spans="1:63" ht="18.600000000000001" thickBot="1">
      <c r="A43" s="315"/>
      <c r="B43" s="386" t="str">
        <f>IF(A43="","",VLOOKUP(A43,案件コード!$A$1:$B$31,2,FALSE()))</f>
        <v/>
      </c>
      <c r="C43" s="386"/>
      <c r="D43" s="386"/>
      <c r="E43" s="316" t="str">
        <f t="shared" si="7"/>
        <v/>
      </c>
      <c r="F43" s="317"/>
      <c r="G43" s="318"/>
      <c r="H43" s="319"/>
      <c r="I43" s="323"/>
      <c r="J43" s="315"/>
      <c r="K43" s="386" t="str">
        <f>IF(J43="","",VLOOKUP(J43,案件コード!$A$1:$B$31,2,FALSE()))</f>
        <v/>
      </c>
      <c r="L43" s="386"/>
      <c r="M43" s="386"/>
      <c r="N43" s="316" t="str">
        <f t="shared" si="8"/>
        <v/>
      </c>
      <c r="O43" s="317"/>
      <c r="P43" s="318"/>
      <c r="Q43" s="319"/>
      <c r="R43" s="323"/>
      <c r="S43" s="315"/>
      <c r="T43" s="386" t="str">
        <f>IF(S43="","",VLOOKUP(S43,案件コード!$A$1:$B$31,2,FALSE()))</f>
        <v/>
      </c>
      <c r="U43" s="386"/>
      <c r="V43" s="386"/>
      <c r="W43" s="316" t="str">
        <f t="shared" si="9"/>
        <v/>
      </c>
      <c r="X43" s="317"/>
      <c r="Y43" s="318"/>
      <c r="Z43" s="319"/>
      <c r="AA43" s="323"/>
      <c r="AB43" s="315"/>
      <c r="AC43" s="386" t="str">
        <f>IF(AB43="","",VLOOKUP(AB43,案件コード!$A$1:$B$31,2,FALSE()))</f>
        <v/>
      </c>
      <c r="AD43" s="386"/>
      <c r="AE43" s="386"/>
      <c r="AF43" s="316" t="str">
        <f t="shared" si="10"/>
        <v/>
      </c>
      <c r="AG43" s="317"/>
      <c r="AH43" s="318"/>
      <c r="AI43" s="319"/>
      <c r="AJ43" s="323"/>
      <c r="AK43" s="315"/>
      <c r="AL43" s="386" t="str">
        <f>IF(AK43="","",VLOOKUP(AK43,案件コード!$A$1:$B$31,2,FALSE()))</f>
        <v/>
      </c>
      <c r="AM43" s="386"/>
      <c r="AN43" s="386"/>
      <c r="AO43" s="316" t="str">
        <f t="shared" si="11"/>
        <v/>
      </c>
      <c r="AP43" s="317"/>
      <c r="AQ43" s="318"/>
      <c r="AR43" s="319"/>
      <c r="AS43" s="323"/>
      <c r="AT43" s="315"/>
      <c r="AU43" s="386" t="str">
        <f>IF(AT43="","",VLOOKUP(AT43,案件コード!$A$1:$B$31,2,FALSE()))</f>
        <v/>
      </c>
      <c r="AV43" s="386"/>
      <c r="AW43" s="386"/>
      <c r="AX43" s="316" t="str">
        <f t="shared" si="12"/>
        <v/>
      </c>
      <c r="AY43" s="317"/>
      <c r="AZ43" s="318"/>
      <c r="BA43" s="319"/>
      <c r="BB43" s="323"/>
      <c r="BC43" s="315"/>
      <c r="BD43" s="386" t="str">
        <f>IF(BC43="","",VLOOKUP(BC43,案件コード!$A$1:$B$31,2,FALSE()))</f>
        <v/>
      </c>
      <c r="BE43" s="386"/>
      <c r="BF43" s="386"/>
      <c r="BG43" s="316" t="str">
        <f t="shared" si="13"/>
        <v/>
      </c>
      <c r="BH43" s="317"/>
      <c r="BI43" s="318"/>
      <c r="BJ43" s="319"/>
      <c r="BK43" s="323"/>
    </row>
    <row r="44" spans="1:63" ht="18.600000000000001" thickBot="1">
      <c r="A44" s="41"/>
      <c r="B44" s="41"/>
      <c r="C44" s="41"/>
      <c r="D44" s="41"/>
      <c r="E44" s="41"/>
      <c r="F44" s="41"/>
      <c r="G44" s="41"/>
      <c r="H44" s="307">
        <f>SUM(H29:H43)</f>
        <v>0</v>
      </c>
      <c r="I44" s="41"/>
      <c r="J44" s="41"/>
      <c r="K44" s="41"/>
      <c r="L44" s="41"/>
      <c r="M44" s="41"/>
      <c r="N44" s="41"/>
      <c r="O44" s="41"/>
      <c r="P44" s="41"/>
      <c r="Q44" s="307">
        <f>SUM(Q29:Q43)</f>
        <v>0</v>
      </c>
      <c r="R44" s="41"/>
      <c r="S44" s="41"/>
      <c r="T44" s="41"/>
      <c r="U44" s="41"/>
      <c r="V44" s="41"/>
      <c r="W44" s="41"/>
      <c r="X44" s="41"/>
      <c r="Y44" s="41"/>
      <c r="Z44" s="307">
        <f>SUM(Z29:Z43)</f>
        <v>0</v>
      </c>
      <c r="AA44" s="41"/>
      <c r="AB44" s="41"/>
      <c r="AC44" s="41"/>
      <c r="AD44" s="41"/>
      <c r="AE44" s="41"/>
      <c r="AF44" s="41"/>
      <c r="AG44" s="41"/>
      <c r="AH44" s="41"/>
      <c r="AI44" s="307">
        <f>SUM(AI29:AI43)</f>
        <v>0</v>
      </c>
      <c r="AJ44" s="41"/>
      <c r="AK44" s="41"/>
      <c r="AL44" s="41"/>
      <c r="AM44" s="41"/>
      <c r="AN44" s="41"/>
      <c r="AO44" s="41"/>
      <c r="AP44" s="41"/>
      <c r="AQ44" s="41"/>
      <c r="AR44" s="307">
        <f>SUM(AR29:AR43)</f>
        <v>0</v>
      </c>
      <c r="AS44" s="41"/>
      <c r="AT44" s="41"/>
      <c r="AU44" s="41"/>
      <c r="AV44" s="41"/>
      <c r="AW44" s="41"/>
      <c r="AX44" s="41"/>
      <c r="AY44" s="41"/>
      <c r="AZ44" s="41"/>
      <c r="BA44" s="307">
        <f>SUM(BA29:BA43)</f>
        <v>0</v>
      </c>
      <c r="BB44" s="41"/>
      <c r="BC44" s="41"/>
      <c r="BD44" s="41"/>
      <c r="BE44" s="41"/>
      <c r="BF44" s="41"/>
      <c r="BG44" s="41"/>
      <c r="BH44" s="41"/>
      <c r="BI44" s="41"/>
      <c r="BJ44" s="307">
        <f>SUM(BJ29:BJ43)</f>
        <v>0</v>
      </c>
      <c r="BK44" s="41"/>
    </row>
    <row r="45" spans="1:63">
      <c r="A45" s="390" t="s">
        <v>16</v>
      </c>
      <c r="B45" s="391"/>
      <c r="C45" s="391" t="s">
        <v>17</v>
      </c>
      <c r="D45" s="391"/>
      <c r="E45" s="391" t="s">
        <v>18</v>
      </c>
      <c r="F45" s="392"/>
      <c r="G45" s="41"/>
      <c r="H45" s="41"/>
      <c r="I45" s="41"/>
      <c r="J45" s="390" t="s">
        <v>16</v>
      </c>
      <c r="K45" s="391"/>
      <c r="L45" s="391" t="s">
        <v>17</v>
      </c>
      <c r="M45" s="391"/>
      <c r="N45" s="391" t="s">
        <v>18</v>
      </c>
      <c r="O45" s="392"/>
      <c r="P45" s="41"/>
      <c r="Q45" s="41"/>
      <c r="R45" s="41"/>
      <c r="S45" s="390" t="s">
        <v>16</v>
      </c>
      <c r="T45" s="391"/>
      <c r="U45" s="391" t="s">
        <v>17</v>
      </c>
      <c r="V45" s="391"/>
      <c r="W45" s="391" t="s">
        <v>18</v>
      </c>
      <c r="X45" s="392"/>
      <c r="Y45" s="41"/>
      <c r="Z45" s="41"/>
      <c r="AA45" s="41"/>
      <c r="AB45" s="390" t="s">
        <v>16</v>
      </c>
      <c r="AC45" s="391"/>
      <c r="AD45" s="391" t="s">
        <v>17</v>
      </c>
      <c r="AE45" s="391"/>
      <c r="AF45" s="391" t="s">
        <v>18</v>
      </c>
      <c r="AG45" s="392"/>
      <c r="AH45" s="41"/>
      <c r="AI45" s="41"/>
      <c r="AJ45" s="41"/>
      <c r="AK45" s="390" t="s">
        <v>16</v>
      </c>
      <c r="AL45" s="391"/>
      <c r="AM45" s="391" t="s">
        <v>17</v>
      </c>
      <c r="AN45" s="391"/>
      <c r="AO45" s="391" t="s">
        <v>18</v>
      </c>
      <c r="AP45" s="392"/>
      <c r="AQ45" s="41"/>
      <c r="AR45" s="41"/>
      <c r="AS45" s="41"/>
      <c r="AT45" s="390" t="s">
        <v>16</v>
      </c>
      <c r="AU45" s="391"/>
      <c r="AV45" s="391" t="s">
        <v>17</v>
      </c>
      <c r="AW45" s="391"/>
      <c r="AX45" s="391" t="s">
        <v>18</v>
      </c>
      <c r="AY45" s="392"/>
      <c r="AZ45" s="41"/>
      <c r="BA45" s="41"/>
      <c r="BB45" s="41"/>
      <c r="BC45" s="390" t="s">
        <v>16</v>
      </c>
      <c r="BD45" s="391"/>
      <c r="BE45" s="391" t="s">
        <v>17</v>
      </c>
      <c r="BF45" s="391"/>
      <c r="BG45" s="391" t="s">
        <v>18</v>
      </c>
      <c r="BH45" s="392"/>
      <c r="BI45" s="41"/>
      <c r="BJ45" s="41"/>
      <c r="BK45" s="41"/>
    </row>
    <row r="46" spans="1:63" ht="18.600000000000001" thickBot="1">
      <c r="A46" s="387">
        <f>BC26+1</f>
        <v>45915</v>
      </c>
      <c r="B46" s="388"/>
      <c r="C46" s="289"/>
      <c r="D46" s="289"/>
      <c r="E46" s="290" t="str">
        <f>IF(C46="","",D46-C46-H46)</f>
        <v/>
      </c>
      <c r="F46" s="291" t="str">
        <f>IF(AND(E46=""),"",SUM(E49:E63))</f>
        <v/>
      </c>
      <c r="G46" s="114" t="s">
        <v>19</v>
      </c>
      <c r="H46" s="287">
        <v>4.1666666666666699E-2</v>
      </c>
      <c r="I46" s="41"/>
      <c r="J46" s="387">
        <f>A46+1</f>
        <v>45916</v>
      </c>
      <c r="K46" s="388"/>
      <c r="L46" s="289"/>
      <c r="M46" s="289"/>
      <c r="N46" s="290" t="str">
        <f>IF(L46="","",M46-L46-Q46)</f>
        <v/>
      </c>
      <c r="O46" s="291" t="str">
        <f>IF(AND(N46=""),"",SUM(N49:N63))</f>
        <v/>
      </c>
      <c r="P46" s="114" t="s">
        <v>19</v>
      </c>
      <c r="Q46" s="287">
        <v>4.1666666666666699E-2</v>
      </c>
      <c r="R46" s="41"/>
      <c r="S46" s="387">
        <f>J46+1</f>
        <v>45917</v>
      </c>
      <c r="T46" s="388"/>
      <c r="U46" s="289"/>
      <c r="V46" s="289"/>
      <c r="W46" s="290" t="str">
        <f>IF(U46="","",V46-U46-Z46)</f>
        <v/>
      </c>
      <c r="X46" s="291" t="str">
        <f>IF(AND(W46=""),"",SUM(W49:W63))</f>
        <v/>
      </c>
      <c r="Y46" s="114" t="s">
        <v>19</v>
      </c>
      <c r="Z46" s="287">
        <v>4.1666666666666699E-2</v>
      </c>
      <c r="AA46" s="41"/>
      <c r="AB46" s="387">
        <f>S46+1</f>
        <v>45918</v>
      </c>
      <c r="AC46" s="388"/>
      <c r="AD46" s="289"/>
      <c r="AE46" s="289"/>
      <c r="AF46" s="290" t="str">
        <f>IF(AD46="","",AE46-AD46-AI46)</f>
        <v/>
      </c>
      <c r="AG46" s="291" t="str">
        <f>IF(AND(AF46=""),"",SUM(AF49:AF63))</f>
        <v/>
      </c>
      <c r="AH46" s="114" t="s">
        <v>19</v>
      </c>
      <c r="AI46" s="287">
        <v>4.1666666666666699E-2</v>
      </c>
      <c r="AJ46" s="41"/>
      <c r="AK46" s="387">
        <f>AB46+1</f>
        <v>45919</v>
      </c>
      <c r="AL46" s="388"/>
      <c r="AM46" s="289"/>
      <c r="AN46" s="289"/>
      <c r="AO46" s="290" t="str">
        <f>IF(AM46="","",AN46-AM46-AR46)</f>
        <v/>
      </c>
      <c r="AP46" s="291" t="str">
        <f>IF(AND(AO46=""),"",SUM(AO49:AO63))</f>
        <v/>
      </c>
      <c r="AQ46" s="114" t="s">
        <v>19</v>
      </c>
      <c r="AR46" s="287">
        <v>4.1666666666666699E-2</v>
      </c>
      <c r="AS46" s="41"/>
      <c r="AT46" s="387">
        <f>AK46+1</f>
        <v>45920</v>
      </c>
      <c r="AU46" s="388"/>
      <c r="AV46" s="289"/>
      <c r="AW46" s="289"/>
      <c r="AX46" s="290" t="str">
        <f>IF(AV46="","",AW46-AV46-BA46)</f>
        <v/>
      </c>
      <c r="AY46" s="291" t="str">
        <f>IF(AND(AX46=""),"",SUM(AX49:AX63))</f>
        <v/>
      </c>
      <c r="AZ46" s="114" t="s">
        <v>19</v>
      </c>
      <c r="BA46" s="287">
        <v>4.1666666666666699E-2</v>
      </c>
      <c r="BB46" s="41"/>
      <c r="BC46" s="387">
        <f>AT46+1</f>
        <v>45921</v>
      </c>
      <c r="BD46" s="388"/>
      <c r="BE46" s="289"/>
      <c r="BF46" s="289"/>
      <c r="BG46" s="290" t="str">
        <f>IF(BE46="","",BF46-BE46-BJ46)</f>
        <v/>
      </c>
      <c r="BH46" s="291" t="str">
        <f>IF(AND(BG46=""),"",SUM(BG49:BG63))</f>
        <v/>
      </c>
      <c r="BI46" s="114" t="s">
        <v>19</v>
      </c>
      <c r="BJ46" s="287">
        <v>4.1666666666666699E-2</v>
      </c>
      <c r="BK46" s="41"/>
    </row>
    <row r="47" spans="1:63" ht="18.600000000000001" thickBot="1">
      <c r="A47" s="41" t="s">
        <v>38</v>
      </c>
      <c r="B47" s="115"/>
      <c r="C47" s="115"/>
      <c r="D47" s="115"/>
      <c r="E47" s="116"/>
      <c r="F47" s="117"/>
      <c r="G47" s="117"/>
      <c r="H47" s="185"/>
      <c r="I47" s="41"/>
      <c r="J47" s="41" t="s">
        <v>38</v>
      </c>
      <c r="K47" s="115"/>
      <c r="L47" s="115"/>
      <c r="M47" s="115"/>
      <c r="N47" s="116"/>
      <c r="O47" s="117"/>
      <c r="P47" s="117"/>
      <c r="Q47" s="185"/>
      <c r="R47" s="41"/>
      <c r="S47" s="41" t="s">
        <v>38</v>
      </c>
      <c r="T47" s="115"/>
      <c r="U47" s="115"/>
      <c r="V47" s="115"/>
      <c r="W47" s="116"/>
      <c r="X47" s="117"/>
      <c r="Y47" s="117"/>
      <c r="Z47" s="185"/>
      <c r="AA47" s="41"/>
      <c r="AB47" s="41" t="s">
        <v>38</v>
      </c>
      <c r="AC47" s="115"/>
      <c r="AD47" s="115"/>
      <c r="AE47" s="115"/>
      <c r="AF47" s="116"/>
      <c r="AG47" s="117"/>
      <c r="AH47" s="117"/>
      <c r="AI47" s="185"/>
      <c r="AJ47" s="41"/>
      <c r="AK47" s="41" t="s">
        <v>38</v>
      </c>
      <c r="AL47" s="115"/>
      <c r="AM47" s="115"/>
      <c r="AN47" s="115"/>
      <c r="AO47" s="116"/>
      <c r="AP47" s="117"/>
      <c r="AQ47" s="117"/>
      <c r="AR47" s="185"/>
      <c r="AS47" s="41"/>
      <c r="AT47" s="41" t="s">
        <v>38</v>
      </c>
      <c r="AU47" s="115"/>
      <c r="AV47" s="115"/>
      <c r="AW47" s="115"/>
      <c r="AX47" s="116"/>
      <c r="AY47" s="117"/>
      <c r="AZ47" s="117"/>
      <c r="BA47" s="185"/>
      <c r="BB47" s="41"/>
      <c r="BC47" s="41" t="s">
        <v>38</v>
      </c>
      <c r="BD47" s="115"/>
      <c r="BE47" s="115"/>
      <c r="BF47" s="115"/>
      <c r="BG47" s="116"/>
      <c r="BH47" s="117"/>
      <c r="BI47" s="117"/>
      <c r="BJ47" s="185"/>
      <c r="BK47" s="41"/>
    </row>
    <row r="48" spans="1:63">
      <c r="A48" s="308" t="s">
        <v>20</v>
      </c>
      <c r="B48" s="389" t="s">
        <v>21</v>
      </c>
      <c r="C48" s="389"/>
      <c r="D48" s="389"/>
      <c r="E48" s="309" t="s">
        <v>22</v>
      </c>
      <c r="F48" s="309" t="s">
        <v>0</v>
      </c>
      <c r="G48" s="309" t="s">
        <v>39</v>
      </c>
      <c r="H48" s="310" t="s">
        <v>23</v>
      </c>
      <c r="I48" s="311" t="s">
        <v>24</v>
      </c>
      <c r="J48" s="308" t="s">
        <v>20</v>
      </c>
      <c r="K48" s="389" t="s">
        <v>21</v>
      </c>
      <c r="L48" s="389"/>
      <c r="M48" s="389"/>
      <c r="N48" s="309" t="s">
        <v>22</v>
      </c>
      <c r="O48" s="309" t="s">
        <v>0</v>
      </c>
      <c r="P48" s="309" t="s">
        <v>39</v>
      </c>
      <c r="Q48" s="310" t="s">
        <v>23</v>
      </c>
      <c r="R48" s="311" t="s">
        <v>24</v>
      </c>
      <c r="S48" s="308" t="s">
        <v>20</v>
      </c>
      <c r="T48" s="389" t="s">
        <v>21</v>
      </c>
      <c r="U48" s="389"/>
      <c r="V48" s="389"/>
      <c r="W48" s="309" t="s">
        <v>22</v>
      </c>
      <c r="X48" s="309" t="s">
        <v>0</v>
      </c>
      <c r="Y48" s="309" t="s">
        <v>39</v>
      </c>
      <c r="Z48" s="310" t="s">
        <v>23</v>
      </c>
      <c r="AA48" s="311" t="s">
        <v>24</v>
      </c>
      <c r="AB48" s="308" t="s">
        <v>20</v>
      </c>
      <c r="AC48" s="389" t="s">
        <v>21</v>
      </c>
      <c r="AD48" s="389"/>
      <c r="AE48" s="389"/>
      <c r="AF48" s="309" t="s">
        <v>22</v>
      </c>
      <c r="AG48" s="309" t="s">
        <v>0</v>
      </c>
      <c r="AH48" s="309" t="s">
        <v>39</v>
      </c>
      <c r="AI48" s="310" t="s">
        <v>23</v>
      </c>
      <c r="AJ48" s="311" t="s">
        <v>24</v>
      </c>
      <c r="AK48" s="308" t="s">
        <v>20</v>
      </c>
      <c r="AL48" s="389" t="s">
        <v>21</v>
      </c>
      <c r="AM48" s="389"/>
      <c r="AN48" s="389"/>
      <c r="AO48" s="309" t="s">
        <v>22</v>
      </c>
      <c r="AP48" s="309" t="s">
        <v>0</v>
      </c>
      <c r="AQ48" s="309" t="s">
        <v>39</v>
      </c>
      <c r="AR48" s="310" t="s">
        <v>23</v>
      </c>
      <c r="AS48" s="311" t="s">
        <v>24</v>
      </c>
      <c r="AT48" s="308" t="s">
        <v>20</v>
      </c>
      <c r="AU48" s="389" t="s">
        <v>21</v>
      </c>
      <c r="AV48" s="389"/>
      <c r="AW48" s="389"/>
      <c r="AX48" s="309" t="s">
        <v>22</v>
      </c>
      <c r="AY48" s="309" t="s">
        <v>0</v>
      </c>
      <c r="AZ48" s="309" t="s">
        <v>39</v>
      </c>
      <c r="BA48" s="310" t="s">
        <v>23</v>
      </c>
      <c r="BB48" s="311" t="s">
        <v>24</v>
      </c>
      <c r="BC48" s="308" t="s">
        <v>20</v>
      </c>
      <c r="BD48" s="389" t="s">
        <v>21</v>
      </c>
      <c r="BE48" s="389"/>
      <c r="BF48" s="389"/>
      <c r="BG48" s="309" t="s">
        <v>22</v>
      </c>
      <c r="BH48" s="309" t="s">
        <v>0</v>
      </c>
      <c r="BI48" s="309" t="s">
        <v>39</v>
      </c>
      <c r="BJ48" s="310" t="s">
        <v>23</v>
      </c>
      <c r="BK48" s="311" t="s">
        <v>24</v>
      </c>
    </row>
    <row r="49" spans="1:63">
      <c r="A49" s="312"/>
      <c r="B49" s="385" t="str">
        <f>IF(A49="","",VLOOKUP(A49,案件コード!$A$1:$B$31,2,FALSE()))</f>
        <v/>
      </c>
      <c r="C49" s="385"/>
      <c r="D49" s="385"/>
      <c r="E49" s="113" t="str">
        <f t="shared" ref="E49:E63" si="14">IF(AND(F49="",G49=""),"",SUM(F49:G49))</f>
        <v/>
      </c>
      <c r="F49" s="285"/>
      <c r="G49" s="284"/>
      <c r="H49" s="286"/>
      <c r="I49" s="321"/>
      <c r="J49" s="312"/>
      <c r="K49" s="385" t="str">
        <f>IF(J49="","",VLOOKUP(J49,案件コード!$A$1:$B$31,2,FALSE()))</f>
        <v/>
      </c>
      <c r="L49" s="385"/>
      <c r="M49" s="385"/>
      <c r="N49" s="113" t="str">
        <f t="shared" ref="N49:N63" si="15">IF(AND(O49="",P49=""),"",SUM(O49:P49))</f>
        <v/>
      </c>
      <c r="O49" s="285"/>
      <c r="P49" s="284"/>
      <c r="Q49" s="286"/>
      <c r="R49" s="321"/>
      <c r="S49" s="312"/>
      <c r="T49" s="385" t="str">
        <f>IF(S49="","",VLOOKUP(S49,案件コード!$A$1:$B$31,2,FALSE()))</f>
        <v/>
      </c>
      <c r="U49" s="385"/>
      <c r="V49" s="385"/>
      <c r="W49" s="113" t="str">
        <f t="shared" ref="W49:W63" si="16">IF(AND(X49="",Y49=""),"",SUM(X49:Y49))</f>
        <v/>
      </c>
      <c r="X49" s="285"/>
      <c r="Y49" s="284"/>
      <c r="Z49" s="286"/>
      <c r="AA49" s="321"/>
      <c r="AB49" s="312"/>
      <c r="AC49" s="385" t="str">
        <f>IF(AB49="","",VLOOKUP(AB49,案件コード!$A$1:$B$31,2,FALSE()))</f>
        <v/>
      </c>
      <c r="AD49" s="385"/>
      <c r="AE49" s="385"/>
      <c r="AF49" s="113" t="str">
        <f t="shared" ref="AF49:AF63" si="17">IF(AND(AG49="",AH49=""),"",SUM(AG49:AH49))</f>
        <v/>
      </c>
      <c r="AG49" s="285"/>
      <c r="AH49" s="284"/>
      <c r="AI49" s="286"/>
      <c r="AJ49" s="321"/>
      <c r="AK49" s="312"/>
      <c r="AL49" s="385" t="str">
        <f>IF(AK49="","",VLOOKUP(AK49,案件コード!$A$1:$B$31,2,FALSE()))</f>
        <v/>
      </c>
      <c r="AM49" s="385"/>
      <c r="AN49" s="385"/>
      <c r="AO49" s="113" t="str">
        <f t="shared" ref="AO49:AO63" si="18">IF(AND(AP49="",AQ49=""),"",SUM(AP49:AQ49))</f>
        <v/>
      </c>
      <c r="AP49" s="285"/>
      <c r="AQ49" s="284"/>
      <c r="AR49" s="286"/>
      <c r="AS49" s="321"/>
      <c r="AT49" s="312"/>
      <c r="AU49" s="385" t="str">
        <f>IF(AT49="","",VLOOKUP(AT49,案件コード!$A$1:$B$31,2,FALSE()))</f>
        <v/>
      </c>
      <c r="AV49" s="385"/>
      <c r="AW49" s="385"/>
      <c r="AX49" s="113" t="str">
        <f t="shared" ref="AX49:AX63" si="19">IF(AND(AY49="",AZ49=""),"",SUM(AY49:AZ49))</f>
        <v/>
      </c>
      <c r="AY49" s="285"/>
      <c r="AZ49" s="284"/>
      <c r="BA49" s="286"/>
      <c r="BB49" s="321"/>
      <c r="BC49" s="312"/>
      <c r="BD49" s="385" t="str">
        <f>IF(BC49="","",VLOOKUP(BC49,案件コード!$A$1:$B$31,2,FALSE()))</f>
        <v/>
      </c>
      <c r="BE49" s="385"/>
      <c r="BF49" s="385"/>
      <c r="BG49" s="113" t="str">
        <f t="shared" ref="BG49:BG63" si="20">IF(AND(BH49="",BI49=""),"",SUM(BH49:BI49))</f>
        <v/>
      </c>
      <c r="BH49" s="285"/>
      <c r="BI49" s="284"/>
      <c r="BJ49" s="286"/>
      <c r="BK49" s="321"/>
    </row>
    <row r="50" spans="1:63">
      <c r="A50" s="312"/>
      <c r="B50" s="385" t="str">
        <f>IF(A50="","",VLOOKUP(A50,案件コード!$A$1:$B$31,2,FALSE()))</f>
        <v/>
      </c>
      <c r="C50" s="385"/>
      <c r="D50" s="385"/>
      <c r="E50" s="113" t="str">
        <f t="shared" si="14"/>
        <v/>
      </c>
      <c r="F50" s="285"/>
      <c r="G50" s="284"/>
      <c r="H50" s="286"/>
      <c r="I50" s="322"/>
      <c r="J50" s="312"/>
      <c r="K50" s="385" t="str">
        <f>IF(J50="","",VLOOKUP(J50,案件コード!$A$1:$B$31,2,FALSE()))</f>
        <v/>
      </c>
      <c r="L50" s="385"/>
      <c r="M50" s="385"/>
      <c r="N50" s="113" t="str">
        <f t="shared" si="15"/>
        <v/>
      </c>
      <c r="O50" s="285"/>
      <c r="P50" s="284"/>
      <c r="Q50" s="286"/>
      <c r="R50" s="322"/>
      <c r="S50" s="312"/>
      <c r="T50" s="385" t="str">
        <f>IF(S50="","",VLOOKUP(S50,案件コード!$A$1:$B$31,2,FALSE()))</f>
        <v/>
      </c>
      <c r="U50" s="385"/>
      <c r="V50" s="385"/>
      <c r="W50" s="113" t="str">
        <f t="shared" si="16"/>
        <v/>
      </c>
      <c r="X50" s="285"/>
      <c r="Y50" s="284"/>
      <c r="Z50" s="286"/>
      <c r="AA50" s="322"/>
      <c r="AB50" s="312"/>
      <c r="AC50" s="385" t="str">
        <f>IF(AB50="","",VLOOKUP(AB50,案件コード!$A$1:$B$31,2,FALSE()))</f>
        <v/>
      </c>
      <c r="AD50" s="385"/>
      <c r="AE50" s="385"/>
      <c r="AF50" s="113" t="str">
        <f t="shared" si="17"/>
        <v/>
      </c>
      <c r="AG50" s="285"/>
      <c r="AH50" s="284"/>
      <c r="AI50" s="286"/>
      <c r="AJ50" s="322"/>
      <c r="AK50" s="312"/>
      <c r="AL50" s="385" t="str">
        <f>IF(AK50="","",VLOOKUP(AK50,案件コード!$A$1:$B$31,2,FALSE()))</f>
        <v/>
      </c>
      <c r="AM50" s="385"/>
      <c r="AN50" s="385"/>
      <c r="AO50" s="113" t="str">
        <f t="shared" si="18"/>
        <v/>
      </c>
      <c r="AP50" s="285"/>
      <c r="AQ50" s="284"/>
      <c r="AR50" s="286"/>
      <c r="AS50" s="322"/>
      <c r="AT50" s="312"/>
      <c r="AU50" s="385" t="str">
        <f>IF(AT50="","",VLOOKUP(AT50,案件コード!$A$1:$B$31,2,FALSE()))</f>
        <v/>
      </c>
      <c r="AV50" s="385"/>
      <c r="AW50" s="385"/>
      <c r="AX50" s="113" t="str">
        <f t="shared" si="19"/>
        <v/>
      </c>
      <c r="AY50" s="285"/>
      <c r="AZ50" s="284"/>
      <c r="BA50" s="286"/>
      <c r="BB50" s="322"/>
      <c r="BC50" s="312"/>
      <c r="BD50" s="385" t="str">
        <f>IF(BC50="","",VLOOKUP(BC50,案件コード!$A$1:$B$31,2,FALSE()))</f>
        <v/>
      </c>
      <c r="BE50" s="385"/>
      <c r="BF50" s="385"/>
      <c r="BG50" s="113" t="str">
        <f t="shared" si="20"/>
        <v/>
      </c>
      <c r="BH50" s="285"/>
      <c r="BI50" s="284"/>
      <c r="BJ50" s="286"/>
      <c r="BK50" s="322"/>
    </row>
    <row r="51" spans="1:63">
      <c r="A51" s="312"/>
      <c r="B51" s="385" t="str">
        <f>IF(A51="","",VLOOKUP(A51,案件コード!$A$1:$B$31,2,FALSE()))</f>
        <v/>
      </c>
      <c r="C51" s="385"/>
      <c r="D51" s="385"/>
      <c r="E51" s="113" t="str">
        <f t="shared" si="14"/>
        <v/>
      </c>
      <c r="F51" s="285"/>
      <c r="G51" s="284"/>
      <c r="H51" s="286"/>
      <c r="I51" s="322"/>
      <c r="J51" s="312"/>
      <c r="K51" s="385" t="str">
        <f>IF(J51="","",VLOOKUP(J51,案件コード!$A$1:$B$31,2,FALSE()))</f>
        <v/>
      </c>
      <c r="L51" s="385"/>
      <c r="M51" s="385"/>
      <c r="N51" s="113" t="str">
        <f t="shared" si="15"/>
        <v/>
      </c>
      <c r="O51" s="285"/>
      <c r="P51" s="284"/>
      <c r="Q51" s="286"/>
      <c r="R51" s="322"/>
      <c r="S51" s="312"/>
      <c r="T51" s="385" t="str">
        <f>IF(S51="","",VLOOKUP(S51,案件コード!$A$1:$B$31,2,FALSE()))</f>
        <v/>
      </c>
      <c r="U51" s="385"/>
      <c r="V51" s="385"/>
      <c r="W51" s="113" t="str">
        <f t="shared" si="16"/>
        <v/>
      </c>
      <c r="X51" s="285"/>
      <c r="Y51" s="284"/>
      <c r="Z51" s="286"/>
      <c r="AA51" s="322"/>
      <c r="AB51" s="312"/>
      <c r="AC51" s="385" t="str">
        <f>IF(AB51="","",VLOOKUP(AB51,案件コード!$A$1:$B$31,2,FALSE()))</f>
        <v/>
      </c>
      <c r="AD51" s="385"/>
      <c r="AE51" s="385"/>
      <c r="AF51" s="113" t="str">
        <f t="shared" si="17"/>
        <v/>
      </c>
      <c r="AG51" s="285"/>
      <c r="AH51" s="284"/>
      <c r="AI51" s="286"/>
      <c r="AJ51" s="322"/>
      <c r="AK51" s="312"/>
      <c r="AL51" s="385" t="str">
        <f>IF(AK51="","",VLOOKUP(AK51,案件コード!$A$1:$B$31,2,FALSE()))</f>
        <v/>
      </c>
      <c r="AM51" s="385"/>
      <c r="AN51" s="385"/>
      <c r="AO51" s="113" t="str">
        <f t="shared" si="18"/>
        <v/>
      </c>
      <c r="AP51" s="285"/>
      <c r="AQ51" s="284"/>
      <c r="AR51" s="286"/>
      <c r="AS51" s="322"/>
      <c r="AT51" s="312"/>
      <c r="AU51" s="385" t="str">
        <f>IF(AT51="","",VLOOKUP(AT51,案件コード!$A$1:$B$31,2,FALSE()))</f>
        <v/>
      </c>
      <c r="AV51" s="385"/>
      <c r="AW51" s="385"/>
      <c r="AX51" s="113" t="str">
        <f t="shared" si="19"/>
        <v/>
      </c>
      <c r="AY51" s="285"/>
      <c r="AZ51" s="284"/>
      <c r="BA51" s="286"/>
      <c r="BB51" s="322"/>
      <c r="BC51" s="312"/>
      <c r="BD51" s="385" t="str">
        <f>IF(BC51="","",VLOOKUP(BC51,案件コード!$A$1:$B$31,2,FALSE()))</f>
        <v/>
      </c>
      <c r="BE51" s="385"/>
      <c r="BF51" s="385"/>
      <c r="BG51" s="113" t="str">
        <f t="shared" si="20"/>
        <v/>
      </c>
      <c r="BH51" s="285"/>
      <c r="BI51" s="284"/>
      <c r="BJ51" s="286"/>
      <c r="BK51" s="322"/>
    </row>
    <row r="52" spans="1:63">
      <c r="A52" s="312"/>
      <c r="B52" s="385" t="str">
        <f>IF(A52="","",VLOOKUP(A52,案件コード!$A$1:$B$31,2,FALSE()))</f>
        <v/>
      </c>
      <c r="C52" s="385"/>
      <c r="D52" s="385"/>
      <c r="E52" s="113" t="str">
        <f t="shared" si="14"/>
        <v/>
      </c>
      <c r="F52" s="285"/>
      <c r="G52" s="284"/>
      <c r="H52" s="286"/>
      <c r="I52" s="322"/>
      <c r="J52" s="312"/>
      <c r="K52" s="385" t="str">
        <f>IF(J52="","",VLOOKUP(J52,案件コード!$A$1:$B$31,2,FALSE()))</f>
        <v/>
      </c>
      <c r="L52" s="385"/>
      <c r="M52" s="385"/>
      <c r="N52" s="113" t="str">
        <f t="shared" si="15"/>
        <v/>
      </c>
      <c r="O52" s="285"/>
      <c r="P52" s="284"/>
      <c r="Q52" s="286"/>
      <c r="R52" s="322"/>
      <c r="S52" s="312"/>
      <c r="T52" s="385" t="str">
        <f>IF(S52="","",VLOOKUP(S52,案件コード!$A$1:$B$31,2,FALSE()))</f>
        <v/>
      </c>
      <c r="U52" s="385"/>
      <c r="V52" s="385"/>
      <c r="W52" s="113" t="str">
        <f t="shared" si="16"/>
        <v/>
      </c>
      <c r="X52" s="285"/>
      <c r="Y52" s="284"/>
      <c r="Z52" s="286"/>
      <c r="AA52" s="322"/>
      <c r="AB52" s="312"/>
      <c r="AC52" s="385" t="str">
        <f>IF(AB52="","",VLOOKUP(AB52,案件コード!$A$1:$B$31,2,FALSE()))</f>
        <v/>
      </c>
      <c r="AD52" s="385"/>
      <c r="AE52" s="385"/>
      <c r="AF52" s="113" t="str">
        <f t="shared" si="17"/>
        <v/>
      </c>
      <c r="AG52" s="285"/>
      <c r="AH52" s="284"/>
      <c r="AI52" s="286"/>
      <c r="AJ52" s="322"/>
      <c r="AK52" s="312"/>
      <c r="AL52" s="385" t="str">
        <f>IF(AK52="","",VLOOKUP(AK52,案件コード!$A$1:$B$31,2,FALSE()))</f>
        <v/>
      </c>
      <c r="AM52" s="385"/>
      <c r="AN52" s="385"/>
      <c r="AO52" s="113" t="str">
        <f t="shared" si="18"/>
        <v/>
      </c>
      <c r="AP52" s="285"/>
      <c r="AQ52" s="284"/>
      <c r="AR52" s="286"/>
      <c r="AS52" s="322"/>
      <c r="AT52" s="312"/>
      <c r="AU52" s="385" t="str">
        <f>IF(AT52="","",VLOOKUP(AT52,案件コード!$A$1:$B$31,2,FALSE()))</f>
        <v/>
      </c>
      <c r="AV52" s="385"/>
      <c r="AW52" s="385"/>
      <c r="AX52" s="113" t="str">
        <f t="shared" si="19"/>
        <v/>
      </c>
      <c r="AY52" s="285"/>
      <c r="AZ52" s="284"/>
      <c r="BA52" s="286"/>
      <c r="BB52" s="322"/>
      <c r="BC52" s="312"/>
      <c r="BD52" s="385" t="str">
        <f>IF(BC52="","",VLOOKUP(BC52,案件コード!$A$1:$B$31,2,FALSE()))</f>
        <v/>
      </c>
      <c r="BE52" s="385"/>
      <c r="BF52" s="385"/>
      <c r="BG52" s="113" t="str">
        <f t="shared" si="20"/>
        <v/>
      </c>
      <c r="BH52" s="285"/>
      <c r="BI52" s="284"/>
      <c r="BJ52" s="286"/>
      <c r="BK52" s="322"/>
    </row>
    <row r="53" spans="1:63">
      <c r="A53" s="312"/>
      <c r="B53" s="385" t="str">
        <f>IF(A53="","",VLOOKUP(A53,案件コード!$A$1:$B$31,2,FALSE()))</f>
        <v/>
      </c>
      <c r="C53" s="385"/>
      <c r="D53" s="385"/>
      <c r="E53" s="113" t="str">
        <f t="shared" si="14"/>
        <v/>
      </c>
      <c r="F53" s="285"/>
      <c r="G53" s="284"/>
      <c r="H53" s="286"/>
      <c r="I53" s="322"/>
      <c r="J53" s="312"/>
      <c r="K53" s="385" t="str">
        <f>IF(J53="","",VLOOKUP(J53,案件コード!$A$1:$B$31,2,FALSE()))</f>
        <v/>
      </c>
      <c r="L53" s="385"/>
      <c r="M53" s="385"/>
      <c r="N53" s="113" t="str">
        <f t="shared" si="15"/>
        <v/>
      </c>
      <c r="O53" s="285"/>
      <c r="P53" s="284"/>
      <c r="Q53" s="286"/>
      <c r="R53" s="322"/>
      <c r="S53" s="312"/>
      <c r="T53" s="385" t="str">
        <f>IF(S53="","",VLOOKUP(S53,案件コード!$A$1:$B$31,2,FALSE()))</f>
        <v/>
      </c>
      <c r="U53" s="385"/>
      <c r="V53" s="385"/>
      <c r="W53" s="113" t="str">
        <f t="shared" si="16"/>
        <v/>
      </c>
      <c r="X53" s="285"/>
      <c r="Y53" s="284"/>
      <c r="Z53" s="286"/>
      <c r="AA53" s="322"/>
      <c r="AB53" s="312"/>
      <c r="AC53" s="385" t="str">
        <f>IF(AB53="","",VLOOKUP(AB53,案件コード!$A$1:$B$31,2,FALSE()))</f>
        <v/>
      </c>
      <c r="AD53" s="385"/>
      <c r="AE53" s="385"/>
      <c r="AF53" s="113" t="str">
        <f t="shared" si="17"/>
        <v/>
      </c>
      <c r="AG53" s="285"/>
      <c r="AH53" s="284"/>
      <c r="AI53" s="286"/>
      <c r="AJ53" s="322"/>
      <c r="AK53" s="312"/>
      <c r="AL53" s="385" t="str">
        <f>IF(AK53="","",VLOOKUP(AK53,案件コード!$A$1:$B$31,2,FALSE()))</f>
        <v/>
      </c>
      <c r="AM53" s="385"/>
      <c r="AN53" s="385"/>
      <c r="AO53" s="113" t="str">
        <f t="shared" si="18"/>
        <v/>
      </c>
      <c r="AP53" s="285"/>
      <c r="AQ53" s="284"/>
      <c r="AR53" s="286"/>
      <c r="AS53" s="322"/>
      <c r="AT53" s="312"/>
      <c r="AU53" s="385" t="str">
        <f>IF(AT53="","",VLOOKUP(AT53,案件コード!$A$1:$B$31,2,FALSE()))</f>
        <v/>
      </c>
      <c r="AV53" s="385"/>
      <c r="AW53" s="385"/>
      <c r="AX53" s="113" t="str">
        <f t="shared" si="19"/>
        <v/>
      </c>
      <c r="AY53" s="285"/>
      <c r="AZ53" s="284"/>
      <c r="BA53" s="286"/>
      <c r="BB53" s="322"/>
      <c r="BC53" s="312"/>
      <c r="BD53" s="385" t="str">
        <f>IF(BC53="","",VLOOKUP(BC53,案件コード!$A$1:$B$31,2,FALSE()))</f>
        <v/>
      </c>
      <c r="BE53" s="385"/>
      <c r="BF53" s="385"/>
      <c r="BG53" s="113" t="str">
        <f t="shared" si="20"/>
        <v/>
      </c>
      <c r="BH53" s="285"/>
      <c r="BI53" s="284"/>
      <c r="BJ53" s="286"/>
      <c r="BK53" s="322"/>
    </row>
    <row r="54" spans="1:63">
      <c r="A54" s="312"/>
      <c r="B54" s="385" t="str">
        <f>IF(A54="","",VLOOKUP(A54,案件コード!$A$1:$B$31,2,FALSE()))</f>
        <v/>
      </c>
      <c r="C54" s="385"/>
      <c r="D54" s="385"/>
      <c r="E54" s="113" t="str">
        <f t="shared" si="14"/>
        <v/>
      </c>
      <c r="F54" s="285"/>
      <c r="G54" s="284"/>
      <c r="H54" s="286"/>
      <c r="I54" s="322"/>
      <c r="J54" s="312"/>
      <c r="K54" s="385" t="str">
        <f>IF(J54="","",VLOOKUP(J54,案件コード!$A$1:$B$31,2,FALSE()))</f>
        <v/>
      </c>
      <c r="L54" s="385"/>
      <c r="M54" s="385"/>
      <c r="N54" s="113" t="str">
        <f t="shared" si="15"/>
        <v/>
      </c>
      <c r="O54" s="285"/>
      <c r="P54" s="284"/>
      <c r="Q54" s="286"/>
      <c r="R54" s="322"/>
      <c r="S54" s="312"/>
      <c r="T54" s="385" t="str">
        <f>IF(S54="","",VLOOKUP(S54,案件コード!$A$1:$B$31,2,FALSE()))</f>
        <v/>
      </c>
      <c r="U54" s="385"/>
      <c r="V54" s="385"/>
      <c r="W54" s="113" t="str">
        <f t="shared" si="16"/>
        <v/>
      </c>
      <c r="X54" s="285"/>
      <c r="Y54" s="284"/>
      <c r="Z54" s="286"/>
      <c r="AA54" s="322"/>
      <c r="AB54" s="312"/>
      <c r="AC54" s="385" t="str">
        <f>IF(AB54="","",VLOOKUP(AB54,案件コード!$A$1:$B$31,2,FALSE()))</f>
        <v/>
      </c>
      <c r="AD54" s="385"/>
      <c r="AE54" s="385"/>
      <c r="AF54" s="113" t="str">
        <f t="shared" si="17"/>
        <v/>
      </c>
      <c r="AG54" s="285"/>
      <c r="AH54" s="284"/>
      <c r="AI54" s="286"/>
      <c r="AJ54" s="322"/>
      <c r="AK54" s="312"/>
      <c r="AL54" s="385" t="str">
        <f>IF(AK54="","",VLOOKUP(AK54,案件コード!$A$1:$B$31,2,FALSE()))</f>
        <v/>
      </c>
      <c r="AM54" s="385"/>
      <c r="AN54" s="385"/>
      <c r="AO54" s="113" t="str">
        <f t="shared" si="18"/>
        <v/>
      </c>
      <c r="AP54" s="285"/>
      <c r="AQ54" s="284"/>
      <c r="AR54" s="286"/>
      <c r="AS54" s="322"/>
      <c r="AT54" s="312"/>
      <c r="AU54" s="385" t="str">
        <f>IF(AT54="","",VLOOKUP(AT54,案件コード!$A$1:$B$31,2,FALSE()))</f>
        <v/>
      </c>
      <c r="AV54" s="385"/>
      <c r="AW54" s="385"/>
      <c r="AX54" s="113" t="str">
        <f t="shared" si="19"/>
        <v/>
      </c>
      <c r="AY54" s="285"/>
      <c r="AZ54" s="284"/>
      <c r="BA54" s="286"/>
      <c r="BB54" s="322"/>
      <c r="BC54" s="312"/>
      <c r="BD54" s="385" t="str">
        <f>IF(BC54="","",VLOOKUP(BC54,案件コード!$A$1:$B$31,2,FALSE()))</f>
        <v/>
      </c>
      <c r="BE54" s="385"/>
      <c r="BF54" s="385"/>
      <c r="BG54" s="113" t="str">
        <f t="shared" si="20"/>
        <v/>
      </c>
      <c r="BH54" s="285"/>
      <c r="BI54" s="284"/>
      <c r="BJ54" s="286"/>
      <c r="BK54" s="322"/>
    </row>
    <row r="55" spans="1:63">
      <c r="A55" s="312"/>
      <c r="B55" s="385" t="str">
        <f>IF(A55="","",VLOOKUP(A55,案件コード!$A$1:$B$31,2,FALSE()))</f>
        <v/>
      </c>
      <c r="C55" s="385"/>
      <c r="D55" s="385"/>
      <c r="E55" s="113" t="str">
        <f t="shared" si="14"/>
        <v/>
      </c>
      <c r="F55" s="285"/>
      <c r="G55" s="284"/>
      <c r="H55" s="286"/>
      <c r="I55" s="322"/>
      <c r="J55" s="312"/>
      <c r="K55" s="385" t="str">
        <f>IF(J55="","",VLOOKUP(J55,案件コード!$A$1:$B$31,2,FALSE()))</f>
        <v/>
      </c>
      <c r="L55" s="385"/>
      <c r="M55" s="385"/>
      <c r="N55" s="113" t="str">
        <f t="shared" si="15"/>
        <v/>
      </c>
      <c r="O55" s="285"/>
      <c r="P55" s="284"/>
      <c r="Q55" s="286"/>
      <c r="R55" s="322"/>
      <c r="S55" s="312"/>
      <c r="T55" s="385" t="str">
        <f>IF(S55="","",VLOOKUP(S55,案件コード!$A$1:$B$31,2,FALSE()))</f>
        <v/>
      </c>
      <c r="U55" s="385"/>
      <c r="V55" s="385"/>
      <c r="W55" s="113" t="str">
        <f t="shared" si="16"/>
        <v/>
      </c>
      <c r="X55" s="285"/>
      <c r="Y55" s="284"/>
      <c r="Z55" s="286"/>
      <c r="AA55" s="322"/>
      <c r="AB55" s="312"/>
      <c r="AC55" s="385" t="str">
        <f>IF(AB55="","",VLOOKUP(AB55,案件コード!$A$1:$B$31,2,FALSE()))</f>
        <v/>
      </c>
      <c r="AD55" s="385"/>
      <c r="AE55" s="385"/>
      <c r="AF55" s="113" t="str">
        <f t="shared" si="17"/>
        <v/>
      </c>
      <c r="AG55" s="285"/>
      <c r="AH55" s="284"/>
      <c r="AI55" s="286"/>
      <c r="AJ55" s="322"/>
      <c r="AK55" s="312"/>
      <c r="AL55" s="385" t="str">
        <f>IF(AK55="","",VLOOKUP(AK55,案件コード!$A$1:$B$31,2,FALSE()))</f>
        <v/>
      </c>
      <c r="AM55" s="385"/>
      <c r="AN55" s="385"/>
      <c r="AO55" s="113" t="str">
        <f t="shared" si="18"/>
        <v/>
      </c>
      <c r="AP55" s="285"/>
      <c r="AQ55" s="284"/>
      <c r="AR55" s="286"/>
      <c r="AS55" s="322"/>
      <c r="AT55" s="312"/>
      <c r="AU55" s="385" t="str">
        <f>IF(AT55="","",VLOOKUP(AT55,案件コード!$A$1:$B$31,2,FALSE()))</f>
        <v/>
      </c>
      <c r="AV55" s="385"/>
      <c r="AW55" s="385"/>
      <c r="AX55" s="113" t="str">
        <f t="shared" si="19"/>
        <v/>
      </c>
      <c r="AY55" s="285"/>
      <c r="AZ55" s="284"/>
      <c r="BA55" s="286"/>
      <c r="BB55" s="322"/>
      <c r="BC55" s="312"/>
      <c r="BD55" s="385" t="str">
        <f>IF(BC55="","",VLOOKUP(BC55,案件コード!$A$1:$B$31,2,FALSE()))</f>
        <v/>
      </c>
      <c r="BE55" s="385"/>
      <c r="BF55" s="385"/>
      <c r="BG55" s="113" t="str">
        <f t="shared" si="20"/>
        <v/>
      </c>
      <c r="BH55" s="285"/>
      <c r="BI55" s="284"/>
      <c r="BJ55" s="286"/>
      <c r="BK55" s="322"/>
    </row>
    <row r="56" spans="1:63">
      <c r="A56" s="312"/>
      <c r="B56" s="385" t="str">
        <f>IF(A56="","",VLOOKUP(A56,案件コード!$A$1:$B$31,2,FALSE()))</f>
        <v/>
      </c>
      <c r="C56" s="385"/>
      <c r="D56" s="385"/>
      <c r="E56" s="113" t="str">
        <f t="shared" si="14"/>
        <v/>
      </c>
      <c r="F56" s="285"/>
      <c r="G56" s="284"/>
      <c r="H56" s="286"/>
      <c r="I56" s="322"/>
      <c r="J56" s="312"/>
      <c r="K56" s="385" t="str">
        <f>IF(J56="","",VLOOKUP(J56,案件コード!$A$1:$B$31,2,FALSE()))</f>
        <v/>
      </c>
      <c r="L56" s="385"/>
      <c r="M56" s="385"/>
      <c r="N56" s="113" t="str">
        <f t="shared" si="15"/>
        <v/>
      </c>
      <c r="O56" s="285"/>
      <c r="P56" s="284"/>
      <c r="Q56" s="286"/>
      <c r="R56" s="322"/>
      <c r="S56" s="312"/>
      <c r="T56" s="385" t="str">
        <f>IF(S56="","",VLOOKUP(S56,案件コード!$A$1:$B$31,2,FALSE()))</f>
        <v/>
      </c>
      <c r="U56" s="385"/>
      <c r="V56" s="385"/>
      <c r="W56" s="113" t="str">
        <f t="shared" si="16"/>
        <v/>
      </c>
      <c r="X56" s="285"/>
      <c r="Y56" s="284"/>
      <c r="Z56" s="286"/>
      <c r="AA56" s="322"/>
      <c r="AB56" s="312"/>
      <c r="AC56" s="385" t="str">
        <f>IF(AB56="","",VLOOKUP(AB56,案件コード!$A$1:$B$31,2,FALSE()))</f>
        <v/>
      </c>
      <c r="AD56" s="385"/>
      <c r="AE56" s="385"/>
      <c r="AF56" s="113" t="str">
        <f t="shared" si="17"/>
        <v/>
      </c>
      <c r="AG56" s="285"/>
      <c r="AH56" s="284"/>
      <c r="AI56" s="286"/>
      <c r="AJ56" s="322"/>
      <c r="AK56" s="312"/>
      <c r="AL56" s="385" t="str">
        <f>IF(AK56="","",VLOOKUP(AK56,案件コード!$A$1:$B$31,2,FALSE()))</f>
        <v/>
      </c>
      <c r="AM56" s="385"/>
      <c r="AN56" s="385"/>
      <c r="AO56" s="113" t="str">
        <f t="shared" si="18"/>
        <v/>
      </c>
      <c r="AP56" s="285"/>
      <c r="AQ56" s="284"/>
      <c r="AR56" s="286"/>
      <c r="AS56" s="322"/>
      <c r="AT56" s="312"/>
      <c r="AU56" s="385" t="str">
        <f>IF(AT56="","",VLOOKUP(AT56,案件コード!$A$1:$B$31,2,FALSE()))</f>
        <v/>
      </c>
      <c r="AV56" s="385"/>
      <c r="AW56" s="385"/>
      <c r="AX56" s="113" t="str">
        <f t="shared" si="19"/>
        <v/>
      </c>
      <c r="AY56" s="285"/>
      <c r="AZ56" s="284"/>
      <c r="BA56" s="286"/>
      <c r="BB56" s="322"/>
      <c r="BC56" s="312"/>
      <c r="BD56" s="385" t="str">
        <f>IF(BC56="","",VLOOKUP(BC56,案件コード!$A$1:$B$31,2,FALSE()))</f>
        <v/>
      </c>
      <c r="BE56" s="385"/>
      <c r="BF56" s="385"/>
      <c r="BG56" s="113" t="str">
        <f t="shared" si="20"/>
        <v/>
      </c>
      <c r="BH56" s="285"/>
      <c r="BI56" s="284"/>
      <c r="BJ56" s="286"/>
      <c r="BK56" s="322"/>
    </row>
    <row r="57" spans="1:63">
      <c r="A57" s="312"/>
      <c r="B57" s="385" t="str">
        <f>IF(A57="","",VLOOKUP(A57,案件コード!$A$1:$B$31,2,FALSE()))</f>
        <v/>
      </c>
      <c r="C57" s="385"/>
      <c r="D57" s="385"/>
      <c r="E57" s="113" t="str">
        <f t="shared" si="14"/>
        <v/>
      </c>
      <c r="F57" s="285"/>
      <c r="G57" s="284"/>
      <c r="H57" s="286"/>
      <c r="I57" s="322"/>
      <c r="J57" s="312"/>
      <c r="K57" s="385" t="str">
        <f>IF(J57="","",VLOOKUP(J57,案件コード!$A$1:$B$31,2,FALSE()))</f>
        <v/>
      </c>
      <c r="L57" s="385"/>
      <c r="M57" s="385"/>
      <c r="N57" s="113" t="str">
        <f t="shared" si="15"/>
        <v/>
      </c>
      <c r="O57" s="285"/>
      <c r="P57" s="284"/>
      <c r="Q57" s="286"/>
      <c r="R57" s="322"/>
      <c r="S57" s="312"/>
      <c r="T57" s="385" t="str">
        <f>IF(S57="","",VLOOKUP(S57,案件コード!$A$1:$B$31,2,FALSE()))</f>
        <v/>
      </c>
      <c r="U57" s="385"/>
      <c r="V57" s="385"/>
      <c r="W57" s="113" t="str">
        <f t="shared" si="16"/>
        <v/>
      </c>
      <c r="X57" s="285"/>
      <c r="Y57" s="284"/>
      <c r="Z57" s="286"/>
      <c r="AA57" s="322"/>
      <c r="AB57" s="312"/>
      <c r="AC57" s="385" t="str">
        <f>IF(AB57="","",VLOOKUP(AB57,案件コード!$A$1:$B$31,2,FALSE()))</f>
        <v/>
      </c>
      <c r="AD57" s="385"/>
      <c r="AE57" s="385"/>
      <c r="AF57" s="113" t="str">
        <f t="shared" si="17"/>
        <v/>
      </c>
      <c r="AG57" s="285"/>
      <c r="AH57" s="284"/>
      <c r="AI57" s="286"/>
      <c r="AJ57" s="322"/>
      <c r="AK57" s="312"/>
      <c r="AL57" s="385" t="str">
        <f>IF(AK57="","",VLOOKUP(AK57,案件コード!$A$1:$B$31,2,FALSE()))</f>
        <v/>
      </c>
      <c r="AM57" s="385"/>
      <c r="AN57" s="385"/>
      <c r="AO57" s="113" t="str">
        <f t="shared" si="18"/>
        <v/>
      </c>
      <c r="AP57" s="285"/>
      <c r="AQ57" s="284"/>
      <c r="AR57" s="286"/>
      <c r="AS57" s="322"/>
      <c r="AT57" s="312"/>
      <c r="AU57" s="385" t="str">
        <f>IF(AT57="","",VLOOKUP(AT57,案件コード!$A$1:$B$31,2,FALSE()))</f>
        <v/>
      </c>
      <c r="AV57" s="385"/>
      <c r="AW57" s="385"/>
      <c r="AX57" s="113" t="str">
        <f t="shared" si="19"/>
        <v/>
      </c>
      <c r="AY57" s="285"/>
      <c r="AZ57" s="284"/>
      <c r="BA57" s="286"/>
      <c r="BB57" s="322"/>
      <c r="BC57" s="312"/>
      <c r="BD57" s="385" t="str">
        <f>IF(BC57="","",VLOOKUP(BC57,案件コード!$A$1:$B$31,2,FALSE()))</f>
        <v/>
      </c>
      <c r="BE57" s="385"/>
      <c r="BF57" s="385"/>
      <c r="BG57" s="113" t="str">
        <f t="shared" si="20"/>
        <v/>
      </c>
      <c r="BH57" s="285"/>
      <c r="BI57" s="284"/>
      <c r="BJ57" s="286"/>
      <c r="BK57" s="322"/>
    </row>
    <row r="58" spans="1:63">
      <c r="A58" s="312"/>
      <c r="B58" s="385" t="str">
        <f>IF(A58="","",VLOOKUP(A58,案件コード!$A$1:$B$31,2,FALSE()))</f>
        <v/>
      </c>
      <c r="C58" s="385"/>
      <c r="D58" s="385"/>
      <c r="E58" s="113" t="str">
        <f t="shared" si="14"/>
        <v/>
      </c>
      <c r="F58" s="285"/>
      <c r="G58" s="284"/>
      <c r="H58" s="286"/>
      <c r="I58" s="322"/>
      <c r="J58" s="312"/>
      <c r="K58" s="385" t="str">
        <f>IF(J58="","",VLOOKUP(J58,案件コード!$A$1:$B$31,2,FALSE()))</f>
        <v/>
      </c>
      <c r="L58" s="385"/>
      <c r="M58" s="385"/>
      <c r="N58" s="113" t="str">
        <f t="shared" si="15"/>
        <v/>
      </c>
      <c r="O58" s="285"/>
      <c r="P58" s="284"/>
      <c r="Q58" s="286"/>
      <c r="R58" s="322"/>
      <c r="S58" s="312"/>
      <c r="T58" s="385" t="str">
        <f>IF(S58="","",VLOOKUP(S58,案件コード!$A$1:$B$31,2,FALSE()))</f>
        <v/>
      </c>
      <c r="U58" s="385"/>
      <c r="V58" s="385"/>
      <c r="W58" s="113" t="str">
        <f t="shared" si="16"/>
        <v/>
      </c>
      <c r="X58" s="285"/>
      <c r="Y58" s="284"/>
      <c r="Z58" s="286"/>
      <c r="AA58" s="322"/>
      <c r="AB58" s="312"/>
      <c r="AC58" s="385" t="str">
        <f>IF(AB58="","",VLOOKUP(AB58,案件コード!$A$1:$B$31,2,FALSE()))</f>
        <v/>
      </c>
      <c r="AD58" s="385"/>
      <c r="AE58" s="385"/>
      <c r="AF58" s="113" t="str">
        <f t="shared" si="17"/>
        <v/>
      </c>
      <c r="AG58" s="285"/>
      <c r="AH58" s="284"/>
      <c r="AI58" s="286"/>
      <c r="AJ58" s="322"/>
      <c r="AK58" s="312"/>
      <c r="AL58" s="385" t="str">
        <f>IF(AK58="","",VLOOKUP(AK58,案件コード!$A$1:$B$31,2,FALSE()))</f>
        <v/>
      </c>
      <c r="AM58" s="385"/>
      <c r="AN58" s="385"/>
      <c r="AO58" s="113" t="str">
        <f t="shared" si="18"/>
        <v/>
      </c>
      <c r="AP58" s="285"/>
      <c r="AQ58" s="284"/>
      <c r="AR58" s="286"/>
      <c r="AS58" s="322"/>
      <c r="AT58" s="312"/>
      <c r="AU58" s="385" t="str">
        <f>IF(AT58="","",VLOOKUP(AT58,案件コード!$A$1:$B$31,2,FALSE()))</f>
        <v/>
      </c>
      <c r="AV58" s="385"/>
      <c r="AW58" s="385"/>
      <c r="AX58" s="113" t="str">
        <f t="shared" si="19"/>
        <v/>
      </c>
      <c r="AY58" s="285"/>
      <c r="AZ58" s="284"/>
      <c r="BA58" s="286"/>
      <c r="BB58" s="322"/>
      <c r="BC58" s="312"/>
      <c r="BD58" s="385" t="str">
        <f>IF(BC58="","",VLOOKUP(BC58,案件コード!$A$1:$B$31,2,FALSE()))</f>
        <v/>
      </c>
      <c r="BE58" s="385"/>
      <c r="BF58" s="385"/>
      <c r="BG58" s="113" t="str">
        <f t="shared" si="20"/>
        <v/>
      </c>
      <c r="BH58" s="285"/>
      <c r="BI58" s="284"/>
      <c r="BJ58" s="286"/>
      <c r="BK58" s="322"/>
    </row>
    <row r="59" spans="1:63">
      <c r="A59" s="312"/>
      <c r="B59" s="385" t="str">
        <f>IF(A59="","",VLOOKUP(A59,案件コード!$A$1:$B$31,2,FALSE()))</f>
        <v/>
      </c>
      <c r="C59" s="385"/>
      <c r="D59" s="385"/>
      <c r="E59" s="113" t="str">
        <f t="shared" si="14"/>
        <v/>
      </c>
      <c r="F59" s="285"/>
      <c r="G59" s="284"/>
      <c r="H59" s="286"/>
      <c r="I59" s="322"/>
      <c r="J59" s="312"/>
      <c r="K59" s="385" t="str">
        <f>IF(J59="","",VLOOKUP(J59,案件コード!$A$1:$B$31,2,FALSE()))</f>
        <v/>
      </c>
      <c r="L59" s="385"/>
      <c r="M59" s="385"/>
      <c r="N59" s="113" t="str">
        <f t="shared" si="15"/>
        <v/>
      </c>
      <c r="O59" s="285"/>
      <c r="P59" s="284"/>
      <c r="Q59" s="286"/>
      <c r="R59" s="322"/>
      <c r="S59" s="312"/>
      <c r="T59" s="385" t="str">
        <f>IF(S59="","",VLOOKUP(S59,案件コード!$A$1:$B$31,2,FALSE()))</f>
        <v/>
      </c>
      <c r="U59" s="385"/>
      <c r="V59" s="385"/>
      <c r="W59" s="113" t="str">
        <f t="shared" si="16"/>
        <v/>
      </c>
      <c r="X59" s="285"/>
      <c r="Y59" s="284"/>
      <c r="Z59" s="286"/>
      <c r="AA59" s="322"/>
      <c r="AB59" s="312"/>
      <c r="AC59" s="385" t="str">
        <f>IF(AB59="","",VLOOKUP(AB59,案件コード!$A$1:$B$31,2,FALSE()))</f>
        <v/>
      </c>
      <c r="AD59" s="385"/>
      <c r="AE59" s="385"/>
      <c r="AF59" s="113" t="str">
        <f t="shared" si="17"/>
        <v/>
      </c>
      <c r="AG59" s="285"/>
      <c r="AH59" s="284"/>
      <c r="AI59" s="286"/>
      <c r="AJ59" s="322"/>
      <c r="AK59" s="312"/>
      <c r="AL59" s="385" t="str">
        <f>IF(AK59="","",VLOOKUP(AK59,案件コード!$A$1:$B$31,2,FALSE()))</f>
        <v/>
      </c>
      <c r="AM59" s="385"/>
      <c r="AN59" s="385"/>
      <c r="AO59" s="113" t="str">
        <f t="shared" si="18"/>
        <v/>
      </c>
      <c r="AP59" s="285"/>
      <c r="AQ59" s="284"/>
      <c r="AR59" s="286"/>
      <c r="AS59" s="322"/>
      <c r="AT59" s="312"/>
      <c r="AU59" s="385" t="str">
        <f>IF(AT59="","",VLOOKUP(AT59,案件コード!$A$1:$B$31,2,FALSE()))</f>
        <v/>
      </c>
      <c r="AV59" s="385"/>
      <c r="AW59" s="385"/>
      <c r="AX59" s="113" t="str">
        <f t="shared" si="19"/>
        <v/>
      </c>
      <c r="AY59" s="285"/>
      <c r="AZ59" s="284"/>
      <c r="BA59" s="286"/>
      <c r="BB59" s="322"/>
      <c r="BC59" s="312"/>
      <c r="BD59" s="385" t="str">
        <f>IF(BC59="","",VLOOKUP(BC59,案件コード!$A$1:$B$31,2,FALSE()))</f>
        <v/>
      </c>
      <c r="BE59" s="385"/>
      <c r="BF59" s="385"/>
      <c r="BG59" s="113" t="str">
        <f t="shared" si="20"/>
        <v/>
      </c>
      <c r="BH59" s="285"/>
      <c r="BI59" s="284"/>
      <c r="BJ59" s="286"/>
      <c r="BK59" s="322"/>
    </row>
    <row r="60" spans="1:63">
      <c r="A60" s="312"/>
      <c r="B60" s="385" t="str">
        <f>IF(A60="","",VLOOKUP(A60,案件コード!$A$1:$B$31,2,FALSE()))</f>
        <v/>
      </c>
      <c r="C60" s="385"/>
      <c r="D60" s="385"/>
      <c r="E60" s="113" t="str">
        <f t="shared" si="14"/>
        <v/>
      </c>
      <c r="F60" s="285"/>
      <c r="G60" s="284"/>
      <c r="H60" s="286"/>
      <c r="I60" s="322"/>
      <c r="J60" s="312"/>
      <c r="K60" s="385" t="str">
        <f>IF(J60="","",VLOOKUP(J60,案件コード!$A$1:$B$31,2,FALSE()))</f>
        <v/>
      </c>
      <c r="L60" s="385"/>
      <c r="M60" s="385"/>
      <c r="N60" s="113" t="str">
        <f t="shared" si="15"/>
        <v/>
      </c>
      <c r="O60" s="285"/>
      <c r="P60" s="284"/>
      <c r="Q60" s="286"/>
      <c r="R60" s="322"/>
      <c r="S60" s="312"/>
      <c r="T60" s="385" t="str">
        <f>IF(S60="","",VLOOKUP(S60,案件コード!$A$1:$B$31,2,FALSE()))</f>
        <v/>
      </c>
      <c r="U60" s="385"/>
      <c r="V60" s="385"/>
      <c r="W60" s="113" t="str">
        <f t="shared" si="16"/>
        <v/>
      </c>
      <c r="X60" s="285"/>
      <c r="Y60" s="284"/>
      <c r="Z60" s="286"/>
      <c r="AA60" s="322"/>
      <c r="AB60" s="312"/>
      <c r="AC60" s="385" t="str">
        <f>IF(AB60="","",VLOOKUP(AB60,案件コード!$A$1:$B$31,2,FALSE()))</f>
        <v/>
      </c>
      <c r="AD60" s="385"/>
      <c r="AE60" s="385"/>
      <c r="AF60" s="113" t="str">
        <f t="shared" si="17"/>
        <v/>
      </c>
      <c r="AG60" s="285"/>
      <c r="AH60" s="284"/>
      <c r="AI60" s="286"/>
      <c r="AJ60" s="322"/>
      <c r="AK60" s="312"/>
      <c r="AL60" s="385" t="str">
        <f>IF(AK60="","",VLOOKUP(AK60,案件コード!$A$1:$B$31,2,FALSE()))</f>
        <v/>
      </c>
      <c r="AM60" s="385"/>
      <c r="AN60" s="385"/>
      <c r="AO60" s="113" t="str">
        <f t="shared" si="18"/>
        <v/>
      </c>
      <c r="AP60" s="285"/>
      <c r="AQ60" s="284"/>
      <c r="AR60" s="286"/>
      <c r="AS60" s="322"/>
      <c r="AT60" s="312"/>
      <c r="AU60" s="385" t="str">
        <f>IF(AT60="","",VLOOKUP(AT60,案件コード!$A$1:$B$31,2,FALSE()))</f>
        <v/>
      </c>
      <c r="AV60" s="385"/>
      <c r="AW60" s="385"/>
      <c r="AX60" s="113" t="str">
        <f t="shared" si="19"/>
        <v/>
      </c>
      <c r="AY60" s="285"/>
      <c r="AZ60" s="284"/>
      <c r="BA60" s="286"/>
      <c r="BB60" s="322"/>
      <c r="BC60" s="312"/>
      <c r="BD60" s="385" t="str">
        <f>IF(BC60="","",VLOOKUP(BC60,案件コード!$A$1:$B$31,2,FALSE()))</f>
        <v/>
      </c>
      <c r="BE60" s="385"/>
      <c r="BF60" s="385"/>
      <c r="BG60" s="113" t="str">
        <f t="shared" si="20"/>
        <v/>
      </c>
      <c r="BH60" s="285"/>
      <c r="BI60" s="284"/>
      <c r="BJ60" s="286"/>
      <c r="BK60" s="322"/>
    </row>
    <row r="61" spans="1:63">
      <c r="A61" s="312"/>
      <c r="B61" s="385" t="str">
        <f>IF(A61="","",VLOOKUP(A61,案件コード!$A$1:$B$31,2,FALSE()))</f>
        <v/>
      </c>
      <c r="C61" s="385"/>
      <c r="D61" s="385"/>
      <c r="E61" s="113" t="str">
        <f t="shared" si="14"/>
        <v/>
      </c>
      <c r="F61" s="285"/>
      <c r="G61" s="284"/>
      <c r="H61" s="286"/>
      <c r="I61" s="322"/>
      <c r="J61" s="312"/>
      <c r="K61" s="385" t="str">
        <f>IF(J61="","",VLOOKUP(J61,案件コード!$A$1:$B$31,2,FALSE()))</f>
        <v/>
      </c>
      <c r="L61" s="385"/>
      <c r="M61" s="385"/>
      <c r="N61" s="113" t="str">
        <f t="shared" si="15"/>
        <v/>
      </c>
      <c r="O61" s="285"/>
      <c r="P61" s="284"/>
      <c r="Q61" s="286"/>
      <c r="R61" s="322"/>
      <c r="S61" s="312"/>
      <c r="T61" s="385" t="str">
        <f>IF(S61="","",VLOOKUP(S61,案件コード!$A$1:$B$31,2,FALSE()))</f>
        <v/>
      </c>
      <c r="U61" s="385"/>
      <c r="V61" s="385"/>
      <c r="W61" s="113" t="str">
        <f t="shared" si="16"/>
        <v/>
      </c>
      <c r="X61" s="285"/>
      <c r="Y61" s="284"/>
      <c r="Z61" s="286"/>
      <c r="AA61" s="322"/>
      <c r="AB61" s="312"/>
      <c r="AC61" s="385" t="str">
        <f>IF(AB61="","",VLOOKUP(AB61,案件コード!$A$1:$B$31,2,FALSE()))</f>
        <v/>
      </c>
      <c r="AD61" s="385"/>
      <c r="AE61" s="385"/>
      <c r="AF61" s="113" t="str">
        <f t="shared" si="17"/>
        <v/>
      </c>
      <c r="AG61" s="285"/>
      <c r="AH61" s="284"/>
      <c r="AI61" s="286"/>
      <c r="AJ61" s="322"/>
      <c r="AK61" s="312"/>
      <c r="AL61" s="385" t="str">
        <f>IF(AK61="","",VLOOKUP(AK61,案件コード!$A$1:$B$31,2,FALSE()))</f>
        <v/>
      </c>
      <c r="AM61" s="385"/>
      <c r="AN61" s="385"/>
      <c r="AO61" s="113" t="str">
        <f t="shared" si="18"/>
        <v/>
      </c>
      <c r="AP61" s="285"/>
      <c r="AQ61" s="284"/>
      <c r="AR61" s="286"/>
      <c r="AS61" s="322"/>
      <c r="AT61" s="312"/>
      <c r="AU61" s="385" t="str">
        <f>IF(AT61="","",VLOOKUP(AT61,案件コード!$A$1:$B$31,2,FALSE()))</f>
        <v/>
      </c>
      <c r="AV61" s="385"/>
      <c r="AW61" s="385"/>
      <c r="AX61" s="113" t="str">
        <f t="shared" si="19"/>
        <v/>
      </c>
      <c r="AY61" s="285"/>
      <c r="AZ61" s="284"/>
      <c r="BA61" s="286"/>
      <c r="BB61" s="322"/>
      <c r="BC61" s="312"/>
      <c r="BD61" s="385" t="str">
        <f>IF(BC61="","",VLOOKUP(BC61,案件コード!$A$1:$B$31,2,FALSE()))</f>
        <v/>
      </c>
      <c r="BE61" s="385"/>
      <c r="BF61" s="385"/>
      <c r="BG61" s="113" t="str">
        <f t="shared" si="20"/>
        <v/>
      </c>
      <c r="BH61" s="285"/>
      <c r="BI61" s="284"/>
      <c r="BJ61" s="286"/>
      <c r="BK61" s="322"/>
    </row>
    <row r="62" spans="1:63">
      <c r="A62" s="312"/>
      <c r="B62" s="385" t="str">
        <f>IF(A62="","",VLOOKUP(A62,案件コード!$A$1:$B$31,2,FALSE()))</f>
        <v/>
      </c>
      <c r="C62" s="385"/>
      <c r="D62" s="385"/>
      <c r="E62" s="113" t="str">
        <f t="shared" si="14"/>
        <v/>
      </c>
      <c r="F62" s="285"/>
      <c r="G62" s="284"/>
      <c r="H62" s="286"/>
      <c r="I62" s="322"/>
      <c r="J62" s="312"/>
      <c r="K62" s="385" t="str">
        <f>IF(J62="","",VLOOKUP(J62,案件コード!$A$1:$B$31,2,FALSE()))</f>
        <v/>
      </c>
      <c r="L62" s="385"/>
      <c r="M62" s="385"/>
      <c r="N62" s="113" t="str">
        <f t="shared" si="15"/>
        <v/>
      </c>
      <c r="O62" s="285"/>
      <c r="P62" s="284"/>
      <c r="Q62" s="286"/>
      <c r="R62" s="322"/>
      <c r="S62" s="312"/>
      <c r="T62" s="385" t="str">
        <f>IF(S62="","",VLOOKUP(S62,案件コード!$A$1:$B$31,2,FALSE()))</f>
        <v/>
      </c>
      <c r="U62" s="385"/>
      <c r="V62" s="385"/>
      <c r="W62" s="113" t="str">
        <f t="shared" si="16"/>
        <v/>
      </c>
      <c r="X62" s="285"/>
      <c r="Y62" s="284"/>
      <c r="Z62" s="286"/>
      <c r="AA62" s="322"/>
      <c r="AB62" s="312"/>
      <c r="AC62" s="385" t="str">
        <f>IF(AB62="","",VLOOKUP(AB62,案件コード!$A$1:$B$31,2,FALSE()))</f>
        <v/>
      </c>
      <c r="AD62" s="385"/>
      <c r="AE62" s="385"/>
      <c r="AF62" s="113" t="str">
        <f t="shared" si="17"/>
        <v/>
      </c>
      <c r="AG62" s="285"/>
      <c r="AH62" s="284"/>
      <c r="AI62" s="286"/>
      <c r="AJ62" s="322"/>
      <c r="AK62" s="312"/>
      <c r="AL62" s="385" t="str">
        <f>IF(AK62="","",VLOOKUP(AK62,案件コード!$A$1:$B$31,2,FALSE()))</f>
        <v/>
      </c>
      <c r="AM62" s="385"/>
      <c r="AN62" s="385"/>
      <c r="AO62" s="113" t="str">
        <f t="shared" si="18"/>
        <v/>
      </c>
      <c r="AP62" s="285"/>
      <c r="AQ62" s="284"/>
      <c r="AR62" s="286"/>
      <c r="AS62" s="322"/>
      <c r="AT62" s="312"/>
      <c r="AU62" s="385" t="str">
        <f>IF(AT62="","",VLOOKUP(AT62,案件コード!$A$1:$B$31,2,FALSE()))</f>
        <v/>
      </c>
      <c r="AV62" s="385"/>
      <c r="AW62" s="385"/>
      <c r="AX62" s="113" t="str">
        <f t="shared" si="19"/>
        <v/>
      </c>
      <c r="AY62" s="285"/>
      <c r="AZ62" s="284"/>
      <c r="BA62" s="286"/>
      <c r="BB62" s="322"/>
      <c r="BC62" s="312"/>
      <c r="BD62" s="385" t="str">
        <f>IF(BC62="","",VLOOKUP(BC62,案件コード!$A$1:$B$31,2,FALSE()))</f>
        <v/>
      </c>
      <c r="BE62" s="385"/>
      <c r="BF62" s="385"/>
      <c r="BG62" s="113" t="str">
        <f t="shared" si="20"/>
        <v/>
      </c>
      <c r="BH62" s="285"/>
      <c r="BI62" s="284"/>
      <c r="BJ62" s="286"/>
      <c r="BK62" s="322"/>
    </row>
    <row r="63" spans="1:63" ht="18.600000000000001" thickBot="1">
      <c r="A63" s="315"/>
      <c r="B63" s="386" t="str">
        <f>IF(A63="","",VLOOKUP(A63,案件コード!$A$1:$B$31,2,FALSE()))</f>
        <v/>
      </c>
      <c r="C63" s="386"/>
      <c r="D63" s="386"/>
      <c r="E63" s="316" t="str">
        <f t="shared" si="14"/>
        <v/>
      </c>
      <c r="F63" s="317"/>
      <c r="G63" s="318"/>
      <c r="H63" s="319"/>
      <c r="I63" s="323"/>
      <c r="J63" s="315"/>
      <c r="K63" s="386" t="str">
        <f>IF(J63="","",VLOOKUP(J63,案件コード!$A$1:$B$31,2,FALSE()))</f>
        <v/>
      </c>
      <c r="L63" s="386"/>
      <c r="M63" s="386"/>
      <c r="N63" s="316" t="str">
        <f t="shared" si="15"/>
        <v/>
      </c>
      <c r="O63" s="317"/>
      <c r="P63" s="318"/>
      <c r="Q63" s="319"/>
      <c r="R63" s="323"/>
      <c r="S63" s="315"/>
      <c r="T63" s="386" t="str">
        <f>IF(S63="","",VLOOKUP(S63,案件コード!$A$1:$B$31,2,FALSE()))</f>
        <v/>
      </c>
      <c r="U63" s="386"/>
      <c r="V63" s="386"/>
      <c r="W63" s="316" t="str">
        <f t="shared" si="16"/>
        <v/>
      </c>
      <c r="X63" s="317"/>
      <c r="Y63" s="318"/>
      <c r="Z63" s="319"/>
      <c r="AA63" s="323"/>
      <c r="AB63" s="315"/>
      <c r="AC63" s="386" t="str">
        <f>IF(AB63="","",VLOOKUP(AB63,案件コード!$A$1:$B$31,2,FALSE()))</f>
        <v/>
      </c>
      <c r="AD63" s="386"/>
      <c r="AE63" s="386"/>
      <c r="AF63" s="316" t="str">
        <f t="shared" si="17"/>
        <v/>
      </c>
      <c r="AG63" s="317"/>
      <c r="AH63" s="318"/>
      <c r="AI63" s="319"/>
      <c r="AJ63" s="323"/>
      <c r="AK63" s="315"/>
      <c r="AL63" s="386" t="str">
        <f>IF(AK63="","",VLOOKUP(AK63,案件コード!$A$1:$B$31,2,FALSE()))</f>
        <v/>
      </c>
      <c r="AM63" s="386"/>
      <c r="AN63" s="386"/>
      <c r="AO63" s="316" t="str">
        <f t="shared" si="18"/>
        <v/>
      </c>
      <c r="AP63" s="317"/>
      <c r="AQ63" s="318"/>
      <c r="AR63" s="319"/>
      <c r="AS63" s="323"/>
      <c r="AT63" s="315"/>
      <c r="AU63" s="386" t="str">
        <f>IF(AT63="","",VLOOKUP(AT63,案件コード!$A$1:$B$31,2,FALSE()))</f>
        <v/>
      </c>
      <c r="AV63" s="386"/>
      <c r="AW63" s="386"/>
      <c r="AX63" s="316" t="str">
        <f t="shared" si="19"/>
        <v/>
      </c>
      <c r="AY63" s="317"/>
      <c r="AZ63" s="318"/>
      <c r="BA63" s="319"/>
      <c r="BB63" s="323"/>
      <c r="BC63" s="315"/>
      <c r="BD63" s="386" t="str">
        <f>IF(BC63="","",VLOOKUP(BC63,案件コード!$A$1:$B$31,2,FALSE()))</f>
        <v/>
      </c>
      <c r="BE63" s="386"/>
      <c r="BF63" s="386"/>
      <c r="BG63" s="316" t="str">
        <f t="shared" si="20"/>
        <v/>
      </c>
      <c r="BH63" s="317"/>
      <c r="BI63" s="318"/>
      <c r="BJ63" s="319"/>
      <c r="BK63" s="323"/>
    </row>
    <row r="64" spans="1:63" ht="18.600000000000001" thickBot="1">
      <c r="A64" s="41"/>
      <c r="B64" s="41"/>
      <c r="C64" s="41"/>
      <c r="D64" s="41"/>
      <c r="E64" s="41"/>
      <c r="F64" s="41"/>
      <c r="G64" s="41"/>
      <c r="H64" s="307">
        <f>SUM(H49:H63)</f>
        <v>0</v>
      </c>
      <c r="I64" s="41"/>
      <c r="J64" s="41"/>
      <c r="K64" s="41"/>
      <c r="L64" s="41"/>
      <c r="M64" s="41"/>
      <c r="N64" s="41"/>
      <c r="O64" s="41"/>
      <c r="P64" s="41"/>
      <c r="Q64" s="307">
        <f>SUM(Q49:Q63)</f>
        <v>0</v>
      </c>
      <c r="R64" s="41"/>
      <c r="S64" s="41"/>
      <c r="T64" s="41"/>
      <c r="U64" s="41"/>
      <c r="V64" s="41"/>
      <c r="W64" s="41"/>
      <c r="X64" s="41"/>
      <c r="Y64" s="41"/>
      <c r="Z64" s="307">
        <f>SUM(Z49:Z63)</f>
        <v>0</v>
      </c>
      <c r="AA64" s="41"/>
      <c r="AB64" s="41"/>
      <c r="AC64" s="41"/>
      <c r="AD64" s="41"/>
      <c r="AE64" s="41"/>
      <c r="AF64" s="41"/>
      <c r="AG64" s="41"/>
      <c r="AH64" s="41"/>
      <c r="AI64" s="307">
        <f>SUM(AI49:AI63)</f>
        <v>0</v>
      </c>
      <c r="AJ64" s="41"/>
      <c r="AK64" s="41"/>
      <c r="AL64" s="41"/>
      <c r="AM64" s="41"/>
      <c r="AN64" s="41"/>
      <c r="AO64" s="41"/>
      <c r="AP64" s="41"/>
      <c r="AQ64" s="41"/>
      <c r="AR64" s="307">
        <f>SUM(AR49:AR63)</f>
        <v>0</v>
      </c>
      <c r="AS64" s="41"/>
      <c r="AT64" s="41"/>
      <c r="AU64" s="41"/>
      <c r="AV64" s="41"/>
      <c r="AW64" s="41"/>
      <c r="AX64" s="41"/>
      <c r="AY64" s="41"/>
      <c r="AZ64" s="41"/>
      <c r="BA64" s="307">
        <f>SUM(BA49:BA63)</f>
        <v>0</v>
      </c>
      <c r="BB64" s="41"/>
      <c r="BC64" s="41"/>
      <c r="BD64" s="41"/>
      <c r="BE64" s="41"/>
      <c r="BF64" s="41"/>
      <c r="BG64" s="41"/>
      <c r="BH64" s="41"/>
      <c r="BI64" s="41"/>
      <c r="BJ64" s="307">
        <f>SUM(BJ49:BJ63)</f>
        <v>0</v>
      </c>
      <c r="BK64" s="41"/>
    </row>
    <row r="65" spans="1:63">
      <c r="A65" s="390" t="s">
        <v>16</v>
      </c>
      <c r="B65" s="391"/>
      <c r="C65" s="391" t="s">
        <v>17</v>
      </c>
      <c r="D65" s="391"/>
      <c r="E65" s="391" t="s">
        <v>18</v>
      </c>
      <c r="F65" s="392"/>
      <c r="G65" s="41"/>
      <c r="H65" s="41"/>
      <c r="I65" s="41"/>
      <c r="J65" s="390" t="s">
        <v>16</v>
      </c>
      <c r="K65" s="391"/>
      <c r="L65" s="391" t="s">
        <v>17</v>
      </c>
      <c r="M65" s="391"/>
      <c r="N65" s="391" t="s">
        <v>18</v>
      </c>
      <c r="O65" s="392"/>
      <c r="P65" s="41"/>
      <c r="Q65" s="41"/>
      <c r="R65" s="41"/>
      <c r="S65" s="390" t="s">
        <v>16</v>
      </c>
      <c r="T65" s="391"/>
      <c r="U65" s="391" t="s">
        <v>17</v>
      </c>
      <c r="V65" s="391"/>
      <c r="W65" s="391" t="s">
        <v>18</v>
      </c>
      <c r="X65" s="392"/>
      <c r="Y65" s="41"/>
      <c r="Z65" s="41"/>
      <c r="AA65" s="41"/>
      <c r="AB65" s="390" t="s">
        <v>16</v>
      </c>
      <c r="AC65" s="391"/>
      <c r="AD65" s="391" t="s">
        <v>17</v>
      </c>
      <c r="AE65" s="391"/>
      <c r="AF65" s="391" t="s">
        <v>18</v>
      </c>
      <c r="AG65" s="392"/>
      <c r="AH65" s="41"/>
      <c r="AI65" s="41"/>
      <c r="AJ65" s="41"/>
      <c r="AK65" s="390" t="s">
        <v>16</v>
      </c>
      <c r="AL65" s="391"/>
      <c r="AM65" s="391" t="s">
        <v>17</v>
      </c>
      <c r="AN65" s="391"/>
      <c r="AO65" s="391" t="s">
        <v>18</v>
      </c>
      <c r="AP65" s="392"/>
      <c r="AQ65" s="41"/>
      <c r="AR65" s="41"/>
      <c r="AS65" s="41"/>
      <c r="AT65" s="390" t="s">
        <v>16</v>
      </c>
      <c r="AU65" s="391"/>
      <c r="AV65" s="391" t="s">
        <v>17</v>
      </c>
      <c r="AW65" s="391"/>
      <c r="AX65" s="391" t="s">
        <v>18</v>
      </c>
      <c r="AY65" s="392"/>
      <c r="AZ65" s="41"/>
      <c r="BA65" s="41"/>
      <c r="BB65" s="41"/>
      <c r="BC65" s="390" t="s">
        <v>16</v>
      </c>
      <c r="BD65" s="391"/>
      <c r="BE65" s="391" t="s">
        <v>17</v>
      </c>
      <c r="BF65" s="391"/>
      <c r="BG65" s="391" t="s">
        <v>18</v>
      </c>
      <c r="BH65" s="392"/>
      <c r="BI65" s="41"/>
      <c r="BJ65" s="41"/>
      <c r="BK65" s="41"/>
    </row>
    <row r="66" spans="1:63" ht="18.600000000000001" thickBot="1">
      <c r="A66" s="387">
        <f>BC46+1</f>
        <v>45922</v>
      </c>
      <c r="B66" s="388"/>
      <c r="C66" s="289"/>
      <c r="D66" s="289"/>
      <c r="E66" s="290" t="str">
        <f>IF(C66="","",D66-C66-H66)</f>
        <v/>
      </c>
      <c r="F66" s="291" t="str">
        <f>IF(AND(E66=""),"",SUM(E69:E83))</f>
        <v/>
      </c>
      <c r="G66" s="114" t="s">
        <v>19</v>
      </c>
      <c r="H66" s="287">
        <v>4.1666666666666699E-2</v>
      </c>
      <c r="I66" s="41"/>
      <c r="J66" s="387">
        <f>A66+1</f>
        <v>45923</v>
      </c>
      <c r="K66" s="388"/>
      <c r="L66" s="289"/>
      <c r="M66" s="289"/>
      <c r="N66" s="290" t="str">
        <f>IF(L66="","",M66-L66-Q66)</f>
        <v/>
      </c>
      <c r="O66" s="291" t="str">
        <f>IF(AND(N66=""),"",SUM(N69:N83))</f>
        <v/>
      </c>
      <c r="P66" s="114" t="s">
        <v>19</v>
      </c>
      <c r="Q66" s="287">
        <v>4.1666666666666699E-2</v>
      </c>
      <c r="R66" s="41"/>
      <c r="S66" s="387">
        <f>J66+1</f>
        <v>45924</v>
      </c>
      <c r="T66" s="388"/>
      <c r="U66" s="289"/>
      <c r="V66" s="289"/>
      <c r="W66" s="290" t="str">
        <f>IF(U66="","",V66-U66-Z66)</f>
        <v/>
      </c>
      <c r="X66" s="291" t="str">
        <f>IF(AND(W66=""),"",SUM(W69:W83))</f>
        <v/>
      </c>
      <c r="Y66" s="114" t="s">
        <v>19</v>
      </c>
      <c r="Z66" s="287">
        <v>4.1666666666666699E-2</v>
      </c>
      <c r="AA66" s="41"/>
      <c r="AB66" s="387">
        <f>S66+1</f>
        <v>45925</v>
      </c>
      <c r="AC66" s="388"/>
      <c r="AD66" s="289"/>
      <c r="AE66" s="289"/>
      <c r="AF66" s="290" t="str">
        <f>IF(AD66="","",AE66-AD66-AI66)</f>
        <v/>
      </c>
      <c r="AG66" s="291" t="str">
        <f>IF(AND(AF66=""),"",SUM(AF69:AF83))</f>
        <v/>
      </c>
      <c r="AH66" s="114" t="s">
        <v>19</v>
      </c>
      <c r="AI66" s="287">
        <v>4.1666666666666699E-2</v>
      </c>
      <c r="AJ66" s="41"/>
      <c r="AK66" s="387">
        <f>AB66+1</f>
        <v>45926</v>
      </c>
      <c r="AL66" s="388"/>
      <c r="AM66" s="289"/>
      <c r="AN66" s="289"/>
      <c r="AO66" s="290" t="str">
        <f>IF(AM66="","",AN66-AM66-AR66)</f>
        <v/>
      </c>
      <c r="AP66" s="291" t="str">
        <f>IF(AND(AO66=""),"",SUM(AO69:AO83))</f>
        <v/>
      </c>
      <c r="AQ66" s="114" t="s">
        <v>19</v>
      </c>
      <c r="AR66" s="287">
        <v>4.1666666666666699E-2</v>
      </c>
      <c r="AS66" s="41"/>
      <c r="AT66" s="387">
        <f>AK66+1</f>
        <v>45927</v>
      </c>
      <c r="AU66" s="388"/>
      <c r="AV66" s="289"/>
      <c r="AW66" s="289"/>
      <c r="AX66" s="290" t="str">
        <f>IF(AV66="","",AW66-AV66-BA66)</f>
        <v/>
      </c>
      <c r="AY66" s="291" t="str">
        <f>IF(AND(AX66=""),"",SUM(AX69:AX83))</f>
        <v/>
      </c>
      <c r="AZ66" s="114" t="s">
        <v>19</v>
      </c>
      <c r="BA66" s="287">
        <v>4.1666666666666699E-2</v>
      </c>
      <c r="BB66" s="41"/>
      <c r="BC66" s="387">
        <f>AT66+1</f>
        <v>45928</v>
      </c>
      <c r="BD66" s="388"/>
      <c r="BE66" s="289"/>
      <c r="BF66" s="289"/>
      <c r="BG66" s="290" t="str">
        <f>IF(BE66="","",BF66-BE66-BJ66)</f>
        <v/>
      </c>
      <c r="BH66" s="291" t="str">
        <f>IF(AND(BG66=""),"",SUM(BG69:BG83))</f>
        <v/>
      </c>
      <c r="BI66" s="114" t="s">
        <v>19</v>
      </c>
      <c r="BJ66" s="287">
        <v>4.1666666666666699E-2</v>
      </c>
      <c r="BK66" s="41"/>
    </row>
    <row r="67" spans="1:63" ht="18.600000000000001" thickBot="1">
      <c r="A67" s="41" t="s">
        <v>38</v>
      </c>
      <c r="B67" s="115"/>
      <c r="C67" s="115"/>
      <c r="D67" s="115"/>
      <c r="E67" s="116"/>
      <c r="F67" s="117"/>
      <c r="G67" s="117"/>
      <c r="H67" s="185"/>
      <c r="I67" s="41"/>
      <c r="J67" s="41" t="s">
        <v>38</v>
      </c>
      <c r="K67" s="115"/>
      <c r="L67" s="115"/>
      <c r="M67" s="115"/>
      <c r="N67" s="116"/>
      <c r="O67" s="117"/>
      <c r="P67" s="117"/>
      <c r="Q67" s="185"/>
      <c r="R67" s="41"/>
      <c r="S67" s="41" t="s">
        <v>38</v>
      </c>
      <c r="T67" s="115"/>
      <c r="U67" s="115"/>
      <c r="V67" s="115"/>
      <c r="W67" s="116"/>
      <c r="X67" s="117"/>
      <c r="Y67" s="117"/>
      <c r="Z67" s="185"/>
      <c r="AA67" s="41"/>
      <c r="AB67" s="41" t="s">
        <v>38</v>
      </c>
      <c r="AC67" s="115"/>
      <c r="AD67" s="115"/>
      <c r="AE67" s="115"/>
      <c r="AF67" s="116"/>
      <c r="AG67" s="117"/>
      <c r="AH67" s="117"/>
      <c r="AI67" s="185"/>
      <c r="AJ67" s="41"/>
      <c r="AK67" s="41" t="s">
        <v>38</v>
      </c>
      <c r="AL67" s="115"/>
      <c r="AM67" s="115"/>
      <c r="AN67" s="115"/>
      <c r="AO67" s="116"/>
      <c r="AP67" s="117"/>
      <c r="AQ67" s="117"/>
      <c r="AR67" s="185"/>
      <c r="AS67" s="41"/>
      <c r="AT67" s="41" t="s">
        <v>38</v>
      </c>
      <c r="AU67" s="115"/>
      <c r="AV67" s="115"/>
      <c r="AW67" s="115"/>
      <c r="AX67" s="116"/>
      <c r="AY67" s="117"/>
      <c r="AZ67" s="117"/>
      <c r="BA67" s="185"/>
      <c r="BB67" s="41"/>
      <c r="BC67" s="41" t="s">
        <v>38</v>
      </c>
      <c r="BD67" s="115"/>
      <c r="BE67" s="115"/>
      <c r="BF67" s="115"/>
      <c r="BG67" s="116"/>
      <c r="BH67" s="117"/>
      <c r="BI67" s="117"/>
      <c r="BJ67" s="185"/>
      <c r="BK67" s="41"/>
    </row>
    <row r="68" spans="1:63">
      <c r="A68" s="308" t="s">
        <v>20</v>
      </c>
      <c r="B68" s="389" t="s">
        <v>21</v>
      </c>
      <c r="C68" s="389"/>
      <c r="D68" s="389"/>
      <c r="E68" s="309" t="s">
        <v>22</v>
      </c>
      <c r="F68" s="309" t="s">
        <v>0</v>
      </c>
      <c r="G68" s="309" t="s">
        <v>39</v>
      </c>
      <c r="H68" s="310" t="s">
        <v>23</v>
      </c>
      <c r="I68" s="311" t="s">
        <v>24</v>
      </c>
      <c r="J68" s="308" t="s">
        <v>20</v>
      </c>
      <c r="K68" s="389" t="s">
        <v>21</v>
      </c>
      <c r="L68" s="389"/>
      <c r="M68" s="389"/>
      <c r="N68" s="309" t="s">
        <v>22</v>
      </c>
      <c r="O68" s="309" t="s">
        <v>0</v>
      </c>
      <c r="P68" s="309" t="s">
        <v>39</v>
      </c>
      <c r="Q68" s="310" t="s">
        <v>23</v>
      </c>
      <c r="R68" s="311" t="s">
        <v>24</v>
      </c>
      <c r="S68" s="308" t="s">
        <v>20</v>
      </c>
      <c r="T68" s="389" t="s">
        <v>21</v>
      </c>
      <c r="U68" s="389"/>
      <c r="V68" s="389"/>
      <c r="W68" s="309" t="s">
        <v>22</v>
      </c>
      <c r="X68" s="309" t="s">
        <v>0</v>
      </c>
      <c r="Y68" s="309" t="s">
        <v>39</v>
      </c>
      <c r="Z68" s="310" t="s">
        <v>23</v>
      </c>
      <c r="AA68" s="311" t="s">
        <v>24</v>
      </c>
      <c r="AB68" s="308" t="s">
        <v>20</v>
      </c>
      <c r="AC68" s="389" t="s">
        <v>21</v>
      </c>
      <c r="AD68" s="389"/>
      <c r="AE68" s="389"/>
      <c r="AF68" s="309" t="s">
        <v>22</v>
      </c>
      <c r="AG68" s="309" t="s">
        <v>0</v>
      </c>
      <c r="AH68" s="309" t="s">
        <v>39</v>
      </c>
      <c r="AI68" s="310" t="s">
        <v>23</v>
      </c>
      <c r="AJ68" s="311" t="s">
        <v>24</v>
      </c>
      <c r="AK68" s="308" t="s">
        <v>20</v>
      </c>
      <c r="AL68" s="389" t="s">
        <v>21</v>
      </c>
      <c r="AM68" s="389"/>
      <c r="AN68" s="389"/>
      <c r="AO68" s="309" t="s">
        <v>22</v>
      </c>
      <c r="AP68" s="309" t="s">
        <v>0</v>
      </c>
      <c r="AQ68" s="309" t="s">
        <v>39</v>
      </c>
      <c r="AR68" s="310" t="s">
        <v>23</v>
      </c>
      <c r="AS68" s="311" t="s">
        <v>24</v>
      </c>
      <c r="AT68" s="308" t="s">
        <v>20</v>
      </c>
      <c r="AU68" s="389" t="s">
        <v>21</v>
      </c>
      <c r="AV68" s="389"/>
      <c r="AW68" s="389"/>
      <c r="AX68" s="309" t="s">
        <v>22</v>
      </c>
      <c r="AY68" s="309" t="s">
        <v>0</v>
      </c>
      <c r="AZ68" s="309" t="s">
        <v>39</v>
      </c>
      <c r="BA68" s="310" t="s">
        <v>23</v>
      </c>
      <c r="BB68" s="311" t="s">
        <v>24</v>
      </c>
      <c r="BC68" s="308" t="s">
        <v>20</v>
      </c>
      <c r="BD68" s="389" t="s">
        <v>21</v>
      </c>
      <c r="BE68" s="389"/>
      <c r="BF68" s="389"/>
      <c r="BG68" s="309" t="s">
        <v>22</v>
      </c>
      <c r="BH68" s="309" t="s">
        <v>0</v>
      </c>
      <c r="BI68" s="309" t="s">
        <v>39</v>
      </c>
      <c r="BJ68" s="310" t="s">
        <v>23</v>
      </c>
      <c r="BK68" s="311" t="s">
        <v>24</v>
      </c>
    </row>
    <row r="69" spans="1:63">
      <c r="A69" s="312"/>
      <c r="B69" s="385" t="str">
        <f>IF(A69="","",VLOOKUP(A69,案件コード!$A$1:$B$31,2,FALSE()))</f>
        <v/>
      </c>
      <c r="C69" s="385"/>
      <c r="D69" s="385"/>
      <c r="E69" s="113" t="str">
        <f t="shared" ref="E69:E83" si="21">IF(AND(F69="",G69=""),"",SUM(F69:G69))</f>
        <v/>
      </c>
      <c r="F69" s="285"/>
      <c r="G69" s="284"/>
      <c r="H69" s="286"/>
      <c r="I69" s="321"/>
      <c r="J69" s="312"/>
      <c r="K69" s="385" t="str">
        <f>IF(J69="","",VLOOKUP(J69,案件コード!$A$1:$B$31,2,FALSE()))</f>
        <v/>
      </c>
      <c r="L69" s="385"/>
      <c r="M69" s="385"/>
      <c r="N69" s="113" t="str">
        <f t="shared" ref="N69:N83" si="22">IF(AND(O69="",P69=""),"",SUM(O69:P69))</f>
        <v/>
      </c>
      <c r="O69" s="285"/>
      <c r="P69" s="284"/>
      <c r="Q69" s="286"/>
      <c r="R69" s="321"/>
      <c r="S69" s="312"/>
      <c r="T69" s="385" t="str">
        <f>IF(S69="","",VLOOKUP(S69,案件コード!$A$1:$B$31,2,FALSE()))</f>
        <v/>
      </c>
      <c r="U69" s="385"/>
      <c r="V69" s="385"/>
      <c r="W69" s="113" t="str">
        <f t="shared" ref="W69:W83" si="23">IF(AND(X69="",Y69=""),"",SUM(X69:Y69))</f>
        <v/>
      </c>
      <c r="X69" s="285"/>
      <c r="Y69" s="284"/>
      <c r="Z69" s="286"/>
      <c r="AA69" s="321"/>
      <c r="AB69" s="312"/>
      <c r="AC69" s="385" t="str">
        <f>IF(AB69="","",VLOOKUP(AB69,案件コード!$A$1:$B$31,2,FALSE()))</f>
        <v/>
      </c>
      <c r="AD69" s="385"/>
      <c r="AE69" s="385"/>
      <c r="AF69" s="113" t="str">
        <f t="shared" ref="AF69:AF83" si="24">IF(AND(AG69="",AH69=""),"",SUM(AG69:AH69))</f>
        <v/>
      </c>
      <c r="AG69" s="285"/>
      <c r="AH69" s="284"/>
      <c r="AI69" s="286"/>
      <c r="AJ69" s="321"/>
      <c r="AK69" s="312"/>
      <c r="AL69" s="385" t="str">
        <f>IF(AK69="","",VLOOKUP(AK69,案件コード!$A$1:$B$31,2,FALSE()))</f>
        <v/>
      </c>
      <c r="AM69" s="385"/>
      <c r="AN69" s="385"/>
      <c r="AO69" s="113" t="str">
        <f t="shared" ref="AO69:AO83" si="25">IF(AND(AP69="",AQ69=""),"",SUM(AP69:AQ69))</f>
        <v/>
      </c>
      <c r="AP69" s="285"/>
      <c r="AQ69" s="284"/>
      <c r="AR69" s="286"/>
      <c r="AS69" s="321"/>
      <c r="AT69" s="312"/>
      <c r="AU69" s="385" t="str">
        <f>IF(AT69="","",VLOOKUP(AT69,案件コード!$A$1:$B$31,2,FALSE()))</f>
        <v/>
      </c>
      <c r="AV69" s="385"/>
      <c r="AW69" s="385"/>
      <c r="AX69" s="113" t="str">
        <f t="shared" ref="AX69:AX83" si="26">IF(AND(AY69="",AZ69=""),"",SUM(AY69:AZ69))</f>
        <v/>
      </c>
      <c r="AY69" s="285"/>
      <c r="AZ69" s="284"/>
      <c r="BA69" s="286"/>
      <c r="BB69" s="321"/>
      <c r="BC69" s="312"/>
      <c r="BD69" s="385" t="str">
        <f>IF(BC69="","",VLOOKUP(BC69,案件コード!$A$1:$B$31,2,FALSE()))</f>
        <v/>
      </c>
      <c r="BE69" s="385"/>
      <c r="BF69" s="385"/>
      <c r="BG69" s="113" t="str">
        <f t="shared" ref="BG69:BG83" si="27">IF(AND(BH69="",BI69=""),"",SUM(BH69:BI69))</f>
        <v/>
      </c>
      <c r="BH69" s="285"/>
      <c r="BI69" s="284"/>
      <c r="BJ69" s="286"/>
      <c r="BK69" s="321"/>
    </row>
    <row r="70" spans="1:63">
      <c r="A70" s="312"/>
      <c r="B70" s="385" t="str">
        <f>IF(A70="","",VLOOKUP(A70,案件コード!$A$1:$B$31,2,FALSE()))</f>
        <v/>
      </c>
      <c r="C70" s="385"/>
      <c r="D70" s="385"/>
      <c r="E70" s="113" t="str">
        <f t="shared" si="21"/>
        <v/>
      </c>
      <c r="F70" s="285"/>
      <c r="G70" s="284"/>
      <c r="H70" s="286"/>
      <c r="I70" s="322"/>
      <c r="J70" s="312"/>
      <c r="K70" s="385" t="str">
        <f>IF(J70="","",VLOOKUP(J70,案件コード!$A$1:$B$31,2,FALSE()))</f>
        <v/>
      </c>
      <c r="L70" s="385"/>
      <c r="M70" s="385"/>
      <c r="N70" s="113" t="str">
        <f t="shared" si="22"/>
        <v/>
      </c>
      <c r="O70" s="285"/>
      <c r="P70" s="284"/>
      <c r="Q70" s="286"/>
      <c r="R70" s="322"/>
      <c r="S70" s="312"/>
      <c r="T70" s="385" t="str">
        <f>IF(S70="","",VLOOKUP(S70,案件コード!$A$1:$B$31,2,FALSE()))</f>
        <v/>
      </c>
      <c r="U70" s="385"/>
      <c r="V70" s="385"/>
      <c r="W70" s="113" t="str">
        <f t="shared" si="23"/>
        <v/>
      </c>
      <c r="X70" s="285"/>
      <c r="Y70" s="284"/>
      <c r="Z70" s="286"/>
      <c r="AA70" s="322"/>
      <c r="AB70" s="312"/>
      <c r="AC70" s="385" t="str">
        <f>IF(AB70="","",VLOOKUP(AB70,案件コード!$A$1:$B$31,2,FALSE()))</f>
        <v/>
      </c>
      <c r="AD70" s="385"/>
      <c r="AE70" s="385"/>
      <c r="AF70" s="113" t="str">
        <f t="shared" si="24"/>
        <v/>
      </c>
      <c r="AG70" s="285"/>
      <c r="AH70" s="284"/>
      <c r="AI70" s="286"/>
      <c r="AJ70" s="322"/>
      <c r="AK70" s="312"/>
      <c r="AL70" s="385" t="str">
        <f>IF(AK70="","",VLOOKUP(AK70,案件コード!$A$1:$B$31,2,FALSE()))</f>
        <v/>
      </c>
      <c r="AM70" s="385"/>
      <c r="AN70" s="385"/>
      <c r="AO70" s="113" t="str">
        <f t="shared" si="25"/>
        <v/>
      </c>
      <c r="AP70" s="285"/>
      <c r="AQ70" s="284"/>
      <c r="AR70" s="286"/>
      <c r="AS70" s="322"/>
      <c r="AT70" s="312"/>
      <c r="AU70" s="385" t="str">
        <f>IF(AT70="","",VLOOKUP(AT70,案件コード!$A$1:$B$31,2,FALSE()))</f>
        <v/>
      </c>
      <c r="AV70" s="385"/>
      <c r="AW70" s="385"/>
      <c r="AX70" s="113" t="str">
        <f t="shared" si="26"/>
        <v/>
      </c>
      <c r="AY70" s="285"/>
      <c r="AZ70" s="284"/>
      <c r="BA70" s="286"/>
      <c r="BB70" s="322"/>
      <c r="BC70" s="312"/>
      <c r="BD70" s="385" t="str">
        <f>IF(BC70="","",VLOOKUP(BC70,案件コード!$A$1:$B$31,2,FALSE()))</f>
        <v/>
      </c>
      <c r="BE70" s="385"/>
      <c r="BF70" s="385"/>
      <c r="BG70" s="113" t="str">
        <f t="shared" si="27"/>
        <v/>
      </c>
      <c r="BH70" s="285"/>
      <c r="BI70" s="284"/>
      <c r="BJ70" s="286"/>
      <c r="BK70" s="322"/>
    </row>
    <row r="71" spans="1:63">
      <c r="A71" s="312"/>
      <c r="B71" s="385" t="str">
        <f>IF(A71="","",VLOOKUP(A71,案件コード!$A$1:$B$31,2,FALSE()))</f>
        <v/>
      </c>
      <c r="C71" s="385"/>
      <c r="D71" s="385"/>
      <c r="E71" s="113" t="str">
        <f t="shared" si="21"/>
        <v/>
      </c>
      <c r="F71" s="285"/>
      <c r="G71" s="284"/>
      <c r="H71" s="286"/>
      <c r="I71" s="322"/>
      <c r="J71" s="312"/>
      <c r="K71" s="385" t="str">
        <f>IF(J71="","",VLOOKUP(J71,案件コード!$A$1:$B$31,2,FALSE()))</f>
        <v/>
      </c>
      <c r="L71" s="385"/>
      <c r="M71" s="385"/>
      <c r="N71" s="113" t="str">
        <f t="shared" si="22"/>
        <v/>
      </c>
      <c r="O71" s="285"/>
      <c r="P71" s="284"/>
      <c r="Q71" s="286"/>
      <c r="R71" s="322"/>
      <c r="S71" s="312"/>
      <c r="T71" s="385" t="str">
        <f>IF(S71="","",VLOOKUP(S71,案件コード!$A$1:$B$31,2,FALSE()))</f>
        <v/>
      </c>
      <c r="U71" s="385"/>
      <c r="V71" s="385"/>
      <c r="W71" s="113" t="str">
        <f t="shared" si="23"/>
        <v/>
      </c>
      <c r="X71" s="285"/>
      <c r="Y71" s="284"/>
      <c r="Z71" s="286"/>
      <c r="AA71" s="322"/>
      <c r="AB71" s="312"/>
      <c r="AC71" s="385" t="str">
        <f>IF(AB71="","",VLOOKUP(AB71,案件コード!$A$1:$B$31,2,FALSE()))</f>
        <v/>
      </c>
      <c r="AD71" s="385"/>
      <c r="AE71" s="385"/>
      <c r="AF71" s="113" t="str">
        <f t="shared" si="24"/>
        <v/>
      </c>
      <c r="AG71" s="285"/>
      <c r="AH71" s="284"/>
      <c r="AI71" s="286"/>
      <c r="AJ71" s="322"/>
      <c r="AK71" s="312"/>
      <c r="AL71" s="385" t="str">
        <f>IF(AK71="","",VLOOKUP(AK71,案件コード!$A$1:$B$31,2,FALSE()))</f>
        <v/>
      </c>
      <c r="AM71" s="385"/>
      <c r="AN71" s="385"/>
      <c r="AO71" s="113" t="str">
        <f t="shared" si="25"/>
        <v/>
      </c>
      <c r="AP71" s="285"/>
      <c r="AQ71" s="284"/>
      <c r="AR71" s="286"/>
      <c r="AS71" s="322"/>
      <c r="AT71" s="312"/>
      <c r="AU71" s="385" t="str">
        <f>IF(AT71="","",VLOOKUP(AT71,案件コード!$A$1:$B$31,2,FALSE()))</f>
        <v/>
      </c>
      <c r="AV71" s="385"/>
      <c r="AW71" s="385"/>
      <c r="AX71" s="113" t="str">
        <f t="shared" si="26"/>
        <v/>
      </c>
      <c r="AY71" s="285"/>
      <c r="AZ71" s="284"/>
      <c r="BA71" s="286"/>
      <c r="BB71" s="322"/>
      <c r="BC71" s="312"/>
      <c r="BD71" s="385" t="str">
        <f>IF(BC71="","",VLOOKUP(BC71,案件コード!$A$1:$B$31,2,FALSE()))</f>
        <v/>
      </c>
      <c r="BE71" s="385"/>
      <c r="BF71" s="385"/>
      <c r="BG71" s="113" t="str">
        <f t="shared" si="27"/>
        <v/>
      </c>
      <c r="BH71" s="285"/>
      <c r="BI71" s="284"/>
      <c r="BJ71" s="286"/>
      <c r="BK71" s="322"/>
    </row>
    <row r="72" spans="1:63">
      <c r="A72" s="312"/>
      <c r="B72" s="385" t="str">
        <f>IF(A72="","",VLOOKUP(A72,案件コード!$A$1:$B$31,2,FALSE()))</f>
        <v/>
      </c>
      <c r="C72" s="385"/>
      <c r="D72" s="385"/>
      <c r="E72" s="113" t="str">
        <f t="shared" si="21"/>
        <v/>
      </c>
      <c r="F72" s="285"/>
      <c r="G72" s="284"/>
      <c r="H72" s="286"/>
      <c r="I72" s="322"/>
      <c r="J72" s="312"/>
      <c r="K72" s="385" t="str">
        <f>IF(J72="","",VLOOKUP(J72,案件コード!$A$1:$B$31,2,FALSE()))</f>
        <v/>
      </c>
      <c r="L72" s="385"/>
      <c r="M72" s="385"/>
      <c r="N72" s="113" t="str">
        <f t="shared" si="22"/>
        <v/>
      </c>
      <c r="O72" s="285"/>
      <c r="P72" s="284"/>
      <c r="Q72" s="286"/>
      <c r="R72" s="322"/>
      <c r="S72" s="312"/>
      <c r="T72" s="385" t="str">
        <f>IF(S72="","",VLOOKUP(S72,案件コード!$A$1:$B$31,2,FALSE()))</f>
        <v/>
      </c>
      <c r="U72" s="385"/>
      <c r="V72" s="385"/>
      <c r="W72" s="113" t="str">
        <f t="shared" si="23"/>
        <v/>
      </c>
      <c r="X72" s="285"/>
      <c r="Y72" s="284"/>
      <c r="Z72" s="286"/>
      <c r="AA72" s="322"/>
      <c r="AB72" s="312"/>
      <c r="AC72" s="385" t="str">
        <f>IF(AB72="","",VLOOKUP(AB72,案件コード!$A$1:$B$31,2,FALSE()))</f>
        <v/>
      </c>
      <c r="AD72" s="385"/>
      <c r="AE72" s="385"/>
      <c r="AF72" s="113" t="str">
        <f t="shared" si="24"/>
        <v/>
      </c>
      <c r="AG72" s="285"/>
      <c r="AH72" s="284"/>
      <c r="AI72" s="286"/>
      <c r="AJ72" s="322"/>
      <c r="AK72" s="312"/>
      <c r="AL72" s="385" t="str">
        <f>IF(AK72="","",VLOOKUP(AK72,案件コード!$A$1:$B$31,2,FALSE()))</f>
        <v/>
      </c>
      <c r="AM72" s="385"/>
      <c r="AN72" s="385"/>
      <c r="AO72" s="113" t="str">
        <f t="shared" si="25"/>
        <v/>
      </c>
      <c r="AP72" s="285"/>
      <c r="AQ72" s="284"/>
      <c r="AR72" s="286"/>
      <c r="AS72" s="322"/>
      <c r="AT72" s="312"/>
      <c r="AU72" s="385" t="str">
        <f>IF(AT72="","",VLOOKUP(AT72,案件コード!$A$1:$B$31,2,FALSE()))</f>
        <v/>
      </c>
      <c r="AV72" s="385"/>
      <c r="AW72" s="385"/>
      <c r="AX72" s="113" t="str">
        <f t="shared" si="26"/>
        <v/>
      </c>
      <c r="AY72" s="285"/>
      <c r="AZ72" s="284"/>
      <c r="BA72" s="286"/>
      <c r="BB72" s="322"/>
      <c r="BC72" s="312"/>
      <c r="BD72" s="385" t="str">
        <f>IF(BC72="","",VLOOKUP(BC72,案件コード!$A$1:$B$31,2,FALSE()))</f>
        <v/>
      </c>
      <c r="BE72" s="385"/>
      <c r="BF72" s="385"/>
      <c r="BG72" s="113" t="str">
        <f t="shared" si="27"/>
        <v/>
      </c>
      <c r="BH72" s="285"/>
      <c r="BI72" s="284"/>
      <c r="BJ72" s="286"/>
      <c r="BK72" s="322"/>
    </row>
    <row r="73" spans="1:63">
      <c r="A73" s="312"/>
      <c r="B73" s="385" t="str">
        <f>IF(A73="","",VLOOKUP(A73,案件コード!$A$1:$B$31,2,FALSE()))</f>
        <v/>
      </c>
      <c r="C73" s="385"/>
      <c r="D73" s="385"/>
      <c r="E73" s="113" t="str">
        <f t="shared" si="21"/>
        <v/>
      </c>
      <c r="F73" s="285"/>
      <c r="G73" s="284"/>
      <c r="H73" s="286"/>
      <c r="I73" s="322"/>
      <c r="J73" s="312"/>
      <c r="K73" s="385" t="str">
        <f>IF(J73="","",VLOOKUP(J73,案件コード!$A$1:$B$31,2,FALSE()))</f>
        <v/>
      </c>
      <c r="L73" s="385"/>
      <c r="M73" s="385"/>
      <c r="N73" s="113" t="str">
        <f t="shared" si="22"/>
        <v/>
      </c>
      <c r="O73" s="285"/>
      <c r="P73" s="284"/>
      <c r="Q73" s="286"/>
      <c r="R73" s="322"/>
      <c r="S73" s="312"/>
      <c r="T73" s="385" t="str">
        <f>IF(S73="","",VLOOKUP(S73,案件コード!$A$1:$B$31,2,FALSE()))</f>
        <v/>
      </c>
      <c r="U73" s="385"/>
      <c r="V73" s="385"/>
      <c r="W73" s="113" t="str">
        <f t="shared" si="23"/>
        <v/>
      </c>
      <c r="X73" s="285"/>
      <c r="Y73" s="284"/>
      <c r="Z73" s="286"/>
      <c r="AA73" s="322"/>
      <c r="AB73" s="312"/>
      <c r="AC73" s="385" t="str">
        <f>IF(AB73="","",VLOOKUP(AB73,案件コード!$A$1:$B$31,2,FALSE()))</f>
        <v/>
      </c>
      <c r="AD73" s="385"/>
      <c r="AE73" s="385"/>
      <c r="AF73" s="113" t="str">
        <f t="shared" si="24"/>
        <v/>
      </c>
      <c r="AG73" s="285"/>
      <c r="AH73" s="284"/>
      <c r="AI73" s="286"/>
      <c r="AJ73" s="322"/>
      <c r="AK73" s="312"/>
      <c r="AL73" s="385" t="str">
        <f>IF(AK73="","",VLOOKUP(AK73,案件コード!$A$1:$B$31,2,FALSE()))</f>
        <v/>
      </c>
      <c r="AM73" s="385"/>
      <c r="AN73" s="385"/>
      <c r="AO73" s="113" t="str">
        <f t="shared" si="25"/>
        <v/>
      </c>
      <c r="AP73" s="285"/>
      <c r="AQ73" s="284"/>
      <c r="AR73" s="286"/>
      <c r="AS73" s="322"/>
      <c r="AT73" s="312"/>
      <c r="AU73" s="385" t="str">
        <f>IF(AT73="","",VLOOKUP(AT73,案件コード!$A$1:$B$31,2,FALSE()))</f>
        <v/>
      </c>
      <c r="AV73" s="385"/>
      <c r="AW73" s="385"/>
      <c r="AX73" s="113" t="str">
        <f t="shared" si="26"/>
        <v/>
      </c>
      <c r="AY73" s="285"/>
      <c r="AZ73" s="284"/>
      <c r="BA73" s="286"/>
      <c r="BB73" s="322"/>
      <c r="BC73" s="312"/>
      <c r="BD73" s="385" t="str">
        <f>IF(BC73="","",VLOOKUP(BC73,案件コード!$A$1:$B$31,2,FALSE()))</f>
        <v/>
      </c>
      <c r="BE73" s="385"/>
      <c r="BF73" s="385"/>
      <c r="BG73" s="113" t="str">
        <f t="shared" si="27"/>
        <v/>
      </c>
      <c r="BH73" s="285"/>
      <c r="BI73" s="284"/>
      <c r="BJ73" s="286"/>
      <c r="BK73" s="322"/>
    </row>
    <row r="74" spans="1:63">
      <c r="A74" s="312"/>
      <c r="B74" s="385" t="str">
        <f>IF(A74="","",VLOOKUP(A74,案件コード!$A$1:$B$31,2,FALSE()))</f>
        <v/>
      </c>
      <c r="C74" s="385"/>
      <c r="D74" s="385"/>
      <c r="E74" s="113" t="str">
        <f t="shared" si="21"/>
        <v/>
      </c>
      <c r="F74" s="285"/>
      <c r="G74" s="284"/>
      <c r="H74" s="286"/>
      <c r="I74" s="322"/>
      <c r="J74" s="312"/>
      <c r="K74" s="385" t="str">
        <f>IF(J74="","",VLOOKUP(J74,案件コード!$A$1:$B$31,2,FALSE()))</f>
        <v/>
      </c>
      <c r="L74" s="385"/>
      <c r="M74" s="385"/>
      <c r="N74" s="113" t="str">
        <f t="shared" si="22"/>
        <v/>
      </c>
      <c r="O74" s="285"/>
      <c r="P74" s="284"/>
      <c r="Q74" s="286"/>
      <c r="R74" s="322"/>
      <c r="S74" s="312"/>
      <c r="T74" s="385" t="str">
        <f>IF(S74="","",VLOOKUP(S74,案件コード!$A$1:$B$31,2,FALSE()))</f>
        <v/>
      </c>
      <c r="U74" s="385"/>
      <c r="V74" s="385"/>
      <c r="W74" s="113" t="str">
        <f t="shared" si="23"/>
        <v/>
      </c>
      <c r="X74" s="285"/>
      <c r="Y74" s="284"/>
      <c r="Z74" s="286"/>
      <c r="AA74" s="322"/>
      <c r="AB74" s="312"/>
      <c r="AC74" s="385" t="str">
        <f>IF(AB74="","",VLOOKUP(AB74,案件コード!$A$1:$B$31,2,FALSE()))</f>
        <v/>
      </c>
      <c r="AD74" s="385"/>
      <c r="AE74" s="385"/>
      <c r="AF74" s="113" t="str">
        <f t="shared" si="24"/>
        <v/>
      </c>
      <c r="AG74" s="285"/>
      <c r="AH74" s="284"/>
      <c r="AI74" s="286"/>
      <c r="AJ74" s="322"/>
      <c r="AK74" s="312"/>
      <c r="AL74" s="385" t="str">
        <f>IF(AK74="","",VLOOKUP(AK74,案件コード!$A$1:$B$31,2,FALSE()))</f>
        <v/>
      </c>
      <c r="AM74" s="385"/>
      <c r="AN74" s="385"/>
      <c r="AO74" s="113" t="str">
        <f t="shared" si="25"/>
        <v/>
      </c>
      <c r="AP74" s="285"/>
      <c r="AQ74" s="284"/>
      <c r="AR74" s="286"/>
      <c r="AS74" s="322"/>
      <c r="AT74" s="312"/>
      <c r="AU74" s="385" t="str">
        <f>IF(AT74="","",VLOOKUP(AT74,案件コード!$A$1:$B$31,2,FALSE()))</f>
        <v/>
      </c>
      <c r="AV74" s="385"/>
      <c r="AW74" s="385"/>
      <c r="AX74" s="113" t="str">
        <f t="shared" si="26"/>
        <v/>
      </c>
      <c r="AY74" s="285"/>
      <c r="AZ74" s="284"/>
      <c r="BA74" s="286"/>
      <c r="BB74" s="322"/>
      <c r="BC74" s="312"/>
      <c r="BD74" s="385" t="str">
        <f>IF(BC74="","",VLOOKUP(BC74,案件コード!$A$1:$B$31,2,FALSE()))</f>
        <v/>
      </c>
      <c r="BE74" s="385"/>
      <c r="BF74" s="385"/>
      <c r="BG74" s="113" t="str">
        <f t="shared" si="27"/>
        <v/>
      </c>
      <c r="BH74" s="285"/>
      <c r="BI74" s="284"/>
      <c r="BJ74" s="286"/>
      <c r="BK74" s="322"/>
    </row>
    <row r="75" spans="1:63">
      <c r="A75" s="312"/>
      <c r="B75" s="385" t="str">
        <f>IF(A75="","",VLOOKUP(A75,案件コード!$A$1:$B$31,2,FALSE()))</f>
        <v/>
      </c>
      <c r="C75" s="385"/>
      <c r="D75" s="385"/>
      <c r="E75" s="113" t="str">
        <f t="shared" si="21"/>
        <v/>
      </c>
      <c r="F75" s="285"/>
      <c r="G75" s="284"/>
      <c r="H75" s="286"/>
      <c r="I75" s="322"/>
      <c r="J75" s="312"/>
      <c r="K75" s="385" t="str">
        <f>IF(J75="","",VLOOKUP(J75,案件コード!$A$1:$B$31,2,FALSE()))</f>
        <v/>
      </c>
      <c r="L75" s="385"/>
      <c r="M75" s="385"/>
      <c r="N75" s="113" t="str">
        <f t="shared" si="22"/>
        <v/>
      </c>
      <c r="O75" s="285"/>
      <c r="P75" s="284"/>
      <c r="Q75" s="286"/>
      <c r="R75" s="322"/>
      <c r="S75" s="312"/>
      <c r="T75" s="385" t="str">
        <f>IF(S75="","",VLOOKUP(S75,案件コード!$A$1:$B$31,2,FALSE()))</f>
        <v/>
      </c>
      <c r="U75" s="385"/>
      <c r="V75" s="385"/>
      <c r="W75" s="113" t="str">
        <f t="shared" si="23"/>
        <v/>
      </c>
      <c r="X75" s="285"/>
      <c r="Y75" s="284"/>
      <c r="Z75" s="286"/>
      <c r="AA75" s="322"/>
      <c r="AB75" s="312"/>
      <c r="AC75" s="385" t="str">
        <f>IF(AB75="","",VLOOKUP(AB75,案件コード!$A$1:$B$31,2,FALSE()))</f>
        <v/>
      </c>
      <c r="AD75" s="385"/>
      <c r="AE75" s="385"/>
      <c r="AF75" s="113" t="str">
        <f t="shared" si="24"/>
        <v/>
      </c>
      <c r="AG75" s="285"/>
      <c r="AH75" s="284"/>
      <c r="AI75" s="286"/>
      <c r="AJ75" s="322"/>
      <c r="AK75" s="312"/>
      <c r="AL75" s="385" t="str">
        <f>IF(AK75="","",VLOOKUP(AK75,案件コード!$A$1:$B$31,2,FALSE()))</f>
        <v/>
      </c>
      <c r="AM75" s="385"/>
      <c r="AN75" s="385"/>
      <c r="AO75" s="113" t="str">
        <f t="shared" si="25"/>
        <v/>
      </c>
      <c r="AP75" s="285"/>
      <c r="AQ75" s="284"/>
      <c r="AR75" s="286"/>
      <c r="AS75" s="322"/>
      <c r="AT75" s="312"/>
      <c r="AU75" s="385" t="str">
        <f>IF(AT75="","",VLOOKUP(AT75,案件コード!$A$1:$B$31,2,FALSE()))</f>
        <v/>
      </c>
      <c r="AV75" s="385"/>
      <c r="AW75" s="385"/>
      <c r="AX75" s="113" t="str">
        <f t="shared" si="26"/>
        <v/>
      </c>
      <c r="AY75" s="285"/>
      <c r="AZ75" s="284"/>
      <c r="BA75" s="286"/>
      <c r="BB75" s="322"/>
      <c r="BC75" s="312"/>
      <c r="BD75" s="385" t="str">
        <f>IF(BC75="","",VLOOKUP(BC75,案件コード!$A$1:$B$31,2,FALSE()))</f>
        <v/>
      </c>
      <c r="BE75" s="385"/>
      <c r="BF75" s="385"/>
      <c r="BG75" s="113" t="str">
        <f t="shared" si="27"/>
        <v/>
      </c>
      <c r="BH75" s="285"/>
      <c r="BI75" s="284"/>
      <c r="BJ75" s="286"/>
      <c r="BK75" s="322"/>
    </row>
    <row r="76" spans="1:63">
      <c r="A76" s="312"/>
      <c r="B76" s="385" t="str">
        <f>IF(A76="","",VLOOKUP(A76,案件コード!$A$1:$B$31,2,FALSE()))</f>
        <v/>
      </c>
      <c r="C76" s="385"/>
      <c r="D76" s="385"/>
      <c r="E76" s="113" t="str">
        <f t="shared" si="21"/>
        <v/>
      </c>
      <c r="F76" s="285"/>
      <c r="G76" s="284"/>
      <c r="H76" s="286"/>
      <c r="I76" s="322"/>
      <c r="J76" s="312"/>
      <c r="K76" s="385" t="str">
        <f>IF(J76="","",VLOOKUP(J76,案件コード!$A$1:$B$31,2,FALSE()))</f>
        <v/>
      </c>
      <c r="L76" s="385"/>
      <c r="M76" s="385"/>
      <c r="N76" s="113" t="str">
        <f t="shared" si="22"/>
        <v/>
      </c>
      <c r="O76" s="285"/>
      <c r="P76" s="284"/>
      <c r="Q76" s="286"/>
      <c r="R76" s="322"/>
      <c r="S76" s="312"/>
      <c r="T76" s="385" t="str">
        <f>IF(S76="","",VLOOKUP(S76,案件コード!$A$1:$B$31,2,FALSE()))</f>
        <v/>
      </c>
      <c r="U76" s="385"/>
      <c r="V76" s="385"/>
      <c r="W76" s="113" t="str">
        <f t="shared" si="23"/>
        <v/>
      </c>
      <c r="X76" s="285"/>
      <c r="Y76" s="284"/>
      <c r="Z76" s="286"/>
      <c r="AA76" s="322"/>
      <c r="AB76" s="312"/>
      <c r="AC76" s="385" t="str">
        <f>IF(AB76="","",VLOOKUP(AB76,案件コード!$A$1:$B$31,2,FALSE()))</f>
        <v/>
      </c>
      <c r="AD76" s="385"/>
      <c r="AE76" s="385"/>
      <c r="AF76" s="113" t="str">
        <f t="shared" si="24"/>
        <v/>
      </c>
      <c r="AG76" s="285"/>
      <c r="AH76" s="284"/>
      <c r="AI76" s="286"/>
      <c r="AJ76" s="322"/>
      <c r="AK76" s="312"/>
      <c r="AL76" s="385" t="str">
        <f>IF(AK76="","",VLOOKUP(AK76,案件コード!$A$1:$B$31,2,FALSE()))</f>
        <v/>
      </c>
      <c r="AM76" s="385"/>
      <c r="AN76" s="385"/>
      <c r="AO76" s="113" t="str">
        <f t="shared" si="25"/>
        <v/>
      </c>
      <c r="AP76" s="285"/>
      <c r="AQ76" s="284"/>
      <c r="AR76" s="286"/>
      <c r="AS76" s="322"/>
      <c r="AT76" s="312"/>
      <c r="AU76" s="385" t="str">
        <f>IF(AT76="","",VLOOKUP(AT76,案件コード!$A$1:$B$31,2,FALSE()))</f>
        <v/>
      </c>
      <c r="AV76" s="385"/>
      <c r="AW76" s="385"/>
      <c r="AX76" s="113" t="str">
        <f t="shared" si="26"/>
        <v/>
      </c>
      <c r="AY76" s="285"/>
      <c r="AZ76" s="284"/>
      <c r="BA76" s="286"/>
      <c r="BB76" s="322"/>
      <c r="BC76" s="312"/>
      <c r="BD76" s="385" t="str">
        <f>IF(BC76="","",VLOOKUP(BC76,案件コード!$A$1:$B$31,2,FALSE()))</f>
        <v/>
      </c>
      <c r="BE76" s="385"/>
      <c r="BF76" s="385"/>
      <c r="BG76" s="113" t="str">
        <f t="shared" si="27"/>
        <v/>
      </c>
      <c r="BH76" s="285"/>
      <c r="BI76" s="284"/>
      <c r="BJ76" s="286"/>
      <c r="BK76" s="322"/>
    </row>
    <row r="77" spans="1:63">
      <c r="A77" s="312"/>
      <c r="B77" s="385" t="str">
        <f>IF(A77="","",VLOOKUP(A77,案件コード!$A$1:$B$31,2,FALSE()))</f>
        <v/>
      </c>
      <c r="C77" s="385"/>
      <c r="D77" s="385"/>
      <c r="E77" s="113" t="str">
        <f t="shared" si="21"/>
        <v/>
      </c>
      <c r="F77" s="285"/>
      <c r="G77" s="284"/>
      <c r="H77" s="286"/>
      <c r="I77" s="322"/>
      <c r="J77" s="312"/>
      <c r="K77" s="385" t="str">
        <f>IF(J77="","",VLOOKUP(J77,案件コード!$A$1:$B$31,2,FALSE()))</f>
        <v/>
      </c>
      <c r="L77" s="385"/>
      <c r="M77" s="385"/>
      <c r="N77" s="113" t="str">
        <f t="shared" si="22"/>
        <v/>
      </c>
      <c r="O77" s="285"/>
      <c r="P77" s="284"/>
      <c r="Q77" s="286"/>
      <c r="R77" s="322"/>
      <c r="S77" s="312"/>
      <c r="T77" s="385" t="str">
        <f>IF(S77="","",VLOOKUP(S77,案件コード!$A$1:$B$31,2,FALSE()))</f>
        <v/>
      </c>
      <c r="U77" s="385"/>
      <c r="V77" s="385"/>
      <c r="W77" s="113" t="str">
        <f t="shared" si="23"/>
        <v/>
      </c>
      <c r="X77" s="285"/>
      <c r="Y77" s="284"/>
      <c r="Z77" s="286"/>
      <c r="AA77" s="322"/>
      <c r="AB77" s="312"/>
      <c r="AC77" s="385" t="str">
        <f>IF(AB77="","",VLOOKUP(AB77,案件コード!$A$1:$B$31,2,FALSE()))</f>
        <v/>
      </c>
      <c r="AD77" s="385"/>
      <c r="AE77" s="385"/>
      <c r="AF77" s="113" t="str">
        <f t="shared" si="24"/>
        <v/>
      </c>
      <c r="AG77" s="285"/>
      <c r="AH77" s="284"/>
      <c r="AI77" s="286"/>
      <c r="AJ77" s="322"/>
      <c r="AK77" s="312"/>
      <c r="AL77" s="385" t="str">
        <f>IF(AK77="","",VLOOKUP(AK77,案件コード!$A$1:$B$31,2,FALSE()))</f>
        <v/>
      </c>
      <c r="AM77" s="385"/>
      <c r="AN77" s="385"/>
      <c r="AO77" s="113" t="str">
        <f t="shared" si="25"/>
        <v/>
      </c>
      <c r="AP77" s="285"/>
      <c r="AQ77" s="284"/>
      <c r="AR77" s="286"/>
      <c r="AS77" s="322"/>
      <c r="AT77" s="312"/>
      <c r="AU77" s="385" t="str">
        <f>IF(AT77="","",VLOOKUP(AT77,案件コード!$A$1:$B$31,2,FALSE()))</f>
        <v/>
      </c>
      <c r="AV77" s="385"/>
      <c r="AW77" s="385"/>
      <c r="AX77" s="113" t="str">
        <f t="shared" si="26"/>
        <v/>
      </c>
      <c r="AY77" s="285"/>
      <c r="AZ77" s="284"/>
      <c r="BA77" s="286"/>
      <c r="BB77" s="322"/>
      <c r="BC77" s="312"/>
      <c r="BD77" s="385" t="str">
        <f>IF(BC77="","",VLOOKUP(BC77,案件コード!$A$1:$B$31,2,FALSE()))</f>
        <v/>
      </c>
      <c r="BE77" s="385"/>
      <c r="BF77" s="385"/>
      <c r="BG77" s="113" t="str">
        <f t="shared" si="27"/>
        <v/>
      </c>
      <c r="BH77" s="285"/>
      <c r="BI77" s="284"/>
      <c r="BJ77" s="286"/>
      <c r="BK77" s="322"/>
    </row>
    <row r="78" spans="1:63">
      <c r="A78" s="312"/>
      <c r="B78" s="385" t="str">
        <f>IF(A78="","",VLOOKUP(A78,案件コード!$A$1:$B$31,2,FALSE()))</f>
        <v/>
      </c>
      <c r="C78" s="385"/>
      <c r="D78" s="385"/>
      <c r="E78" s="113" t="str">
        <f t="shared" si="21"/>
        <v/>
      </c>
      <c r="F78" s="285"/>
      <c r="G78" s="284"/>
      <c r="H78" s="286"/>
      <c r="I78" s="322"/>
      <c r="J78" s="312"/>
      <c r="K78" s="385" t="str">
        <f>IF(J78="","",VLOOKUP(J78,案件コード!$A$1:$B$31,2,FALSE()))</f>
        <v/>
      </c>
      <c r="L78" s="385"/>
      <c r="M78" s="385"/>
      <c r="N78" s="113" t="str">
        <f t="shared" si="22"/>
        <v/>
      </c>
      <c r="O78" s="285"/>
      <c r="P78" s="284"/>
      <c r="Q78" s="286"/>
      <c r="R78" s="322"/>
      <c r="S78" s="312"/>
      <c r="T78" s="385" t="str">
        <f>IF(S78="","",VLOOKUP(S78,案件コード!$A$1:$B$31,2,FALSE()))</f>
        <v/>
      </c>
      <c r="U78" s="385"/>
      <c r="V78" s="385"/>
      <c r="W78" s="113" t="str">
        <f t="shared" si="23"/>
        <v/>
      </c>
      <c r="X78" s="285"/>
      <c r="Y78" s="284"/>
      <c r="Z78" s="286"/>
      <c r="AA78" s="322"/>
      <c r="AB78" s="312"/>
      <c r="AC78" s="385" t="str">
        <f>IF(AB78="","",VLOOKUP(AB78,案件コード!$A$1:$B$31,2,FALSE()))</f>
        <v/>
      </c>
      <c r="AD78" s="385"/>
      <c r="AE78" s="385"/>
      <c r="AF78" s="113" t="str">
        <f t="shared" si="24"/>
        <v/>
      </c>
      <c r="AG78" s="285"/>
      <c r="AH78" s="284"/>
      <c r="AI78" s="286"/>
      <c r="AJ78" s="322"/>
      <c r="AK78" s="312"/>
      <c r="AL78" s="385" t="str">
        <f>IF(AK78="","",VLOOKUP(AK78,案件コード!$A$1:$B$31,2,FALSE()))</f>
        <v/>
      </c>
      <c r="AM78" s="385"/>
      <c r="AN78" s="385"/>
      <c r="AO78" s="113" t="str">
        <f t="shared" si="25"/>
        <v/>
      </c>
      <c r="AP78" s="285"/>
      <c r="AQ78" s="284"/>
      <c r="AR78" s="286"/>
      <c r="AS78" s="322"/>
      <c r="AT78" s="312"/>
      <c r="AU78" s="385" t="str">
        <f>IF(AT78="","",VLOOKUP(AT78,案件コード!$A$1:$B$31,2,FALSE()))</f>
        <v/>
      </c>
      <c r="AV78" s="385"/>
      <c r="AW78" s="385"/>
      <c r="AX78" s="113" t="str">
        <f t="shared" si="26"/>
        <v/>
      </c>
      <c r="AY78" s="285"/>
      <c r="AZ78" s="284"/>
      <c r="BA78" s="286"/>
      <c r="BB78" s="322"/>
      <c r="BC78" s="312"/>
      <c r="BD78" s="385" t="str">
        <f>IF(BC78="","",VLOOKUP(BC78,案件コード!$A$1:$B$31,2,FALSE()))</f>
        <v/>
      </c>
      <c r="BE78" s="385"/>
      <c r="BF78" s="385"/>
      <c r="BG78" s="113" t="str">
        <f t="shared" si="27"/>
        <v/>
      </c>
      <c r="BH78" s="285"/>
      <c r="BI78" s="284"/>
      <c r="BJ78" s="286"/>
      <c r="BK78" s="322"/>
    </row>
    <row r="79" spans="1:63">
      <c r="A79" s="312"/>
      <c r="B79" s="385" t="str">
        <f>IF(A79="","",VLOOKUP(A79,案件コード!$A$1:$B$31,2,FALSE()))</f>
        <v/>
      </c>
      <c r="C79" s="385"/>
      <c r="D79" s="385"/>
      <c r="E79" s="113" t="str">
        <f t="shared" si="21"/>
        <v/>
      </c>
      <c r="F79" s="285"/>
      <c r="G79" s="284"/>
      <c r="H79" s="286"/>
      <c r="I79" s="322"/>
      <c r="J79" s="312"/>
      <c r="K79" s="385" t="str">
        <f>IF(J79="","",VLOOKUP(J79,案件コード!$A$1:$B$31,2,FALSE()))</f>
        <v/>
      </c>
      <c r="L79" s="385"/>
      <c r="M79" s="385"/>
      <c r="N79" s="113" t="str">
        <f t="shared" si="22"/>
        <v/>
      </c>
      <c r="O79" s="285"/>
      <c r="P79" s="284"/>
      <c r="Q79" s="286"/>
      <c r="R79" s="322"/>
      <c r="S79" s="312"/>
      <c r="T79" s="385" t="str">
        <f>IF(S79="","",VLOOKUP(S79,案件コード!$A$1:$B$31,2,FALSE()))</f>
        <v/>
      </c>
      <c r="U79" s="385"/>
      <c r="V79" s="385"/>
      <c r="W79" s="113" t="str">
        <f t="shared" si="23"/>
        <v/>
      </c>
      <c r="X79" s="285"/>
      <c r="Y79" s="284"/>
      <c r="Z79" s="286"/>
      <c r="AA79" s="322"/>
      <c r="AB79" s="312"/>
      <c r="AC79" s="385" t="str">
        <f>IF(AB79="","",VLOOKUP(AB79,案件コード!$A$1:$B$31,2,FALSE()))</f>
        <v/>
      </c>
      <c r="AD79" s="385"/>
      <c r="AE79" s="385"/>
      <c r="AF79" s="113" t="str">
        <f t="shared" si="24"/>
        <v/>
      </c>
      <c r="AG79" s="285"/>
      <c r="AH79" s="284"/>
      <c r="AI79" s="286"/>
      <c r="AJ79" s="322"/>
      <c r="AK79" s="312"/>
      <c r="AL79" s="385" t="str">
        <f>IF(AK79="","",VLOOKUP(AK79,案件コード!$A$1:$B$31,2,FALSE()))</f>
        <v/>
      </c>
      <c r="AM79" s="385"/>
      <c r="AN79" s="385"/>
      <c r="AO79" s="113" t="str">
        <f t="shared" si="25"/>
        <v/>
      </c>
      <c r="AP79" s="285"/>
      <c r="AQ79" s="284"/>
      <c r="AR79" s="286"/>
      <c r="AS79" s="322"/>
      <c r="AT79" s="312"/>
      <c r="AU79" s="385" t="str">
        <f>IF(AT79="","",VLOOKUP(AT79,案件コード!$A$1:$B$31,2,FALSE()))</f>
        <v/>
      </c>
      <c r="AV79" s="385"/>
      <c r="AW79" s="385"/>
      <c r="AX79" s="113" t="str">
        <f t="shared" si="26"/>
        <v/>
      </c>
      <c r="AY79" s="285"/>
      <c r="AZ79" s="284"/>
      <c r="BA79" s="286"/>
      <c r="BB79" s="322"/>
      <c r="BC79" s="312"/>
      <c r="BD79" s="385" t="str">
        <f>IF(BC79="","",VLOOKUP(BC79,案件コード!$A$1:$B$31,2,FALSE()))</f>
        <v/>
      </c>
      <c r="BE79" s="385"/>
      <c r="BF79" s="385"/>
      <c r="BG79" s="113" t="str">
        <f t="shared" si="27"/>
        <v/>
      </c>
      <c r="BH79" s="285"/>
      <c r="BI79" s="284"/>
      <c r="BJ79" s="286"/>
      <c r="BK79" s="322"/>
    </row>
    <row r="80" spans="1:63">
      <c r="A80" s="312"/>
      <c r="B80" s="385" t="str">
        <f>IF(A80="","",VLOOKUP(A80,案件コード!$A$1:$B$31,2,FALSE()))</f>
        <v/>
      </c>
      <c r="C80" s="385"/>
      <c r="D80" s="385"/>
      <c r="E80" s="113" t="str">
        <f t="shared" si="21"/>
        <v/>
      </c>
      <c r="F80" s="285"/>
      <c r="G80" s="284"/>
      <c r="H80" s="286"/>
      <c r="I80" s="322"/>
      <c r="J80" s="312"/>
      <c r="K80" s="385" t="str">
        <f>IF(J80="","",VLOOKUP(J80,案件コード!$A$1:$B$31,2,FALSE()))</f>
        <v/>
      </c>
      <c r="L80" s="385"/>
      <c r="M80" s="385"/>
      <c r="N80" s="113" t="str">
        <f t="shared" si="22"/>
        <v/>
      </c>
      <c r="O80" s="285"/>
      <c r="P80" s="284"/>
      <c r="Q80" s="286"/>
      <c r="R80" s="322"/>
      <c r="S80" s="312"/>
      <c r="T80" s="385" t="str">
        <f>IF(S80="","",VLOOKUP(S80,案件コード!$A$1:$B$31,2,FALSE()))</f>
        <v/>
      </c>
      <c r="U80" s="385"/>
      <c r="V80" s="385"/>
      <c r="W80" s="113" t="str">
        <f t="shared" si="23"/>
        <v/>
      </c>
      <c r="X80" s="285"/>
      <c r="Y80" s="284"/>
      <c r="Z80" s="286"/>
      <c r="AA80" s="322"/>
      <c r="AB80" s="312"/>
      <c r="AC80" s="385" t="str">
        <f>IF(AB80="","",VLOOKUP(AB80,案件コード!$A$1:$B$31,2,FALSE()))</f>
        <v/>
      </c>
      <c r="AD80" s="385"/>
      <c r="AE80" s="385"/>
      <c r="AF80" s="113" t="str">
        <f t="shared" si="24"/>
        <v/>
      </c>
      <c r="AG80" s="285"/>
      <c r="AH80" s="284"/>
      <c r="AI80" s="286"/>
      <c r="AJ80" s="322"/>
      <c r="AK80" s="312"/>
      <c r="AL80" s="385" t="str">
        <f>IF(AK80="","",VLOOKUP(AK80,案件コード!$A$1:$B$31,2,FALSE()))</f>
        <v/>
      </c>
      <c r="AM80" s="385"/>
      <c r="AN80" s="385"/>
      <c r="AO80" s="113" t="str">
        <f t="shared" si="25"/>
        <v/>
      </c>
      <c r="AP80" s="285"/>
      <c r="AQ80" s="284"/>
      <c r="AR80" s="286"/>
      <c r="AS80" s="322"/>
      <c r="AT80" s="312"/>
      <c r="AU80" s="385" t="str">
        <f>IF(AT80="","",VLOOKUP(AT80,案件コード!$A$1:$B$31,2,FALSE()))</f>
        <v/>
      </c>
      <c r="AV80" s="385"/>
      <c r="AW80" s="385"/>
      <c r="AX80" s="113" t="str">
        <f t="shared" si="26"/>
        <v/>
      </c>
      <c r="AY80" s="285"/>
      <c r="AZ80" s="284"/>
      <c r="BA80" s="286"/>
      <c r="BB80" s="322"/>
      <c r="BC80" s="312"/>
      <c r="BD80" s="385" t="str">
        <f>IF(BC80="","",VLOOKUP(BC80,案件コード!$A$1:$B$31,2,FALSE()))</f>
        <v/>
      </c>
      <c r="BE80" s="385"/>
      <c r="BF80" s="385"/>
      <c r="BG80" s="113" t="str">
        <f t="shared" si="27"/>
        <v/>
      </c>
      <c r="BH80" s="285"/>
      <c r="BI80" s="284"/>
      <c r="BJ80" s="286"/>
      <c r="BK80" s="322"/>
    </row>
    <row r="81" spans="1:63">
      <c r="A81" s="312"/>
      <c r="B81" s="385" t="str">
        <f>IF(A81="","",VLOOKUP(A81,案件コード!$A$1:$B$31,2,FALSE()))</f>
        <v/>
      </c>
      <c r="C81" s="385"/>
      <c r="D81" s="385"/>
      <c r="E81" s="113" t="str">
        <f t="shared" si="21"/>
        <v/>
      </c>
      <c r="F81" s="285"/>
      <c r="G81" s="284"/>
      <c r="H81" s="286"/>
      <c r="I81" s="322"/>
      <c r="J81" s="312"/>
      <c r="K81" s="385" t="str">
        <f>IF(J81="","",VLOOKUP(J81,案件コード!$A$1:$B$31,2,FALSE()))</f>
        <v/>
      </c>
      <c r="L81" s="385"/>
      <c r="M81" s="385"/>
      <c r="N81" s="113" t="str">
        <f t="shared" si="22"/>
        <v/>
      </c>
      <c r="O81" s="285"/>
      <c r="P81" s="284"/>
      <c r="Q81" s="286"/>
      <c r="R81" s="322"/>
      <c r="S81" s="312"/>
      <c r="T81" s="385" t="str">
        <f>IF(S81="","",VLOOKUP(S81,案件コード!$A$1:$B$31,2,FALSE()))</f>
        <v/>
      </c>
      <c r="U81" s="385"/>
      <c r="V81" s="385"/>
      <c r="W81" s="113" t="str">
        <f t="shared" si="23"/>
        <v/>
      </c>
      <c r="X81" s="285"/>
      <c r="Y81" s="284"/>
      <c r="Z81" s="286"/>
      <c r="AA81" s="322"/>
      <c r="AB81" s="312"/>
      <c r="AC81" s="385" t="str">
        <f>IF(AB81="","",VLOOKUP(AB81,案件コード!$A$1:$B$31,2,FALSE()))</f>
        <v/>
      </c>
      <c r="AD81" s="385"/>
      <c r="AE81" s="385"/>
      <c r="AF81" s="113" t="str">
        <f t="shared" si="24"/>
        <v/>
      </c>
      <c r="AG81" s="285"/>
      <c r="AH81" s="284"/>
      <c r="AI81" s="286"/>
      <c r="AJ81" s="322"/>
      <c r="AK81" s="312"/>
      <c r="AL81" s="385" t="str">
        <f>IF(AK81="","",VLOOKUP(AK81,案件コード!$A$1:$B$31,2,FALSE()))</f>
        <v/>
      </c>
      <c r="AM81" s="385"/>
      <c r="AN81" s="385"/>
      <c r="AO81" s="113" t="str">
        <f t="shared" si="25"/>
        <v/>
      </c>
      <c r="AP81" s="285"/>
      <c r="AQ81" s="284"/>
      <c r="AR81" s="286"/>
      <c r="AS81" s="322"/>
      <c r="AT81" s="312"/>
      <c r="AU81" s="385" t="str">
        <f>IF(AT81="","",VLOOKUP(AT81,案件コード!$A$1:$B$31,2,FALSE()))</f>
        <v/>
      </c>
      <c r="AV81" s="385"/>
      <c r="AW81" s="385"/>
      <c r="AX81" s="113" t="str">
        <f t="shared" si="26"/>
        <v/>
      </c>
      <c r="AY81" s="285"/>
      <c r="AZ81" s="284"/>
      <c r="BA81" s="286"/>
      <c r="BB81" s="322"/>
      <c r="BC81" s="312"/>
      <c r="BD81" s="385" t="str">
        <f>IF(BC81="","",VLOOKUP(BC81,案件コード!$A$1:$B$31,2,FALSE()))</f>
        <v/>
      </c>
      <c r="BE81" s="385"/>
      <c r="BF81" s="385"/>
      <c r="BG81" s="113" t="str">
        <f t="shared" si="27"/>
        <v/>
      </c>
      <c r="BH81" s="285"/>
      <c r="BI81" s="284"/>
      <c r="BJ81" s="286"/>
      <c r="BK81" s="322"/>
    </row>
    <row r="82" spans="1:63">
      <c r="A82" s="312"/>
      <c r="B82" s="385" t="str">
        <f>IF(A82="","",VLOOKUP(A82,案件コード!$A$1:$B$31,2,FALSE()))</f>
        <v/>
      </c>
      <c r="C82" s="385"/>
      <c r="D82" s="385"/>
      <c r="E82" s="113" t="str">
        <f t="shared" si="21"/>
        <v/>
      </c>
      <c r="F82" s="285"/>
      <c r="G82" s="284"/>
      <c r="H82" s="286"/>
      <c r="I82" s="322"/>
      <c r="J82" s="312"/>
      <c r="K82" s="385" t="str">
        <f>IF(J82="","",VLOOKUP(J82,案件コード!$A$1:$B$31,2,FALSE()))</f>
        <v/>
      </c>
      <c r="L82" s="385"/>
      <c r="M82" s="385"/>
      <c r="N82" s="113" t="str">
        <f t="shared" si="22"/>
        <v/>
      </c>
      <c r="O82" s="285"/>
      <c r="P82" s="284"/>
      <c r="Q82" s="286"/>
      <c r="R82" s="322"/>
      <c r="S82" s="312"/>
      <c r="T82" s="385" t="str">
        <f>IF(S82="","",VLOOKUP(S82,案件コード!$A$1:$B$31,2,FALSE()))</f>
        <v/>
      </c>
      <c r="U82" s="385"/>
      <c r="V82" s="385"/>
      <c r="W82" s="113" t="str">
        <f t="shared" si="23"/>
        <v/>
      </c>
      <c r="X82" s="285"/>
      <c r="Y82" s="284"/>
      <c r="Z82" s="286"/>
      <c r="AA82" s="322"/>
      <c r="AB82" s="312"/>
      <c r="AC82" s="385" t="str">
        <f>IF(AB82="","",VLOOKUP(AB82,案件コード!$A$1:$B$31,2,FALSE()))</f>
        <v/>
      </c>
      <c r="AD82" s="385"/>
      <c r="AE82" s="385"/>
      <c r="AF82" s="113" t="str">
        <f t="shared" si="24"/>
        <v/>
      </c>
      <c r="AG82" s="285"/>
      <c r="AH82" s="284"/>
      <c r="AI82" s="286"/>
      <c r="AJ82" s="322"/>
      <c r="AK82" s="312"/>
      <c r="AL82" s="385" t="str">
        <f>IF(AK82="","",VLOOKUP(AK82,案件コード!$A$1:$B$31,2,FALSE()))</f>
        <v/>
      </c>
      <c r="AM82" s="385"/>
      <c r="AN82" s="385"/>
      <c r="AO82" s="113" t="str">
        <f t="shared" si="25"/>
        <v/>
      </c>
      <c r="AP82" s="285"/>
      <c r="AQ82" s="284"/>
      <c r="AR82" s="286"/>
      <c r="AS82" s="322"/>
      <c r="AT82" s="312"/>
      <c r="AU82" s="385" t="str">
        <f>IF(AT82="","",VLOOKUP(AT82,案件コード!$A$1:$B$31,2,FALSE()))</f>
        <v/>
      </c>
      <c r="AV82" s="385"/>
      <c r="AW82" s="385"/>
      <c r="AX82" s="113" t="str">
        <f t="shared" si="26"/>
        <v/>
      </c>
      <c r="AY82" s="285"/>
      <c r="AZ82" s="284"/>
      <c r="BA82" s="286"/>
      <c r="BB82" s="322"/>
      <c r="BC82" s="312"/>
      <c r="BD82" s="385" t="str">
        <f>IF(BC82="","",VLOOKUP(BC82,案件コード!$A$1:$B$31,2,FALSE()))</f>
        <v/>
      </c>
      <c r="BE82" s="385"/>
      <c r="BF82" s="385"/>
      <c r="BG82" s="113" t="str">
        <f t="shared" si="27"/>
        <v/>
      </c>
      <c r="BH82" s="285"/>
      <c r="BI82" s="284"/>
      <c r="BJ82" s="286"/>
      <c r="BK82" s="322"/>
    </row>
    <row r="83" spans="1:63" ht="18.600000000000001" thickBot="1">
      <c r="A83" s="315"/>
      <c r="B83" s="386" t="str">
        <f>IF(A83="","",VLOOKUP(A83,案件コード!$A$1:$B$31,2,FALSE()))</f>
        <v/>
      </c>
      <c r="C83" s="386"/>
      <c r="D83" s="386"/>
      <c r="E83" s="316" t="str">
        <f t="shared" si="21"/>
        <v/>
      </c>
      <c r="F83" s="317"/>
      <c r="G83" s="318"/>
      <c r="H83" s="319"/>
      <c r="I83" s="323"/>
      <c r="J83" s="315"/>
      <c r="K83" s="386" t="str">
        <f>IF(J83="","",VLOOKUP(J83,案件コード!$A$1:$B$31,2,FALSE()))</f>
        <v/>
      </c>
      <c r="L83" s="386"/>
      <c r="M83" s="386"/>
      <c r="N83" s="316" t="str">
        <f t="shared" si="22"/>
        <v/>
      </c>
      <c r="O83" s="317"/>
      <c r="P83" s="318"/>
      <c r="Q83" s="319"/>
      <c r="R83" s="323"/>
      <c r="S83" s="315"/>
      <c r="T83" s="386" t="str">
        <f>IF(S83="","",VLOOKUP(S83,案件コード!$A$1:$B$31,2,FALSE()))</f>
        <v/>
      </c>
      <c r="U83" s="386"/>
      <c r="V83" s="386"/>
      <c r="W83" s="316" t="str">
        <f t="shared" si="23"/>
        <v/>
      </c>
      <c r="X83" s="317"/>
      <c r="Y83" s="318"/>
      <c r="Z83" s="319"/>
      <c r="AA83" s="323"/>
      <c r="AB83" s="315"/>
      <c r="AC83" s="386" t="str">
        <f>IF(AB83="","",VLOOKUP(AB83,案件コード!$A$1:$B$31,2,FALSE()))</f>
        <v/>
      </c>
      <c r="AD83" s="386"/>
      <c r="AE83" s="386"/>
      <c r="AF83" s="316" t="str">
        <f t="shared" si="24"/>
        <v/>
      </c>
      <c r="AG83" s="317"/>
      <c r="AH83" s="318"/>
      <c r="AI83" s="319"/>
      <c r="AJ83" s="323"/>
      <c r="AK83" s="315"/>
      <c r="AL83" s="386" t="str">
        <f>IF(AK83="","",VLOOKUP(AK83,案件コード!$A$1:$B$31,2,FALSE()))</f>
        <v/>
      </c>
      <c r="AM83" s="386"/>
      <c r="AN83" s="386"/>
      <c r="AO83" s="316" t="str">
        <f t="shared" si="25"/>
        <v/>
      </c>
      <c r="AP83" s="317"/>
      <c r="AQ83" s="318"/>
      <c r="AR83" s="319"/>
      <c r="AS83" s="323"/>
      <c r="AT83" s="315"/>
      <c r="AU83" s="386" t="str">
        <f>IF(AT83="","",VLOOKUP(AT83,案件コード!$A$1:$B$31,2,FALSE()))</f>
        <v/>
      </c>
      <c r="AV83" s="386"/>
      <c r="AW83" s="386"/>
      <c r="AX83" s="316" t="str">
        <f t="shared" si="26"/>
        <v/>
      </c>
      <c r="AY83" s="317"/>
      <c r="AZ83" s="318"/>
      <c r="BA83" s="319"/>
      <c r="BB83" s="323"/>
      <c r="BC83" s="315"/>
      <c r="BD83" s="386" t="str">
        <f>IF(BC83="","",VLOOKUP(BC83,案件コード!$A$1:$B$31,2,FALSE()))</f>
        <v/>
      </c>
      <c r="BE83" s="386"/>
      <c r="BF83" s="386"/>
      <c r="BG83" s="316" t="str">
        <f t="shared" si="27"/>
        <v/>
      </c>
      <c r="BH83" s="317"/>
      <c r="BI83" s="318"/>
      <c r="BJ83" s="319"/>
      <c r="BK83" s="323"/>
    </row>
    <row r="84" spans="1:63" ht="18.600000000000001" thickBot="1">
      <c r="A84" s="41"/>
      <c r="B84" s="41"/>
      <c r="C84" s="41"/>
      <c r="D84" s="41"/>
      <c r="E84" s="41"/>
      <c r="F84" s="41"/>
      <c r="G84" s="41"/>
      <c r="H84" s="307">
        <f>SUM(H69:H83)</f>
        <v>0</v>
      </c>
      <c r="I84" s="41"/>
      <c r="J84" s="41"/>
      <c r="K84" s="41"/>
      <c r="L84" s="41"/>
      <c r="M84" s="41"/>
      <c r="N84" s="41"/>
      <c r="O84" s="41"/>
      <c r="P84" s="41"/>
      <c r="Q84" s="307">
        <f>SUM(Q69:Q83)</f>
        <v>0</v>
      </c>
      <c r="R84" s="41"/>
      <c r="S84" s="41"/>
      <c r="T84" s="41"/>
      <c r="U84" s="41"/>
      <c r="V84" s="41"/>
      <c r="W84" s="41"/>
      <c r="X84" s="41"/>
      <c r="Y84" s="41"/>
      <c r="Z84" s="307">
        <f>SUM(Z69:Z83)</f>
        <v>0</v>
      </c>
      <c r="AA84" s="41"/>
      <c r="AB84" s="41"/>
      <c r="AC84" s="41"/>
      <c r="AD84" s="41"/>
      <c r="AE84" s="41"/>
      <c r="AF84" s="41"/>
      <c r="AG84" s="41"/>
      <c r="AH84" s="41"/>
      <c r="AI84" s="307">
        <f>SUM(AI69:AI83)</f>
        <v>0</v>
      </c>
      <c r="AJ84" s="41"/>
      <c r="AK84" s="41"/>
      <c r="AL84" s="41"/>
      <c r="AM84" s="41"/>
      <c r="AN84" s="41"/>
      <c r="AO84" s="41"/>
      <c r="AP84" s="41"/>
      <c r="AQ84" s="41"/>
      <c r="AR84" s="307">
        <f>SUM(AR69:AR83)</f>
        <v>0</v>
      </c>
      <c r="AS84" s="41"/>
      <c r="AT84" s="41"/>
      <c r="AU84" s="41"/>
      <c r="AV84" s="41"/>
      <c r="AW84" s="41"/>
      <c r="AX84" s="41"/>
      <c r="AY84" s="41"/>
      <c r="AZ84" s="41"/>
      <c r="BA84" s="307">
        <f>SUM(BA69:BA83)</f>
        <v>0</v>
      </c>
      <c r="BB84" s="41"/>
      <c r="BC84" s="41"/>
      <c r="BD84" s="41"/>
      <c r="BE84" s="41"/>
      <c r="BF84" s="41"/>
      <c r="BG84" s="41"/>
      <c r="BH84" s="41"/>
      <c r="BI84" s="41"/>
      <c r="BJ84" s="307">
        <f>SUM(BJ69:BJ83)</f>
        <v>0</v>
      </c>
      <c r="BK84" s="41"/>
    </row>
    <row r="85" spans="1:63">
      <c r="A85" s="390" t="s">
        <v>16</v>
      </c>
      <c r="B85" s="391"/>
      <c r="C85" s="391" t="s">
        <v>17</v>
      </c>
      <c r="D85" s="391"/>
      <c r="E85" s="391" t="s">
        <v>18</v>
      </c>
      <c r="F85" s="392"/>
      <c r="G85" s="41"/>
      <c r="H85" s="41"/>
      <c r="I85" s="41"/>
      <c r="J85" s="390" t="s">
        <v>16</v>
      </c>
      <c r="K85" s="391"/>
      <c r="L85" s="391" t="s">
        <v>17</v>
      </c>
      <c r="M85" s="391"/>
      <c r="N85" s="391" t="s">
        <v>18</v>
      </c>
      <c r="O85" s="392"/>
      <c r="P85" s="41"/>
      <c r="Q85" s="41"/>
      <c r="R85" s="41"/>
      <c r="S85" s="390" t="s">
        <v>16</v>
      </c>
      <c r="T85" s="391"/>
      <c r="U85" s="391" t="s">
        <v>17</v>
      </c>
      <c r="V85" s="391"/>
      <c r="W85" s="391" t="s">
        <v>18</v>
      </c>
      <c r="X85" s="392"/>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c r="BJ85" s="41"/>
      <c r="BK85" s="41"/>
    </row>
    <row r="86" spans="1:63" ht="18.600000000000001" thickBot="1">
      <c r="A86" s="387">
        <f>IF(DAY(DATE($A$1,$B$1,29))=29,BC66+1,"")</f>
        <v>45929</v>
      </c>
      <c r="B86" s="388"/>
      <c r="C86" s="289"/>
      <c r="D86" s="289"/>
      <c r="E86" s="290" t="str">
        <f>IF(C86="","",D86-C86-H86)</f>
        <v/>
      </c>
      <c r="F86" s="291" t="str">
        <f>IF(AND(E86=""),"",SUM(E89:E103))</f>
        <v/>
      </c>
      <c r="G86" s="114" t="s">
        <v>19</v>
      </c>
      <c r="H86" s="287">
        <v>4.1666666666666699E-2</v>
      </c>
      <c r="I86" s="41"/>
      <c r="J86" s="387">
        <f>IF(DAY(DATE($A$1,$B$1,30))=30,A86+1,"")</f>
        <v>45930</v>
      </c>
      <c r="K86" s="388"/>
      <c r="L86" s="289"/>
      <c r="M86" s="289"/>
      <c r="N86" s="290" t="str">
        <f>IF(L86="","",M86-L86-Q86)</f>
        <v/>
      </c>
      <c r="O86" s="291" t="str">
        <f>IF(AND(N86=""),"",SUM(N89:N103))</f>
        <v/>
      </c>
      <c r="P86" s="114" t="s">
        <v>19</v>
      </c>
      <c r="Q86" s="287">
        <v>4.1666666666666699E-2</v>
      </c>
      <c r="R86" s="41"/>
      <c r="S86" s="387" t="str">
        <f>IF(DAY(DATE($A$1,$B$1,31))=31,J86+1,"")</f>
        <v/>
      </c>
      <c r="T86" s="388"/>
      <c r="U86" s="289"/>
      <c r="V86" s="289"/>
      <c r="W86" s="290" t="str">
        <f>IF(U86="","",V86-U86-Z86)</f>
        <v/>
      </c>
      <c r="X86" s="291" t="str">
        <f>IF(AND(W86=""),"",SUM(W89:W103))</f>
        <v/>
      </c>
      <c r="Y86" s="114" t="s">
        <v>19</v>
      </c>
      <c r="Z86" s="287">
        <v>4.1666666666666699E-2</v>
      </c>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c r="BF86" s="41"/>
      <c r="BG86" s="41"/>
      <c r="BH86" s="41"/>
      <c r="BI86" s="41"/>
      <c r="BJ86" s="41"/>
      <c r="BK86" s="41"/>
    </row>
    <row r="87" spans="1:63" ht="18.600000000000001" thickBot="1">
      <c r="A87" s="41" t="s">
        <v>38</v>
      </c>
      <c r="B87" s="115"/>
      <c r="C87" s="115"/>
      <c r="D87" s="115"/>
      <c r="E87" s="116"/>
      <c r="F87" s="117"/>
      <c r="G87" s="117"/>
      <c r="H87" s="185"/>
      <c r="I87" s="41"/>
      <c r="J87" s="41" t="s">
        <v>38</v>
      </c>
      <c r="K87" s="115"/>
      <c r="L87" s="115"/>
      <c r="M87" s="115"/>
      <c r="N87" s="116"/>
      <c r="O87" s="117"/>
      <c r="P87" s="117"/>
      <c r="Q87" s="185"/>
      <c r="R87" s="41"/>
      <c r="S87" s="41" t="s">
        <v>38</v>
      </c>
      <c r="T87" s="115"/>
      <c r="U87" s="115"/>
      <c r="V87" s="115"/>
      <c r="W87" s="116"/>
      <c r="X87" s="117"/>
      <c r="Y87" s="117"/>
      <c r="Z87" s="185"/>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c r="BF87" s="41"/>
      <c r="BG87" s="41"/>
      <c r="BH87" s="41"/>
      <c r="BI87" s="41"/>
      <c r="BJ87" s="41"/>
      <c r="BK87" s="41"/>
    </row>
    <row r="88" spans="1:63">
      <c r="A88" s="308" t="s">
        <v>20</v>
      </c>
      <c r="B88" s="389" t="s">
        <v>21</v>
      </c>
      <c r="C88" s="389"/>
      <c r="D88" s="389"/>
      <c r="E88" s="309" t="s">
        <v>22</v>
      </c>
      <c r="F88" s="309" t="s">
        <v>0</v>
      </c>
      <c r="G88" s="309" t="s">
        <v>39</v>
      </c>
      <c r="H88" s="310" t="s">
        <v>23</v>
      </c>
      <c r="I88" s="311" t="s">
        <v>24</v>
      </c>
      <c r="J88" s="308" t="s">
        <v>20</v>
      </c>
      <c r="K88" s="389" t="s">
        <v>21</v>
      </c>
      <c r="L88" s="389"/>
      <c r="M88" s="389"/>
      <c r="N88" s="309" t="s">
        <v>22</v>
      </c>
      <c r="O88" s="309" t="s">
        <v>0</v>
      </c>
      <c r="P88" s="309" t="s">
        <v>39</v>
      </c>
      <c r="Q88" s="310" t="s">
        <v>23</v>
      </c>
      <c r="R88" s="311" t="s">
        <v>24</v>
      </c>
      <c r="S88" s="308" t="s">
        <v>20</v>
      </c>
      <c r="T88" s="389" t="s">
        <v>21</v>
      </c>
      <c r="U88" s="389"/>
      <c r="V88" s="389"/>
      <c r="W88" s="309" t="s">
        <v>22</v>
      </c>
      <c r="X88" s="309" t="s">
        <v>0</v>
      </c>
      <c r="Y88" s="309" t="s">
        <v>39</v>
      </c>
      <c r="Z88" s="310" t="s">
        <v>23</v>
      </c>
      <c r="AA88" s="311" t="s">
        <v>24</v>
      </c>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c r="BF88" s="41"/>
      <c r="BG88" s="41"/>
      <c r="BH88" s="41"/>
      <c r="BI88" s="41"/>
      <c r="BJ88" s="41"/>
      <c r="BK88" s="41"/>
    </row>
    <row r="89" spans="1:63">
      <c r="A89" s="312"/>
      <c r="B89" s="385" t="str">
        <f>IF(A89="","",VLOOKUP(A89,案件コード!$A$1:$B$31,2,FALSE()))</f>
        <v/>
      </c>
      <c r="C89" s="385"/>
      <c r="D89" s="385"/>
      <c r="E89" s="113" t="str">
        <f t="shared" ref="E89:E103" si="28">IF(AND(F89="",G89=""),"",SUM(F89:G89))</f>
        <v/>
      </c>
      <c r="F89" s="285"/>
      <c r="G89" s="284"/>
      <c r="H89" s="286"/>
      <c r="I89" s="321"/>
      <c r="J89" s="312"/>
      <c r="K89" s="385" t="str">
        <f>IF(J89="","",VLOOKUP(J89,案件コード!$A$1:$B$31,2,FALSE()))</f>
        <v/>
      </c>
      <c r="L89" s="385"/>
      <c r="M89" s="385"/>
      <c r="N89" s="113" t="str">
        <f t="shared" ref="N89:N103" si="29">IF(AND(O89="",P89=""),"",SUM(O89:P89))</f>
        <v/>
      </c>
      <c r="O89" s="285"/>
      <c r="P89" s="284"/>
      <c r="Q89" s="286"/>
      <c r="R89" s="321"/>
      <c r="S89" s="312"/>
      <c r="T89" s="385" t="str">
        <f>IF(S89="","",VLOOKUP(S89,案件コード!$A$1:$B$31,2,FALSE()))</f>
        <v/>
      </c>
      <c r="U89" s="385"/>
      <c r="V89" s="385"/>
      <c r="W89" s="113" t="str">
        <f t="shared" ref="W89:W103" si="30">IF(AND(X89="",Y89=""),"",SUM(X89:Y89))</f>
        <v/>
      </c>
      <c r="X89" s="285"/>
      <c r="Y89" s="284"/>
      <c r="Z89" s="286"/>
      <c r="AA89" s="32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c r="BF89" s="41"/>
      <c r="BG89" s="41"/>
      <c r="BH89" s="41"/>
      <c r="BI89" s="41"/>
      <c r="BJ89" s="41"/>
      <c r="BK89" s="41"/>
    </row>
    <row r="90" spans="1:63">
      <c r="A90" s="312"/>
      <c r="B90" s="385" t="str">
        <f>IF(A90="","",VLOOKUP(A90,案件コード!$A$1:$B$31,2,FALSE()))</f>
        <v/>
      </c>
      <c r="C90" s="385"/>
      <c r="D90" s="385"/>
      <c r="E90" s="113" t="str">
        <f t="shared" si="28"/>
        <v/>
      </c>
      <c r="F90" s="285"/>
      <c r="G90" s="284"/>
      <c r="H90" s="286"/>
      <c r="I90" s="322"/>
      <c r="J90" s="312"/>
      <c r="K90" s="385" t="str">
        <f>IF(J90="","",VLOOKUP(J90,案件コード!$A$1:$B$31,2,FALSE()))</f>
        <v/>
      </c>
      <c r="L90" s="385"/>
      <c r="M90" s="385"/>
      <c r="N90" s="113" t="str">
        <f t="shared" si="29"/>
        <v/>
      </c>
      <c r="O90" s="285"/>
      <c r="P90" s="284"/>
      <c r="Q90" s="286"/>
      <c r="R90" s="322"/>
      <c r="S90" s="312"/>
      <c r="T90" s="385" t="str">
        <f>IF(S90="","",VLOOKUP(S90,案件コード!$A$1:$B$31,2,FALSE()))</f>
        <v/>
      </c>
      <c r="U90" s="385"/>
      <c r="V90" s="385"/>
      <c r="W90" s="113" t="str">
        <f t="shared" si="30"/>
        <v/>
      </c>
      <c r="X90" s="285"/>
      <c r="Y90" s="284"/>
      <c r="Z90" s="286"/>
      <c r="AA90" s="322"/>
      <c r="AB90" s="41"/>
      <c r="AC90" s="41"/>
      <c r="AD90" s="41"/>
      <c r="AE90" s="41"/>
      <c r="AF90" s="41"/>
      <c r="AG90" s="41"/>
      <c r="AH90" s="41"/>
      <c r="AI90" s="41"/>
      <c r="AJ90" s="41"/>
      <c r="AK90" s="41"/>
      <c r="AL90" s="41"/>
      <c r="AM90" s="41"/>
      <c r="AN90" s="41"/>
      <c r="AO90" s="41"/>
      <c r="AP90" s="41"/>
      <c r="AQ90" s="41"/>
      <c r="AR90" s="41"/>
      <c r="AS90" s="41"/>
      <c r="AT90" s="41"/>
      <c r="AU90" s="41"/>
      <c r="AV90" s="41"/>
      <c r="AW90" s="41"/>
      <c r="AX90" s="41"/>
      <c r="AY90" s="41"/>
      <c r="AZ90" s="41"/>
      <c r="BA90" s="41"/>
      <c r="BB90" s="41"/>
      <c r="BC90" s="41"/>
      <c r="BD90" s="41"/>
      <c r="BE90" s="41"/>
      <c r="BF90" s="41"/>
      <c r="BG90" s="41"/>
      <c r="BH90" s="41"/>
      <c r="BI90" s="41"/>
      <c r="BJ90" s="41"/>
      <c r="BK90" s="41"/>
    </row>
    <row r="91" spans="1:63">
      <c r="A91" s="312"/>
      <c r="B91" s="385" t="str">
        <f>IF(A91="","",VLOOKUP(A91,案件コード!$A$1:$B$31,2,FALSE()))</f>
        <v/>
      </c>
      <c r="C91" s="385"/>
      <c r="D91" s="385"/>
      <c r="E91" s="113" t="str">
        <f t="shared" si="28"/>
        <v/>
      </c>
      <c r="F91" s="285"/>
      <c r="G91" s="284"/>
      <c r="H91" s="286"/>
      <c r="I91" s="322"/>
      <c r="J91" s="312"/>
      <c r="K91" s="385" t="str">
        <f>IF(J91="","",VLOOKUP(J91,案件コード!$A$1:$B$31,2,FALSE()))</f>
        <v/>
      </c>
      <c r="L91" s="385"/>
      <c r="M91" s="385"/>
      <c r="N91" s="113" t="str">
        <f t="shared" si="29"/>
        <v/>
      </c>
      <c r="O91" s="285"/>
      <c r="P91" s="284"/>
      <c r="Q91" s="286"/>
      <c r="R91" s="322"/>
      <c r="S91" s="312"/>
      <c r="T91" s="385" t="str">
        <f>IF(S91="","",VLOOKUP(S91,案件コード!$A$1:$B$31,2,FALSE()))</f>
        <v/>
      </c>
      <c r="U91" s="385"/>
      <c r="V91" s="385"/>
      <c r="W91" s="113" t="str">
        <f t="shared" si="30"/>
        <v/>
      </c>
      <c r="X91" s="285"/>
      <c r="Y91" s="284"/>
      <c r="Z91" s="286"/>
      <c r="AA91" s="322"/>
      <c r="AB91" s="41"/>
      <c r="AC91" s="41"/>
      <c r="AD91" s="41"/>
      <c r="AE91" s="41"/>
      <c r="AF91" s="41"/>
      <c r="AG91" s="41"/>
      <c r="AH91" s="41"/>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c r="BJ91" s="41"/>
      <c r="BK91" s="41"/>
    </row>
    <row r="92" spans="1:63">
      <c r="A92" s="312"/>
      <c r="B92" s="385" t="str">
        <f>IF(A92="","",VLOOKUP(A92,案件コード!$A$1:$B$31,2,FALSE()))</f>
        <v/>
      </c>
      <c r="C92" s="385"/>
      <c r="D92" s="385"/>
      <c r="E92" s="113" t="str">
        <f t="shared" si="28"/>
        <v/>
      </c>
      <c r="F92" s="285"/>
      <c r="G92" s="284"/>
      <c r="H92" s="286"/>
      <c r="I92" s="322"/>
      <c r="J92" s="312"/>
      <c r="K92" s="385" t="str">
        <f>IF(J92="","",VLOOKUP(J92,案件コード!$A$1:$B$31,2,FALSE()))</f>
        <v/>
      </c>
      <c r="L92" s="385"/>
      <c r="M92" s="385"/>
      <c r="N92" s="113" t="str">
        <f t="shared" si="29"/>
        <v/>
      </c>
      <c r="O92" s="285"/>
      <c r="P92" s="284"/>
      <c r="Q92" s="286"/>
      <c r="R92" s="322"/>
      <c r="S92" s="312"/>
      <c r="T92" s="385" t="str">
        <f>IF(S92="","",VLOOKUP(S92,案件コード!$A$1:$B$31,2,FALSE()))</f>
        <v/>
      </c>
      <c r="U92" s="385"/>
      <c r="V92" s="385"/>
      <c r="W92" s="113" t="str">
        <f t="shared" si="30"/>
        <v/>
      </c>
      <c r="X92" s="285"/>
      <c r="Y92" s="284"/>
      <c r="Z92" s="286"/>
      <c r="AA92" s="322"/>
      <c r="AB92" s="41"/>
      <c r="AC92" s="41"/>
      <c r="AD92" s="41"/>
      <c r="AE92" s="41"/>
      <c r="AF92" s="41"/>
      <c r="AG92" s="41"/>
      <c r="AH92" s="41"/>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c r="BJ92" s="41"/>
      <c r="BK92" s="41"/>
    </row>
    <row r="93" spans="1:63">
      <c r="A93" s="312"/>
      <c r="B93" s="385" t="str">
        <f>IF(A93="","",VLOOKUP(A93,案件コード!$A$1:$B$31,2,FALSE()))</f>
        <v/>
      </c>
      <c r="C93" s="385"/>
      <c r="D93" s="385"/>
      <c r="E93" s="113" t="str">
        <f t="shared" si="28"/>
        <v/>
      </c>
      <c r="F93" s="285"/>
      <c r="G93" s="284"/>
      <c r="H93" s="286"/>
      <c r="I93" s="322"/>
      <c r="J93" s="312"/>
      <c r="K93" s="385" t="str">
        <f>IF(J93="","",VLOOKUP(J93,案件コード!$A$1:$B$31,2,FALSE()))</f>
        <v/>
      </c>
      <c r="L93" s="385"/>
      <c r="M93" s="385"/>
      <c r="N93" s="113" t="str">
        <f t="shared" si="29"/>
        <v/>
      </c>
      <c r="O93" s="285"/>
      <c r="P93" s="284"/>
      <c r="Q93" s="286"/>
      <c r="R93" s="322"/>
      <c r="S93" s="312"/>
      <c r="T93" s="385" t="str">
        <f>IF(S93="","",VLOOKUP(S93,案件コード!$A$1:$B$31,2,FALSE()))</f>
        <v/>
      </c>
      <c r="U93" s="385"/>
      <c r="V93" s="385"/>
      <c r="W93" s="113" t="str">
        <f t="shared" si="30"/>
        <v/>
      </c>
      <c r="X93" s="285"/>
      <c r="Y93" s="284"/>
      <c r="Z93" s="286"/>
      <c r="AA93" s="322"/>
      <c r="AB93" s="41"/>
      <c r="AC93" s="41"/>
      <c r="AD93" s="41"/>
      <c r="AE93" s="41"/>
      <c r="AF93" s="41"/>
      <c r="AG93" s="41"/>
      <c r="AH93" s="41"/>
      <c r="AI93" s="41"/>
      <c r="AJ93" s="41"/>
      <c r="AK93" s="41"/>
      <c r="AL93" s="41"/>
      <c r="AM93" s="41"/>
      <c r="AN93" s="41"/>
      <c r="AO93" s="41"/>
      <c r="AP93" s="41"/>
      <c r="AQ93" s="41"/>
      <c r="AR93" s="41"/>
      <c r="AS93" s="41"/>
      <c r="AT93" s="41"/>
      <c r="AU93" s="41"/>
      <c r="AV93" s="41"/>
      <c r="AW93" s="41"/>
      <c r="AX93" s="41"/>
      <c r="AY93" s="41"/>
      <c r="AZ93" s="41"/>
      <c r="BA93" s="41"/>
      <c r="BB93" s="41"/>
      <c r="BC93" s="41"/>
      <c r="BD93" s="41"/>
      <c r="BE93" s="41"/>
      <c r="BF93" s="41"/>
      <c r="BG93" s="41"/>
      <c r="BH93" s="41"/>
      <c r="BI93" s="41"/>
      <c r="BJ93" s="41"/>
      <c r="BK93" s="41"/>
    </row>
    <row r="94" spans="1:63">
      <c r="A94" s="312"/>
      <c r="B94" s="385" t="str">
        <f>IF(A94="","",VLOOKUP(A94,案件コード!$A$1:$B$31,2,FALSE()))</f>
        <v/>
      </c>
      <c r="C94" s="385"/>
      <c r="D94" s="385"/>
      <c r="E94" s="113" t="str">
        <f t="shared" si="28"/>
        <v/>
      </c>
      <c r="F94" s="285"/>
      <c r="G94" s="284"/>
      <c r="H94" s="286"/>
      <c r="I94" s="322"/>
      <c r="J94" s="312"/>
      <c r="K94" s="385" t="str">
        <f>IF(J94="","",VLOOKUP(J94,案件コード!$A$1:$B$31,2,FALSE()))</f>
        <v/>
      </c>
      <c r="L94" s="385"/>
      <c r="M94" s="385"/>
      <c r="N94" s="113" t="str">
        <f t="shared" si="29"/>
        <v/>
      </c>
      <c r="O94" s="285"/>
      <c r="P94" s="284"/>
      <c r="Q94" s="286"/>
      <c r="R94" s="322"/>
      <c r="S94" s="312"/>
      <c r="T94" s="385" t="str">
        <f>IF(S94="","",VLOOKUP(S94,案件コード!$A$1:$B$31,2,FALSE()))</f>
        <v/>
      </c>
      <c r="U94" s="385"/>
      <c r="V94" s="385"/>
      <c r="W94" s="113" t="str">
        <f t="shared" si="30"/>
        <v/>
      </c>
      <c r="X94" s="285"/>
      <c r="Y94" s="284"/>
      <c r="Z94" s="286"/>
      <c r="AA94" s="322"/>
      <c r="AB94" s="41"/>
      <c r="AC94" s="41"/>
      <c r="AD94" s="41"/>
      <c r="AE94" s="41"/>
      <c r="AF94" s="41"/>
      <c r="AG94" s="41"/>
      <c r="AH94" s="41"/>
      <c r="AI94" s="41"/>
      <c r="AJ94" s="41"/>
      <c r="AK94" s="41"/>
      <c r="AL94" s="41"/>
      <c r="AM94" s="41"/>
      <c r="AN94" s="41"/>
      <c r="AO94" s="41"/>
      <c r="AP94" s="41"/>
      <c r="AQ94" s="41"/>
      <c r="AR94" s="41"/>
      <c r="AS94" s="41"/>
      <c r="AT94" s="41"/>
      <c r="AU94" s="41"/>
      <c r="AV94" s="41"/>
      <c r="AW94" s="41"/>
      <c r="AX94" s="41"/>
      <c r="AY94" s="41"/>
      <c r="AZ94" s="41"/>
      <c r="BA94" s="41"/>
      <c r="BB94" s="41"/>
      <c r="BC94" s="41"/>
      <c r="BD94" s="41"/>
      <c r="BE94" s="41"/>
      <c r="BF94" s="41"/>
      <c r="BG94" s="41"/>
      <c r="BH94" s="41"/>
      <c r="BI94" s="41"/>
      <c r="BJ94" s="41"/>
      <c r="BK94" s="41"/>
    </row>
    <row r="95" spans="1:63">
      <c r="A95" s="312"/>
      <c r="B95" s="385" t="str">
        <f>IF(A95="","",VLOOKUP(A95,案件コード!$A$1:$B$31,2,FALSE()))</f>
        <v/>
      </c>
      <c r="C95" s="385"/>
      <c r="D95" s="385"/>
      <c r="E95" s="113" t="str">
        <f t="shared" si="28"/>
        <v/>
      </c>
      <c r="F95" s="285"/>
      <c r="G95" s="284"/>
      <c r="H95" s="286"/>
      <c r="I95" s="322"/>
      <c r="J95" s="312"/>
      <c r="K95" s="385" t="str">
        <f>IF(J95="","",VLOOKUP(J95,案件コード!$A$1:$B$31,2,FALSE()))</f>
        <v/>
      </c>
      <c r="L95" s="385"/>
      <c r="M95" s="385"/>
      <c r="N95" s="113" t="str">
        <f t="shared" si="29"/>
        <v/>
      </c>
      <c r="O95" s="285"/>
      <c r="P95" s="284"/>
      <c r="Q95" s="286"/>
      <c r="R95" s="322"/>
      <c r="S95" s="312"/>
      <c r="T95" s="385" t="str">
        <f>IF(S95="","",VLOOKUP(S95,案件コード!$A$1:$B$31,2,FALSE()))</f>
        <v/>
      </c>
      <c r="U95" s="385"/>
      <c r="V95" s="385"/>
      <c r="W95" s="113" t="str">
        <f t="shared" si="30"/>
        <v/>
      </c>
      <c r="X95" s="285"/>
      <c r="Y95" s="284"/>
      <c r="Z95" s="286"/>
      <c r="AA95" s="322"/>
      <c r="AB95" s="41"/>
      <c r="AC95" s="41"/>
      <c r="AD95" s="41"/>
      <c r="AE95" s="41"/>
      <c r="AF95" s="41"/>
      <c r="AG95" s="41"/>
      <c r="AH95" s="41"/>
      <c r="AI95" s="41"/>
      <c r="AJ95" s="41"/>
      <c r="AK95" s="41"/>
      <c r="AL95" s="41"/>
      <c r="AM95" s="41"/>
      <c r="AN95" s="41"/>
      <c r="AO95" s="41"/>
      <c r="AP95" s="41"/>
      <c r="AQ95" s="41"/>
      <c r="AR95" s="41"/>
      <c r="AS95" s="41"/>
      <c r="AT95" s="41"/>
      <c r="AU95" s="41"/>
      <c r="AV95" s="41"/>
      <c r="AW95" s="41"/>
      <c r="AX95" s="41"/>
      <c r="AY95" s="41"/>
      <c r="AZ95" s="41"/>
      <c r="BA95" s="41"/>
      <c r="BB95" s="41"/>
      <c r="BC95" s="41"/>
      <c r="BD95" s="41"/>
      <c r="BE95" s="41"/>
      <c r="BF95" s="41"/>
      <c r="BG95" s="41"/>
      <c r="BH95" s="41"/>
      <c r="BI95" s="41"/>
      <c r="BJ95" s="41"/>
      <c r="BK95" s="41"/>
    </row>
    <row r="96" spans="1:63">
      <c r="A96" s="312"/>
      <c r="B96" s="385" t="str">
        <f>IF(A96="","",VLOOKUP(A96,案件コード!$A$1:$B$31,2,FALSE()))</f>
        <v/>
      </c>
      <c r="C96" s="385"/>
      <c r="D96" s="385"/>
      <c r="E96" s="113" t="str">
        <f t="shared" si="28"/>
        <v/>
      </c>
      <c r="F96" s="285"/>
      <c r="G96" s="284"/>
      <c r="H96" s="286"/>
      <c r="I96" s="322"/>
      <c r="J96" s="312"/>
      <c r="K96" s="385" t="str">
        <f>IF(J96="","",VLOOKUP(J96,案件コード!$A$1:$B$31,2,FALSE()))</f>
        <v/>
      </c>
      <c r="L96" s="385"/>
      <c r="M96" s="385"/>
      <c r="N96" s="113" t="str">
        <f t="shared" si="29"/>
        <v/>
      </c>
      <c r="O96" s="285"/>
      <c r="P96" s="284"/>
      <c r="Q96" s="286"/>
      <c r="R96" s="322"/>
      <c r="S96" s="312"/>
      <c r="T96" s="385" t="str">
        <f>IF(S96="","",VLOOKUP(S96,案件コード!$A$1:$B$31,2,FALSE()))</f>
        <v/>
      </c>
      <c r="U96" s="385"/>
      <c r="V96" s="385"/>
      <c r="W96" s="113" t="str">
        <f t="shared" si="30"/>
        <v/>
      </c>
      <c r="X96" s="285"/>
      <c r="Y96" s="284"/>
      <c r="Z96" s="286"/>
      <c r="AA96" s="322"/>
      <c r="AB96" s="41"/>
      <c r="AC96" s="41"/>
      <c r="AD96" s="41"/>
      <c r="AE96" s="41"/>
      <c r="AF96" s="41"/>
      <c r="AG96" s="41"/>
      <c r="AH96" s="41"/>
      <c r="AI96" s="41"/>
      <c r="AJ96" s="41"/>
      <c r="AK96" s="41"/>
      <c r="AL96" s="41"/>
      <c r="AM96" s="41"/>
      <c r="AN96" s="41"/>
      <c r="AO96" s="41"/>
      <c r="AP96" s="41"/>
      <c r="AQ96" s="41"/>
      <c r="AR96" s="41"/>
      <c r="AS96" s="41"/>
      <c r="AT96" s="41"/>
      <c r="AU96" s="41"/>
      <c r="AV96" s="41"/>
      <c r="AW96" s="41"/>
      <c r="AX96" s="41"/>
      <c r="AY96" s="41"/>
      <c r="AZ96" s="41"/>
      <c r="BA96" s="41"/>
      <c r="BB96" s="41"/>
      <c r="BC96" s="41"/>
      <c r="BD96" s="41"/>
      <c r="BE96" s="41"/>
      <c r="BF96" s="41"/>
      <c r="BG96" s="41"/>
      <c r="BH96" s="41"/>
      <c r="BI96" s="41"/>
      <c r="BJ96" s="41"/>
      <c r="BK96" s="41"/>
    </row>
    <row r="97" spans="1:63">
      <c r="A97" s="312"/>
      <c r="B97" s="385" t="str">
        <f>IF(A97="","",VLOOKUP(A97,案件コード!$A$1:$B$31,2,FALSE()))</f>
        <v/>
      </c>
      <c r="C97" s="385"/>
      <c r="D97" s="385"/>
      <c r="E97" s="113" t="str">
        <f t="shared" si="28"/>
        <v/>
      </c>
      <c r="F97" s="285"/>
      <c r="G97" s="284"/>
      <c r="H97" s="286"/>
      <c r="I97" s="322"/>
      <c r="J97" s="312"/>
      <c r="K97" s="385" t="str">
        <f>IF(J97="","",VLOOKUP(J97,案件コード!$A$1:$B$31,2,FALSE()))</f>
        <v/>
      </c>
      <c r="L97" s="385"/>
      <c r="M97" s="385"/>
      <c r="N97" s="113" t="str">
        <f t="shared" si="29"/>
        <v/>
      </c>
      <c r="O97" s="285"/>
      <c r="P97" s="284"/>
      <c r="Q97" s="286"/>
      <c r="R97" s="322"/>
      <c r="S97" s="312"/>
      <c r="T97" s="385" t="str">
        <f>IF(S97="","",VLOOKUP(S97,案件コード!$A$1:$B$31,2,FALSE()))</f>
        <v/>
      </c>
      <c r="U97" s="385"/>
      <c r="V97" s="385"/>
      <c r="W97" s="113" t="str">
        <f t="shared" si="30"/>
        <v/>
      </c>
      <c r="X97" s="285"/>
      <c r="Y97" s="284"/>
      <c r="Z97" s="286"/>
      <c r="AA97" s="322"/>
      <c r="AB97" s="41"/>
      <c r="AC97" s="41"/>
      <c r="AD97" s="41"/>
      <c r="AE97" s="41"/>
      <c r="AF97" s="41"/>
      <c r="AG97" s="41"/>
      <c r="AH97" s="41"/>
      <c r="AI97" s="41"/>
      <c r="AJ97" s="41"/>
      <c r="AK97" s="41"/>
      <c r="AL97" s="41"/>
      <c r="AM97" s="41"/>
      <c r="AN97" s="41"/>
      <c r="AO97" s="41"/>
      <c r="AP97" s="41"/>
      <c r="AQ97" s="41"/>
      <c r="AR97" s="41"/>
      <c r="AS97" s="41"/>
      <c r="AT97" s="41"/>
      <c r="AU97" s="41"/>
      <c r="AV97" s="41"/>
      <c r="AW97" s="41"/>
      <c r="AX97" s="41"/>
      <c r="AY97" s="41"/>
      <c r="AZ97" s="41"/>
      <c r="BA97" s="41"/>
      <c r="BB97" s="41"/>
      <c r="BC97" s="41"/>
      <c r="BD97" s="41"/>
      <c r="BE97" s="41"/>
      <c r="BF97" s="41"/>
      <c r="BG97" s="41"/>
      <c r="BH97" s="41"/>
      <c r="BI97" s="41"/>
      <c r="BJ97" s="41"/>
      <c r="BK97" s="41"/>
    </row>
    <row r="98" spans="1:63">
      <c r="A98" s="312"/>
      <c r="B98" s="385" t="str">
        <f>IF(A98="","",VLOOKUP(A98,案件コード!$A$1:$B$31,2,FALSE()))</f>
        <v/>
      </c>
      <c r="C98" s="385"/>
      <c r="D98" s="385"/>
      <c r="E98" s="113" t="str">
        <f t="shared" si="28"/>
        <v/>
      </c>
      <c r="F98" s="285"/>
      <c r="G98" s="284"/>
      <c r="H98" s="286"/>
      <c r="I98" s="322"/>
      <c r="J98" s="312"/>
      <c r="K98" s="385" t="str">
        <f>IF(J98="","",VLOOKUP(J98,案件コード!$A$1:$B$31,2,FALSE()))</f>
        <v/>
      </c>
      <c r="L98" s="385"/>
      <c r="M98" s="385"/>
      <c r="N98" s="113" t="str">
        <f t="shared" si="29"/>
        <v/>
      </c>
      <c r="O98" s="285"/>
      <c r="P98" s="284"/>
      <c r="Q98" s="286"/>
      <c r="R98" s="322"/>
      <c r="S98" s="312"/>
      <c r="T98" s="385" t="str">
        <f>IF(S98="","",VLOOKUP(S98,案件コード!$A$1:$B$31,2,FALSE()))</f>
        <v/>
      </c>
      <c r="U98" s="385"/>
      <c r="V98" s="385"/>
      <c r="W98" s="113" t="str">
        <f t="shared" si="30"/>
        <v/>
      </c>
      <c r="X98" s="285"/>
      <c r="Y98" s="284"/>
      <c r="Z98" s="286"/>
      <c r="AA98" s="322"/>
      <c r="AB98" s="41"/>
      <c r="AC98" s="41"/>
      <c r="AD98" s="41"/>
      <c r="AE98" s="41"/>
      <c r="AF98" s="41"/>
      <c r="AG98" s="41"/>
      <c r="AH98" s="41"/>
      <c r="AI98" s="41"/>
      <c r="AJ98" s="41"/>
      <c r="AK98" s="41"/>
      <c r="AL98" s="41"/>
      <c r="AM98" s="41"/>
      <c r="AN98" s="41"/>
      <c r="AO98" s="41"/>
      <c r="AP98" s="41"/>
      <c r="AQ98" s="41"/>
      <c r="AR98" s="41"/>
      <c r="AS98" s="41"/>
      <c r="AT98" s="41"/>
      <c r="AU98" s="41"/>
      <c r="AV98" s="41"/>
      <c r="AW98" s="41"/>
      <c r="AX98" s="41"/>
      <c r="AY98" s="41"/>
      <c r="AZ98" s="41"/>
      <c r="BA98" s="41"/>
      <c r="BB98" s="41"/>
      <c r="BC98" s="41"/>
      <c r="BD98" s="41"/>
      <c r="BE98" s="41"/>
      <c r="BF98" s="41"/>
      <c r="BG98" s="41"/>
      <c r="BH98" s="41"/>
      <c r="BI98" s="41"/>
      <c r="BJ98" s="41"/>
      <c r="BK98" s="41"/>
    </row>
    <row r="99" spans="1:63">
      <c r="A99" s="312"/>
      <c r="B99" s="385" t="str">
        <f>IF(A99="","",VLOOKUP(A99,案件コード!$A$1:$B$31,2,FALSE()))</f>
        <v/>
      </c>
      <c r="C99" s="385"/>
      <c r="D99" s="385"/>
      <c r="E99" s="113" t="str">
        <f t="shared" si="28"/>
        <v/>
      </c>
      <c r="F99" s="285"/>
      <c r="G99" s="284"/>
      <c r="H99" s="286"/>
      <c r="I99" s="322"/>
      <c r="J99" s="312"/>
      <c r="K99" s="385" t="str">
        <f>IF(J99="","",VLOOKUP(J99,案件コード!$A$1:$B$31,2,FALSE()))</f>
        <v/>
      </c>
      <c r="L99" s="385"/>
      <c r="M99" s="385"/>
      <c r="N99" s="113" t="str">
        <f t="shared" si="29"/>
        <v/>
      </c>
      <c r="O99" s="285"/>
      <c r="P99" s="284"/>
      <c r="Q99" s="286"/>
      <c r="R99" s="322"/>
      <c r="S99" s="312"/>
      <c r="T99" s="385" t="str">
        <f>IF(S99="","",VLOOKUP(S99,案件コード!$A$1:$B$31,2,FALSE()))</f>
        <v/>
      </c>
      <c r="U99" s="385"/>
      <c r="V99" s="385"/>
      <c r="W99" s="113" t="str">
        <f t="shared" si="30"/>
        <v/>
      </c>
      <c r="X99" s="285"/>
      <c r="Y99" s="284"/>
      <c r="Z99" s="286"/>
      <c r="AA99" s="322"/>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c r="BJ99" s="41"/>
      <c r="BK99" s="41"/>
    </row>
    <row r="100" spans="1:63">
      <c r="A100" s="312"/>
      <c r="B100" s="385" t="str">
        <f>IF(A100="","",VLOOKUP(A100,案件コード!$A$1:$B$31,2,FALSE()))</f>
        <v/>
      </c>
      <c r="C100" s="385"/>
      <c r="D100" s="385"/>
      <c r="E100" s="113" t="str">
        <f t="shared" si="28"/>
        <v/>
      </c>
      <c r="F100" s="285"/>
      <c r="G100" s="284"/>
      <c r="H100" s="286"/>
      <c r="I100" s="322"/>
      <c r="J100" s="312"/>
      <c r="K100" s="385" t="str">
        <f>IF(J100="","",VLOOKUP(J100,案件コード!$A$1:$B$31,2,FALSE()))</f>
        <v/>
      </c>
      <c r="L100" s="385"/>
      <c r="M100" s="385"/>
      <c r="N100" s="113" t="str">
        <f t="shared" si="29"/>
        <v/>
      </c>
      <c r="O100" s="285"/>
      <c r="P100" s="284"/>
      <c r="Q100" s="286"/>
      <c r="R100" s="322"/>
      <c r="S100" s="312"/>
      <c r="T100" s="385" t="str">
        <f>IF(S100="","",VLOOKUP(S100,案件コード!$A$1:$B$31,2,FALSE()))</f>
        <v/>
      </c>
      <c r="U100" s="385"/>
      <c r="V100" s="385"/>
      <c r="W100" s="113" t="str">
        <f t="shared" si="30"/>
        <v/>
      </c>
      <c r="X100" s="285"/>
      <c r="Y100" s="284"/>
      <c r="Z100" s="286"/>
      <c r="AA100" s="322"/>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c r="BJ100" s="41"/>
      <c r="BK100" s="41"/>
    </row>
    <row r="101" spans="1:63">
      <c r="A101" s="312"/>
      <c r="B101" s="385" t="str">
        <f>IF(A101="","",VLOOKUP(A101,案件コード!$A$1:$B$31,2,FALSE()))</f>
        <v/>
      </c>
      <c r="C101" s="385"/>
      <c r="D101" s="385"/>
      <c r="E101" s="113" t="str">
        <f t="shared" si="28"/>
        <v/>
      </c>
      <c r="F101" s="285"/>
      <c r="G101" s="284"/>
      <c r="H101" s="286"/>
      <c r="I101" s="322"/>
      <c r="J101" s="312"/>
      <c r="K101" s="385" t="str">
        <f>IF(J101="","",VLOOKUP(J101,案件コード!$A$1:$B$31,2,FALSE()))</f>
        <v/>
      </c>
      <c r="L101" s="385"/>
      <c r="M101" s="385"/>
      <c r="N101" s="113" t="str">
        <f t="shared" si="29"/>
        <v/>
      </c>
      <c r="O101" s="285"/>
      <c r="P101" s="284"/>
      <c r="Q101" s="286"/>
      <c r="R101" s="322"/>
      <c r="S101" s="312"/>
      <c r="T101" s="385" t="str">
        <f>IF(S101="","",VLOOKUP(S101,案件コード!$A$1:$B$31,2,FALSE()))</f>
        <v/>
      </c>
      <c r="U101" s="385"/>
      <c r="V101" s="385"/>
      <c r="W101" s="113" t="str">
        <f t="shared" si="30"/>
        <v/>
      </c>
      <c r="X101" s="285"/>
      <c r="Y101" s="284"/>
      <c r="Z101" s="286"/>
      <c r="AA101" s="322"/>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c r="BJ101" s="41"/>
      <c r="BK101" s="41"/>
    </row>
    <row r="102" spans="1:63">
      <c r="A102" s="312"/>
      <c r="B102" s="385" t="str">
        <f>IF(A102="","",VLOOKUP(A102,案件コード!$A$1:$B$31,2,FALSE()))</f>
        <v/>
      </c>
      <c r="C102" s="385"/>
      <c r="D102" s="385"/>
      <c r="E102" s="113" t="str">
        <f t="shared" si="28"/>
        <v/>
      </c>
      <c r="F102" s="285"/>
      <c r="G102" s="284"/>
      <c r="H102" s="286"/>
      <c r="I102" s="322"/>
      <c r="J102" s="312"/>
      <c r="K102" s="385" t="str">
        <f>IF(J102="","",VLOOKUP(J102,案件コード!$A$1:$B$31,2,FALSE()))</f>
        <v/>
      </c>
      <c r="L102" s="385"/>
      <c r="M102" s="385"/>
      <c r="N102" s="113" t="str">
        <f t="shared" si="29"/>
        <v/>
      </c>
      <c r="O102" s="285"/>
      <c r="P102" s="284"/>
      <c r="Q102" s="286"/>
      <c r="R102" s="322"/>
      <c r="S102" s="312"/>
      <c r="T102" s="385" t="str">
        <f>IF(S102="","",VLOOKUP(S102,案件コード!$A$1:$B$31,2,FALSE()))</f>
        <v/>
      </c>
      <c r="U102" s="385"/>
      <c r="V102" s="385"/>
      <c r="W102" s="113" t="str">
        <f t="shared" si="30"/>
        <v/>
      </c>
      <c r="X102" s="285"/>
      <c r="Y102" s="284"/>
      <c r="Z102" s="286"/>
      <c r="AA102" s="322"/>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c r="BJ102" s="41"/>
      <c r="BK102" s="41"/>
    </row>
    <row r="103" spans="1:63" ht="18.600000000000001" thickBot="1">
      <c r="A103" s="315"/>
      <c r="B103" s="386" t="str">
        <f>IF(A103="","",VLOOKUP(A103,案件コード!$A$1:$B$31,2,FALSE()))</f>
        <v/>
      </c>
      <c r="C103" s="386"/>
      <c r="D103" s="386"/>
      <c r="E103" s="316" t="str">
        <f t="shared" si="28"/>
        <v/>
      </c>
      <c r="F103" s="317"/>
      <c r="G103" s="318"/>
      <c r="H103" s="319"/>
      <c r="I103" s="323"/>
      <c r="J103" s="315"/>
      <c r="K103" s="386" t="str">
        <f>IF(J103="","",VLOOKUP(J103,案件コード!$A$1:$B$31,2,FALSE()))</f>
        <v/>
      </c>
      <c r="L103" s="386"/>
      <c r="M103" s="386"/>
      <c r="N103" s="316" t="str">
        <f t="shared" si="29"/>
        <v/>
      </c>
      <c r="O103" s="317"/>
      <c r="P103" s="318"/>
      <c r="Q103" s="319"/>
      <c r="R103" s="323"/>
      <c r="S103" s="315"/>
      <c r="T103" s="386" t="str">
        <f>IF(S103="","",VLOOKUP(S103,案件コード!$A$1:$B$31,2,FALSE()))</f>
        <v/>
      </c>
      <c r="U103" s="386"/>
      <c r="V103" s="386"/>
      <c r="W103" s="316" t="str">
        <f t="shared" si="30"/>
        <v/>
      </c>
      <c r="X103" s="317"/>
      <c r="Y103" s="318"/>
      <c r="Z103" s="319"/>
      <c r="AA103" s="323"/>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c r="BJ103" s="41"/>
      <c r="BK103" s="41"/>
    </row>
    <row r="104" spans="1:63" ht="18.600000000000001" thickBot="1">
      <c r="A104" s="41"/>
      <c r="B104" s="41"/>
      <c r="C104" s="41"/>
      <c r="D104" s="41"/>
      <c r="E104" s="41"/>
      <c r="F104" s="41"/>
      <c r="G104" s="41"/>
      <c r="H104" s="307">
        <f>SUM(H89:H103)</f>
        <v>0</v>
      </c>
      <c r="I104" s="41"/>
      <c r="J104" s="41"/>
      <c r="K104" s="41"/>
      <c r="L104" s="41"/>
      <c r="M104" s="41"/>
      <c r="N104" s="41"/>
      <c r="O104" s="41"/>
      <c r="P104" s="41"/>
      <c r="Q104" s="307">
        <f>SUM(Q89:Q103)</f>
        <v>0</v>
      </c>
      <c r="R104" s="41"/>
      <c r="S104" s="41"/>
      <c r="T104" s="41"/>
      <c r="U104" s="41"/>
      <c r="V104" s="41"/>
      <c r="W104" s="41"/>
      <c r="X104" s="41"/>
      <c r="Y104" s="41"/>
      <c r="Z104" s="307">
        <f>SUM(Z89:Z103)</f>
        <v>0</v>
      </c>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c r="BJ104" s="41"/>
      <c r="BK104" s="41"/>
    </row>
    <row r="105" spans="1:63" ht="18.600000000000001" thickBot="1">
      <c r="A105" s="118" t="s">
        <v>168</v>
      </c>
      <c r="B105" s="41"/>
      <c r="C105" s="41"/>
      <c r="D105" s="41"/>
      <c r="E105" s="41"/>
      <c r="F105" s="41"/>
      <c r="G105" s="41"/>
      <c r="H105" s="41"/>
      <c r="I105" s="41"/>
      <c r="J105" s="41"/>
      <c r="K105" s="41"/>
      <c r="L105" s="41"/>
      <c r="M105" s="41" t="s">
        <v>90</v>
      </c>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c r="BJ105" s="41"/>
      <c r="BK105" s="41"/>
    </row>
    <row r="106" spans="1:63" ht="18.600000000000001" thickBot="1">
      <c r="A106" s="97" t="s">
        <v>105</v>
      </c>
      <c r="B106" s="110">
        <v>0</v>
      </c>
      <c r="C106" s="110">
        <v>1</v>
      </c>
      <c r="D106" s="110">
        <v>2</v>
      </c>
      <c r="E106" s="110">
        <v>3</v>
      </c>
      <c r="F106" s="110">
        <v>4</v>
      </c>
      <c r="G106" s="110">
        <v>5</v>
      </c>
      <c r="H106" s="110">
        <v>6</v>
      </c>
      <c r="I106" s="110">
        <v>7</v>
      </c>
      <c r="J106" s="110">
        <v>8</v>
      </c>
      <c r="K106" s="368">
        <v>9</v>
      </c>
      <c r="L106" s="110">
        <v>10</v>
      </c>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c r="BJ106" s="41"/>
      <c r="BK106" s="41"/>
    </row>
    <row r="107" spans="1:63" ht="18.600000000000001" thickBot="1">
      <c r="A107" s="97" t="s">
        <v>104</v>
      </c>
      <c r="B107" s="128" t="str">
        <f>IF(B106="","",VLOOKUP(B106,案件コード!$A$1:$B$31,2,FALSE()))</f>
        <v>Webデザイン</v>
      </c>
      <c r="C107" s="128" t="str">
        <f>IF(C106="","",VLOOKUP(C106,案件コード!$A$1:$B$31,2,FALSE()))</f>
        <v>プログラミング</v>
      </c>
      <c r="D107" s="128" t="str">
        <f>IF(D106="","",VLOOKUP(D106,案件コード!$A$1:$B$31,2,FALSE()))</f>
        <v>ライティング</v>
      </c>
      <c r="E107" s="128">
        <f>IF(E106="","",VLOOKUP(E106,案件コード!$A$1:$B$31,2,FALSE()))</f>
        <v>0</v>
      </c>
      <c r="F107" s="128">
        <f>IF(F106="","",VLOOKUP(F106,案件コード!$A$1:$B$31,2,FALSE()))</f>
        <v>0</v>
      </c>
      <c r="G107" s="128">
        <f>IF(G106="","",VLOOKUP(G106,案件コード!$A$1:$B$31,2,FALSE()))</f>
        <v>0</v>
      </c>
      <c r="H107" s="128">
        <f>IF(H106="","",VLOOKUP(H106,案件コード!$A$1:$B$31,2,FALSE()))</f>
        <v>0</v>
      </c>
      <c r="I107" s="128">
        <f>IF(I106="","",VLOOKUP(I106,案件コード!$A$1:$B$31,2,FALSE()))</f>
        <v>0</v>
      </c>
      <c r="J107" s="128">
        <f>IF(J106="","",VLOOKUP(J106,案件コード!$A$1:$B$31,2,FALSE()))</f>
        <v>0</v>
      </c>
      <c r="K107" s="124">
        <f>IF(K106="","",VLOOKUP(K106,案件コード!$A$1:$B$31,2,FALSE()))</f>
        <v>0</v>
      </c>
      <c r="L107" s="110">
        <f>IF(L106="","",VLOOKUP(L106,案件コード!$A$1:$B$31,2,FALSE()))</f>
        <v>0</v>
      </c>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c r="BJ107" s="41"/>
      <c r="BK107" s="41"/>
    </row>
    <row r="108" spans="1:63" ht="18.600000000000001" thickBot="1">
      <c r="A108" s="97" t="s">
        <v>52</v>
      </c>
      <c r="B108" s="125"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C108" s="126"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D108" s="126"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E108" s="126"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F108" s="126"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G108" s="126"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26"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26"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27"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28"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29"/>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c r="BJ108" s="41"/>
      <c r="BK108" s="41"/>
    </row>
    <row r="109" spans="1:63" ht="18.600000000000001" thickBot="1">
      <c r="A109" s="97" t="s">
        <v>51</v>
      </c>
      <c r="B109" s="130"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31"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31"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E109" s="131"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F109" s="131"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31"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31"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31"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31"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32"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29"/>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c r="BJ109" s="41"/>
      <c r="BK109" s="41"/>
    </row>
    <row r="110" spans="1:63" ht="18.600000000000001" thickBot="1">
      <c r="A110" s="2"/>
      <c r="B110" s="2"/>
      <c r="C110" s="2"/>
      <c r="D110" s="2"/>
      <c r="E110" s="2"/>
      <c r="F110" s="2"/>
      <c r="G110" s="2"/>
      <c r="H110" s="2"/>
      <c r="I110" s="2"/>
      <c r="J110" s="2"/>
      <c r="K110" s="2"/>
    </row>
    <row r="111" spans="1:63" ht="18.600000000000001" thickBot="1">
      <c r="A111" s="4" t="s">
        <v>167</v>
      </c>
      <c r="D111" t="s">
        <v>89</v>
      </c>
      <c r="H111" s="5" t="s">
        <v>103</v>
      </c>
      <c r="I111" s="188" t="s">
        <v>96</v>
      </c>
      <c r="J111" s="186" t="s">
        <v>95</v>
      </c>
      <c r="K111" s="187" t="s">
        <v>94</v>
      </c>
      <c r="M111" s="5" t="s">
        <v>87</v>
      </c>
      <c r="N111" s="188" t="s">
        <v>99</v>
      </c>
      <c r="O111" s="186" t="s">
        <v>97</v>
      </c>
      <c r="P111" s="187" t="s">
        <v>98</v>
      </c>
    </row>
    <row r="112" spans="1:63">
      <c r="A112" s="7"/>
      <c r="G112" t="s">
        <v>242</v>
      </c>
      <c r="H112" t="s">
        <v>243</v>
      </c>
      <c r="I112" s="189"/>
      <c r="J112" t="s">
        <v>269</v>
      </c>
      <c r="K112" s="189"/>
      <c r="M112" s="2"/>
      <c r="N112" s="189"/>
      <c r="O112" s="189"/>
      <c r="P112" s="189"/>
    </row>
    <row r="113" spans="1:10" ht="18.600000000000001" thickBot="1">
      <c r="B113" s="3" t="s">
        <v>166</v>
      </c>
      <c r="G113" t="s">
        <v>102</v>
      </c>
      <c r="H113" t="s">
        <v>268</v>
      </c>
      <c r="I113" t="s">
        <v>100</v>
      </c>
      <c r="J113" t="s">
        <v>101</v>
      </c>
    </row>
    <row r="114" spans="1:10" ht="18.600000000000001" thickBot="1">
      <c r="A114" s="11" t="s">
        <v>88</v>
      </c>
      <c r="B114" s="384" t="s">
        <v>83</v>
      </c>
      <c r="C114" s="384"/>
      <c r="D114" s="384"/>
      <c r="E114" s="384"/>
      <c r="F114" s="384"/>
      <c r="G114" s="12" t="s">
        <v>84</v>
      </c>
      <c r="H114" s="12" t="s">
        <v>85</v>
      </c>
      <c r="I114" s="12" t="s">
        <v>86</v>
      </c>
      <c r="J114" s="13" t="s">
        <v>87</v>
      </c>
    </row>
    <row r="115" spans="1:10">
      <c r="A115" s="14">
        <v>1</v>
      </c>
      <c r="B115" s="374"/>
      <c r="C115" s="374"/>
      <c r="D115" s="374"/>
      <c r="E115" s="374"/>
      <c r="F115" s="374"/>
      <c r="G115" s="27"/>
      <c r="H115" s="27"/>
      <c r="I115" s="30"/>
      <c r="J115" s="31"/>
    </row>
    <row r="116" spans="1:10">
      <c r="A116" s="15">
        <v>2</v>
      </c>
      <c r="B116" s="380"/>
      <c r="C116" s="380"/>
      <c r="D116" s="380"/>
      <c r="E116" s="380"/>
      <c r="F116" s="380"/>
      <c r="G116" s="28"/>
      <c r="H116" s="27"/>
      <c r="I116" s="32"/>
      <c r="J116" s="33"/>
    </row>
    <row r="117" spans="1:10">
      <c r="A117" s="15">
        <v>3</v>
      </c>
      <c r="B117" s="380"/>
      <c r="C117" s="380"/>
      <c r="D117" s="380"/>
      <c r="E117" s="380"/>
      <c r="F117" s="380"/>
      <c r="G117" s="28"/>
      <c r="H117" s="27"/>
      <c r="I117" s="32"/>
      <c r="J117" s="33"/>
    </row>
    <row r="118" spans="1:10">
      <c r="A118" s="15">
        <v>4</v>
      </c>
      <c r="B118" s="380"/>
      <c r="C118" s="380"/>
      <c r="D118" s="380"/>
      <c r="E118" s="380"/>
      <c r="F118" s="380"/>
      <c r="G118" s="28"/>
      <c r="H118" s="28"/>
      <c r="I118" s="32"/>
      <c r="J118" s="33"/>
    </row>
    <row r="119" spans="1:10">
      <c r="A119" s="15">
        <v>5</v>
      </c>
      <c r="B119" s="380"/>
      <c r="C119" s="380"/>
      <c r="D119" s="380"/>
      <c r="E119" s="380"/>
      <c r="F119" s="380"/>
      <c r="G119" s="28"/>
      <c r="H119" s="28"/>
      <c r="I119" s="32"/>
      <c r="J119" s="33"/>
    </row>
    <row r="120" spans="1:10">
      <c r="A120" s="15">
        <v>6</v>
      </c>
      <c r="B120" s="380"/>
      <c r="C120" s="380"/>
      <c r="D120" s="380"/>
      <c r="E120" s="380"/>
      <c r="F120" s="380"/>
      <c r="G120" s="28"/>
      <c r="H120" s="28"/>
      <c r="I120" s="32"/>
      <c r="J120" s="33"/>
    </row>
    <row r="121" spans="1:10">
      <c r="A121" s="15">
        <v>7</v>
      </c>
      <c r="B121" s="380"/>
      <c r="C121" s="380"/>
      <c r="D121" s="380"/>
      <c r="E121" s="380"/>
      <c r="F121" s="380"/>
      <c r="G121" s="28"/>
      <c r="H121" s="28"/>
      <c r="I121" s="32"/>
      <c r="J121" s="33"/>
    </row>
    <row r="122" spans="1:10">
      <c r="A122" s="15">
        <v>8</v>
      </c>
      <c r="B122" s="380"/>
      <c r="C122" s="380"/>
      <c r="D122" s="380"/>
      <c r="E122" s="380"/>
      <c r="F122" s="380"/>
      <c r="G122" s="28"/>
      <c r="H122" s="28"/>
      <c r="I122" s="32"/>
      <c r="J122" s="33"/>
    </row>
    <row r="123" spans="1:10">
      <c r="A123" s="15">
        <v>9</v>
      </c>
      <c r="B123" s="380"/>
      <c r="C123" s="380"/>
      <c r="D123" s="380"/>
      <c r="E123" s="380"/>
      <c r="F123" s="380"/>
      <c r="G123" s="28"/>
      <c r="H123" s="28"/>
      <c r="I123" s="32"/>
      <c r="J123" s="33"/>
    </row>
    <row r="124" spans="1:10">
      <c r="A124" s="15">
        <v>10</v>
      </c>
      <c r="B124" s="380"/>
      <c r="C124" s="380"/>
      <c r="D124" s="380"/>
      <c r="E124" s="380"/>
      <c r="F124" s="380"/>
      <c r="G124" s="28"/>
      <c r="H124" s="28"/>
      <c r="I124" s="32"/>
      <c r="J124" s="33"/>
    </row>
    <row r="125" spans="1:10">
      <c r="A125" s="15">
        <v>11</v>
      </c>
      <c r="B125" s="380"/>
      <c r="C125" s="380"/>
      <c r="D125" s="380"/>
      <c r="E125" s="380"/>
      <c r="F125" s="380"/>
      <c r="G125" s="28"/>
      <c r="H125" s="28"/>
      <c r="I125" s="32"/>
      <c r="J125" s="33"/>
    </row>
    <row r="126" spans="1:10">
      <c r="A126" s="15">
        <v>12</v>
      </c>
      <c r="B126" s="380"/>
      <c r="C126" s="380"/>
      <c r="D126" s="380"/>
      <c r="E126" s="380"/>
      <c r="F126" s="380"/>
      <c r="G126" s="28"/>
      <c r="H126" s="28"/>
      <c r="I126" s="32"/>
      <c r="J126" s="33"/>
    </row>
    <row r="127" spans="1:10">
      <c r="A127" s="15">
        <v>13</v>
      </c>
      <c r="B127" s="380"/>
      <c r="C127" s="380"/>
      <c r="D127" s="380"/>
      <c r="E127" s="380"/>
      <c r="F127" s="380"/>
      <c r="G127" s="28"/>
      <c r="H127" s="28"/>
      <c r="I127" s="32"/>
      <c r="J127" s="33"/>
    </row>
    <row r="128" spans="1:10">
      <c r="A128" s="15">
        <v>14</v>
      </c>
      <c r="B128" s="380"/>
      <c r="C128" s="380"/>
      <c r="D128" s="380"/>
      <c r="E128" s="380"/>
      <c r="F128" s="380"/>
      <c r="G128" s="28"/>
      <c r="H128" s="28"/>
      <c r="I128" s="32"/>
      <c r="J128" s="33"/>
    </row>
    <row r="129" spans="1:10">
      <c r="A129" s="15">
        <v>15</v>
      </c>
      <c r="B129" s="380"/>
      <c r="C129" s="380"/>
      <c r="D129" s="380"/>
      <c r="E129" s="380"/>
      <c r="F129" s="380"/>
      <c r="G129" s="28"/>
      <c r="H129" s="28"/>
      <c r="I129" s="32"/>
      <c r="J129" s="33"/>
    </row>
    <row r="130" spans="1:10">
      <c r="A130" s="15">
        <v>16</v>
      </c>
      <c r="B130" s="380"/>
      <c r="C130" s="380"/>
      <c r="D130" s="380"/>
      <c r="E130" s="380"/>
      <c r="F130" s="380"/>
      <c r="G130" s="28"/>
      <c r="H130" s="28"/>
      <c r="I130" s="32"/>
      <c r="J130" s="33"/>
    </row>
    <row r="131" spans="1:10">
      <c r="A131" s="15">
        <v>17</v>
      </c>
      <c r="B131" s="380"/>
      <c r="C131" s="380"/>
      <c r="D131" s="380"/>
      <c r="E131" s="380"/>
      <c r="F131" s="380"/>
      <c r="G131" s="28"/>
      <c r="H131" s="28"/>
      <c r="I131" s="32"/>
      <c r="J131" s="33"/>
    </row>
    <row r="132" spans="1:10">
      <c r="A132" s="15">
        <v>18</v>
      </c>
      <c r="B132" s="380"/>
      <c r="C132" s="380"/>
      <c r="D132" s="380"/>
      <c r="E132" s="380"/>
      <c r="F132" s="380"/>
      <c r="G132" s="28"/>
      <c r="H132" s="28"/>
      <c r="I132" s="32"/>
      <c r="J132" s="33"/>
    </row>
    <row r="133" spans="1:10">
      <c r="A133" s="15">
        <v>19</v>
      </c>
      <c r="B133" s="380"/>
      <c r="C133" s="380"/>
      <c r="D133" s="380"/>
      <c r="E133" s="380"/>
      <c r="F133" s="380"/>
      <c r="G133" s="28"/>
      <c r="H133" s="28"/>
      <c r="I133" s="32"/>
      <c r="J133" s="33"/>
    </row>
    <row r="134" spans="1:10">
      <c r="A134" s="15">
        <v>20</v>
      </c>
      <c r="B134" s="380"/>
      <c r="C134" s="380"/>
      <c r="D134" s="380"/>
      <c r="E134" s="380"/>
      <c r="F134" s="380"/>
      <c r="G134" s="28"/>
      <c r="H134" s="28"/>
      <c r="I134" s="32"/>
      <c r="J134" s="33"/>
    </row>
    <row r="135" spans="1:10">
      <c r="A135" s="15">
        <v>21</v>
      </c>
      <c r="B135" s="380"/>
      <c r="C135" s="380"/>
      <c r="D135" s="380"/>
      <c r="E135" s="380"/>
      <c r="F135" s="380"/>
      <c r="G135" s="28"/>
      <c r="H135" s="28"/>
      <c r="I135" s="32"/>
      <c r="J135" s="33"/>
    </row>
    <row r="136" spans="1:10">
      <c r="A136" s="15">
        <v>22</v>
      </c>
      <c r="B136" s="380"/>
      <c r="C136" s="380"/>
      <c r="D136" s="380"/>
      <c r="E136" s="380"/>
      <c r="F136" s="380"/>
      <c r="G136" s="28"/>
      <c r="H136" s="28"/>
      <c r="I136" s="32"/>
      <c r="J136" s="33"/>
    </row>
    <row r="137" spans="1:10">
      <c r="A137" s="15">
        <v>23</v>
      </c>
      <c r="B137" s="380"/>
      <c r="C137" s="380"/>
      <c r="D137" s="380"/>
      <c r="E137" s="380"/>
      <c r="F137" s="380"/>
      <c r="G137" s="28"/>
      <c r="H137" s="28"/>
      <c r="I137" s="32"/>
      <c r="J137" s="33"/>
    </row>
    <row r="138" spans="1:10">
      <c r="A138" s="15">
        <v>24</v>
      </c>
      <c r="B138" s="380"/>
      <c r="C138" s="380"/>
      <c r="D138" s="380"/>
      <c r="E138" s="380"/>
      <c r="F138" s="380"/>
      <c r="G138" s="28"/>
      <c r="H138" s="28"/>
      <c r="I138" s="32"/>
      <c r="J138" s="33"/>
    </row>
    <row r="139" spans="1:10">
      <c r="A139" s="15">
        <v>25</v>
      </c>
      <c r="B139" s="380"/>
      <c r="C139" s="380"/>
      <c r="D139" s="380"/>
      <c r="E139" s="380"/>
      <c r="F139" s="380"/>
      <c r="G139" s="28"/>
      <c r="H139" s="28"/>
      <c r="I139" s="32"/>
      <c r="J139" s="33"/>
    </row>
    <row r="140" spans="1:10">
      <c r="A140" s="15">
        <v>26</v>
      </c>
      <c r="B140" s="380"/>
      <c r="C140" s="380"/>
      <c r="D140" s="380"/>
      <c r="E140" s="380"/>
      <c r="F140" s="380"/>
      <c r="G140" s="28"/>
      <c r="H140" s="28"/>
      <c r="I140" s="32"/>
      <c r="J140" s="33"/>
    </row>
    <row r="141" spans="1:10">
      <c r="A141" s="15">
        <v>27</v>
      </c>
      <c r="B141" s="380"/>
      <c r="C141" s="380"/>
      <c r="D141" s="380"/>
      <c r="E141" s="380"/>
      <c r="F141" s="380"/>
      <c r="G141" s="28"/>
      <c r="H141" s="28"/>
      <c r="I141" s="32"/>
      <c r="J141" s="33"/>
    </row>
    <row r="142" spans="1:10">
      <c r="A142" s="15">
        <v>28</v>
      </c>
      <c r="B142" s="380"/>
      <c r="C142" s="380"/>
      <c r="D142" s="380"/>
      <c r="E142" s="380"/>
      <c r="F142" s="380"/>
      <c r="G142" s="28"/>
      <c r="H142" s="28"/>
      <c r="I142" s="32"/>
      <c r="J142" s="33"/>
    </row>
    <row r="143" spans="1:10">
      <c r="A143" s="15">
        <v>29</v>
      </c>
      <c r="B143" s="380"/>
      <c r="C143" s="380"/>
      <c r="D143" s="380"/>
      <c r="E143" s="380"/>
      <c r="F143" s="380"/>
      <c r="G143" s="28"/>
      <c r="H143" s="28"/>
      <c r="I143" s="32"/>
      <c r="J143" s="33"/>
    </row>
    <row r="144" spans="1:10">
      <c r="A144" s="15">
        <v>30</v>
      </c>
      <c r="B144" s="380"/>
      <c r="C144" s="380"/>
      <c r="D144" s="380"/>
      <c r="E144" s="380"/>
      <c r="F144" s="380"/>
      <c r="G144" s="28"/>
      <c r="H144" s="28"/>
      <c r="I144" s="32"/>
      <c r="J144" s="33"/>
    </row>
    <row r="145" spans="1:10">
      <c r="A145" s="15">
        <v>31</v>
      </c>
      <c r="B145" s="380"/>
      <c r="C145" s="380"/>
      <c r="D145" s="380"/>
      <c r="E145" s="380"/>
      <c r="F145" s="380"/>
      <c r="G145" s="28"/>
      <c r="H145" s="28"/>
      <c r="I145" s="32"/>
      <c r="J145" s="33"/>
    </row>
    <row r="146" spans="1:10">
      <c r="A146" s="15">
        <v>32</v>
      </c>
      <c r="B146" s="380"/>
      <c r="C146" s="380"/>
      <c r="D146" s="380"/>
      <c r="E146" s="380"/>
      <c r="F146" s="380"/>
      <c r="G146" s="28"/>
      <c r="H146" s="28"/>
      <c r="I146" s="32"/>
      <c r="J146" s="33"/>
    </row>
    <row r="147" spans="1:10">
      <c r="A147" s="15">
        <v>33</v>
      </c>
      <c r="B147" s="380"/>
      <c r="C147" s="380"/>
      <c r="D147" s="380"/>
      <c r="E147" s="380"/>
      <c r="F147" s="380"/>
      <c r="G147" s="28"/>
      <c r="H147" s="28"/>
      <c r="I147" s="32"/>
      <c r="J147" s="33"/>
    </row>
    <row r="148" spans="1:10">
      <c r="A148" s="15">
        <v>34</v>
      </c>
      <c r="B148" s="380"/>
      <c r="C148" s="380"/>
      <c r="D148" s="380"/>
      <c r="E148" s="380"/>
      <c r="F148" s="380"/>
      <c r="G148" s="28"/>
      <c r="H148" s="28"/>
      <c r="I148" s="32"/>
      <c r="J148" s="33"/>
    </row>
    <row r="149" spans="1:10">
      <c r="A149" s="15">
        <v>35</v>
      </c>
      <c r="B149" s="380"/>
      <c r="C149" s="380"/>
      <c r="D149" s="380"/>
      <c r="E149" s="380"/>
      <c r="F149" s="380"/>
      <c r="G149" s="28"/>
      <c r="H149" s="28"/>
      <c r="I149" s="32"/>
      <c r="J149" s="33"/>
    </row>
    <row r="150" spans="1:10">
      <c r="A150" s="15">
        <v>36</v>
      </c>
      <c r="B150" s="380"/>
      <c r="C150" s="380"/>
      <c r="D150" s="380"/>
      <c r="E150" s="380"/>
      <c r="F150" s="380"/>
      <c r="G150" s="28"/>
      <c r="H150" s="28"/>
      <c r="I150" s="32"/>
      <c r="J150" s="33"/>
    </row>
    <row r="151" spans="1:10">
      <c r="A151" s="15">
        <v>37</v>
      </c>
      <c r="B151" s="380"/>
      <c r="C151" s="380"/>
      <c r="D151" s="380"/>
      <c r="E151" s="380"/>
      <c r="F151" s="380"/>
      <c r="G151" s="28"/>
      <c r="H151" s="28"/>
      <c r="I151" s="32"/>
      <c r="J151" s="33"/>
    </row>
    <row r="152" spans="1:10">
      <c r="A152" s="15">
        <v>38</v>
      </c>
      <c r="B152" s="380"/>
      <c r="C152" s="380"/>
      <c r="D152" s="380"/>
      <c r="E152" s="380"/>
      <c r="F152" s="380"/>
      <c r="G152" s="28"/>
      <c r="H152" s="28"/>
      <c r="I152" s="32"/>
      <c r="J152" s="33"/>
    </row>
    <row r="153" spans="1:10">
      <c r="A153" s="15">
        <v>39</v>
      </c>
      <c r="B153" s="380"/>
      <c r="C153" s="380"/>
      <c r="D153" s="380"/>
      <c r="E153" s="380"/>
      <c r="F153" s="380"/>
      <c r="G153" s="28"/>
      <c r="H153" s="28"/>
      <c r="I153" s="32"/>
      <c r="J153" s="33"/>
    </row>
    <row r="154" spans="1:10">
      <c r="A154" s="15">
        <v>40</v>
      </c>
      <c r="B154" s="380"/>
      <c r="C154" s="380"/>
      <c r="D154" s="380"/>
      <c r="E154" s="380"/>
      <c r="F154" s="380"/>
      <c r="G154" s="28"/>
      <c r="H154" s="28"/>
      <c r="I154" s="32"/>
      <c r="J154" s="33"/>
    </row>
    <row r="155" spans="1:10">
      <c r="A155" s="15">
        <v>41</v>
      </c>
      <c r="B155" s="380"/>
      <c r="C155" s="380"/>
      <c r="D155" s="380"/>
      <c r="E155" s="380"/>
      <c r="F155" s="380"/>
      <c r="G155" s="28"/>
      <c r="H155" s="28"/>
      <c r="I155" s="32"/>
      <c r="J155" s="33"/>
    </row>
    <row r="156" spans="1:10">
      <c r="A156" s="15">
        <v>42</v>
      </c>
      <c r="B156" s="380"/>
      <c r="C156" s="380"/>
      <c r="D156" s="380"/>
      <c r="E156" s="380"/>
      <c r="F156" s="380"/>
      <c r="G156" s="28"/>
      <c r="H156" s="28"/>
      <c r="I156" s="32"/>
      <c r="J156" s="33"/>
    </row>
    <row r="157" spans="1:10">
      <c r="A157" s="15">
        <v>43</v>
      </c>
      <c r="B157" s="380"/>
      <c r="C157" s="380"/>
      <c r="D157" s="380"/>
      <c r="E157" s="380"/>
      <c r="F157" s="380"/>
      <c r="G157" s="28"/>
      <c r="H157" s="28"/>
      <c r="I157" s="32"/>
      <c r="J157" s="33"/>
    </row>
    <row r="158" spans="1:10">
      <c r="A158" s="15">
        <v>44</v>
      </c>
      <c r="B158" s="380"/>
      <c r="C158" s="380"/>
      <c r="D158" s="380"/>
      <c r="E158" s="380"/>
      <c r="F158" s="380"/>
      <c r="G158" s="28"/>
      <c r="H158" s="28"/>
      <c r="I158" s="32"/>
      <c r="J158" s="33"/>
    </row>
    <row r="159" spans="1:10">
      <c r="A159" s="15">
        <v>45</v>
      </c>
      <c r="B159" s="380"/>
      <c r="C159" s="380"/>
      <c r="D159" s="380"/>
      <c r="E159" s="380"/>
      <c r="F159" s="380"/>
      <c r="G159" s="28"/>
      <c r="H159" s="28"/>
      <c r="I159" s="32"/>
      <c r="J159" s="33"/>
    </row>
    <row r="160" spans="1:10">
      <c r="A160" s="15">
        <v>46</v>
      </c>
      <c r="B160" s="380"/>
      <c r="C160" s="380"/>
      <c r="D160" s="380"/>
      <c r="E160" s="380"/>
      <c r="F160" s="380"/>
      <c r="G160" s="28"/>
      <c r="H160" s="28"/>
      <c r="I160" s="32"/>
      <c r="J160" s="33"/>
    </row>
    <row r="161" spans="1:10">
      <c r="A161" s="15">
        <v>47</v>
      </c>
      <c r="B161" s="380"/>
      <c r="C161" s="380"/>
      <c r="D161" s="380"/>
      <c r="E161" s="380"/>
      <c r="F161" s="380"/>
      <c r="G161" s="28"/>
      <c r="H161" s="28"/>
      <c r="I161" s="32"/>
      <c r="J161" s="33"/>
    </row>
    <row r="162" spans="1:10">
      <c r="A162" s="15">
        <v>48</v>
      </c>
      <c r="B162" s="380"/>
      <c r="C162" s="380"/>
      <c r="D162" s="380"/>
      <c r="E162" s="380"/>
      <c r="F162" s="380"/>
      <c r="G162" s="28"/>
      <c r="H162" s="28"/>
      <c r="I162" s="32"/>
      <c r="J162" s="33"/>
    </row>
    <row r="163" spans="1:10">
      <c r="A163" s="15">
        <v>49</v>
      </c>
      <c r="B163" s="380"/>
      <c r="C163" s="380"/>
      <c r="D163" s="380"/>
      <c r="E163" s="380"/>
      <c r="F163" s="380"/>
      <c r="G163" s="28"/>
      <c r="H163" s="28"/>
      <c r="I163" s="32"/>
      <c r="J163" s="33"/>
    </row>
    <row r="164" spans="1:10" ht="18.600000000000001" thickBot="1">
      <c r="A164" s="16">
        <v>50</v>
      </c>
      <c r="B164" s="381"/>
      <c r="C164" s="381"/>
      <c r="D164" s="381"/>
      <c r="E164" s="381"/>
      <c r="F164" s="381"/>
      <c r="G164" s="29"/>
      <c r="H164" s="29"/>
      <c r="I164" s="34"/>
      <c r="J164" s="35"/>
    </row>
  </sheetData>
  <autoFilter ref="G114:J114" xr:uid="{00000000-0001-0000-0300-000000000000}"/>
  <mergeCells count="674">
    <mergeCell ref="BI2:BJ2"/>
    <mergeCell ref="C1:D1"/>
    <mergeCell ref="A5:B5"/>
    <mergeCell ref="C5:D5"/>
    <mergeCell ref="E5:F5"/>
    <mergeCell ref="J5:K5"/>
    <mergeCell ref="L5:M5"/>
    <mergeCell ref="N5:O5"/>
    <mergeCell ref="S5:T5"/>
    <mergeCell ref="U5:V5"/>
    <mergeCell ref="AX5:AY5"/>
    <mergeCell ref="BC5:BD5"/>
    <mergeCell ref="BE5:BF5"/>
    <mergeCell ref="BG5:BH5"/>
    <mergeCell ref="A6:B6"/>
    <mergeCell ref="J6:K6"/>
    <mergeCell ref="S6:T6"/>
    <mergeCell ref="AB6:AC6"/>
    <mergeCell ref="AK6:AL6"/>
    <mergeCell ref="AT6:AU6"/>
    <mergeCell ref="BC6:BD6"/>
    <mergeCell ref="W5:X5"/>
    <mergeCell ref="AB5:AC5"/>
    <mergeCell ref="AD5:AE5"/>
    <mergeCell ref="AF5:AG5"/>
    <mergeCell ref="AK5:AL5"/>
    <mergeCell ref="AM5:AN5"/>
    <mergeCell ref="AO5:AP5"/>
    <mergeCell ref="AT5:AU5"/>
    <mergeCell ref="AV5:AW5"/>
    <mergeCell ref="B8:D8"/>
    <mergeCell ref="K8:M8"/>
    <mergeCell ref="T8:V8"/>
    <mergeCell ref="AC8:AE8"/>
    <mergeCell ref="AL8:AN8"/>
    <mergeCell ref="AU8:AW8"/>
    <mergeCell ref="BD8:BF8"/>
    <mergeCell ref="B9:D9"/>
    <mergeCell ref="K9:M9"/>
    <mergeCell ref="T9:V9"/>
    <mergeCell ref="AC9:AE9"/>
    <mergeCell ref="AL9:AN9"/>
    <mergeCell ref="AU9:AW9"/>
    <mergeCell ref="BD9:BF9"/>
    <mergeCell ref="B10:D10"/>
    <mergeCell ref="K10:M10"/>
    <mergeCell ref="T10:V10"/>
    <mergeCell ref="AC10:AE10"/>
    <mergeCell ref="AL10:AN10"/>
    <mergeCell ref="AU10:AW10"/>
    <mergeCell ref="BD10:BF10"/>
    <mergeCell ref="B11:D11"/>
    <mergeCell ref="K11:M11"/>
    <mergeCell ref="T11:V11"/>
    <mergeCell ref="AC11:AE11"/>
    <mergeCell ref="AL11:AN11"/>
    <mergeCell ref="AU11:AW11"/>
    <mergeCell ref="BD11:BF11"/>
    <mergeCell ref="B12:D12"/>
    <mergeCell ref="K12:M12"/>
    <mergeCell ref="T12:V12"/>
    <mergeCell ref="AC12:AE12"/>
    <mergeCell ref="AL12:AN12"/>
    <mergeCell ref="AU12:AW12"/>
    <mergeCell ref="BD12:BF12"/>
    <mergeCell ref="B13:D13"/>
    <mergeCell ref="K13:M13"/>
    <mergeCell ref="T13:V13"/>
    <mergeCell ref="AC13:AE13"/>
    <mergeCell ref="AL13:AN13"/>
    <mergeCell ref="AU13:AW13"/>
    <mergeCell ref="BD13:BF13"/>
    <mergeCell ref="B14:D14"/>
    <mergeCell ref="K14:M14"/>
    <mergeCell ref="T14:V14"/>
    <mergeCell ref="AC14:AE14"/>
    <mergeCell ref="AL14:AN14"/>
    <mergeCell ref="AU14:AW14"/>
    <mergeCell ref="BD14:BF14"/>
    <mergeCell ref="B15:D15"/>
    <mergeCell ref="K15:M15"/>
    <mergeCell ref="T15:V15"/>
    <mergeCell ref="AC15:AE15"/>
    <mergeCell ref="AL15:AN15"/>
    <mergeCell ref="AU15:AW15"/>
    <mergeCell ref="BD15:BF15"/>
    <mergeCell ref="B16:D16"/>
    <mergeCell ref="K16:M16"/>
    <mergeCell ref="T16:V16"/>
    <mergeCell ref="AC16:AE16"/>
    <mergeCell ref="AL16:AN16"/>
    <mergeCell ref="AU16:AW16"/>
    <mergeCell ref="BD16:BF16"/>
    <mergeCell ref="B17:D17"/>
    <mergeCell ref="K17:M17"/>
    <mergeCell ref="T17:V17"/>
    <mergeCell ref="AC17:AE17"/>
    <mergeCell ref="AL17:AN17"/>
    <mergeCell ref="AU17:AW17"/>
    <mergeCell ref="BD17:BF17"/>
    <mergeCell ref="B18:D18"/>
    <mergeCell ref="K18:M18"/>
    <mergeCell ref="T18:V18"/>
    <mergeCell ref="AC18:AE18"/>
    <mergeCell ref="AL18:AN18"/>
    <mergeCell ref="AU18:AW18"/>
    <mergeCell ref="BD18:BF18"/>
    <mergeCell ref="B19:D19"/>
    <mergeCell ref="K19:M19"/>
    <mergeCell ref="T19:V19"/>
    <mergeCell ref="AC19:AE19"/>
    <mergeCell ref="AL19:AN19"/>
    <mergeCell ref="AU19:AW19"/>
    <mergeCell ref="BD19:BF19"/>
    <mergeCell ref="B20:D20"/>
    <mergeCell ref="K20:M20"/>
    <mergeCell ref="T20:V20"/>
    <mergeCell ref="AC20:AE20"/>
    <mergeCell ref="AL20:AN20"/>
    <mergeCell ref="AU20:AW20"/>
    <mergeCell ref="BD20:BF20"/>
    <mergeCell ref="B21:D21"/>
    <mergeCell ref="K21:M21"/>
    <mergeCell ref="T21:V21"/>
    <mergeCell ref="AC21:AE21"/>
    <mergeCell ref="AL21:AN21"/>
    <mergeCell ref="AU21:AW21"/>
    <mergeCell ref="BD21:BF21"/>
    <mergeCell ref="AU22:AW22"/>
    <mergeCell ref="BD22:BF22"/>
    <mergeCell ref="B23:D23"/>
    <mergeCell ref="K23:M23"/>
    <mergeCell ref="T23:V23"/>
    <mergeCell ref="AC23:AE23"/>
    <mergeCell ref="AL23:AN23"/>
    <mergeCell ref="AU23:AW23"/>
    <mergeCell ref="BD23:BF23"/>
    <mergeCell ref="N25:O25"/>
    <mergeCell ref="S25:T25"/>
    <mergeCell ref="U25:V25"/>
    <mergeCell ref="W25:X25"/>
    <mergeCell ref="B22:D22"/>
    <mergeCell ref="K22:M22"/>
    <mergeCell ref="T22:V22"/>
    <mergeCell ref="AC22:AE22"/>
    <mergeCell ref="AL22:AN22"/>
    <mergeCell ref="BC25:BD25"/>
    <mergeCell ref="BE25:BF25"/>
    <mergeCell ref="BG25:BH25"/>
    <mergeCell ref="A26:B26"/>
    <mergeCell ref="J26:K26"/>
    <mergeCell ref="S26:T26"/>
    <mergeCell ref="AB26:AC26"/>
    <mergeCell ref="AK26:AL26"/>
    <mergeCell ref="AT26:AU26"/>
    <mergeCell ref="BC26:BD26"/>
    <mergeCell ref="AB25:AC25"/>
    <mergeCell ref="AD25:AE25"/>
    <mergeCell ref="AF25:AG25"/>
    <mergeCell ref="AK25:AL25"/>
    <mergeCell ref="AM25:AN25"/>
    <mergeCell ref="AO25:AP25"/>
    <mergeCell ref="AT25:AU25"/>
    <mergeCell ref="AV25:AW25"/>
    <mergeCell ref="AX25:AY25"/>
    <mergeCell ref="A25:B25"/>
    <mergeCell ref="C25:D25"/>
    <mergeCell ref="E25:F25"/>
    <mergeCell ref="J25:K25"/>
    <mergeCell ref="L25:M25"/>
    <mergeCell ref="B28:D28"/>
    <mergeCell ref="K28:M28"/>
    <mergeCell ref="T28:V28"/>
    <mergeCell ref="AC28:AE28"/>
    <mergeCell ref="AL28:AN28"/>
    <mergeCell ref="AU28:AW28"/>
    <mergeCell ref="BD28:BF28"/>
    <mergeCell ref="B29:D29"/>
    <mergeCell ref="K29:M29"/>
    <mergeCell ref="T29:V29"/>
    <mergeCell ref="AC29:AE29"/>
    <mergeCell ref="AL29:AN29"/>
    <mergeCell ref="AU29:AW29"/>
    <mergeCell ref="BD29:BF29"/>
    <mergeCell ref="B30:D30"/>
    <mergeCell ref="K30:M30"/>
    <mergeCell ref="T30:V30"/>
    <mergeCell ref="AC30:AE30"/>
    <mergeCell ref="AL30:AN30"/>
    <mergeCell ref="AU30:AW30"/>
    <mergeCell ref="BD30:BF30"/>
    <mergeCell ref="B31:D31"/>
    <mergeCell ref="K31:M31"/>
    <mergeCell ref="T31:V31"/>
    <mergeCell ref="AC31:AE31"/>
    <mergeCell ref="AL31:AN31"/>
    <mergeCell ref="AU31:AW31"/>
    <mergeCell ref="BD31:BF31"/>
    <mergeCell ref="B32:D32"/>
    <mergeCell ref="K32:M32"/>
    <mergeCell ref="T32:V32"/>
    <mergeCell ref="AC32:AE32"/>
    <mergeCell ref="AL32:AN32"/>
    <mergeCell ref="AU32:AW32"/>
    <mergeCell ref="BD32:BF32"/>
    <mergeCell ref="B33:D33"/>
    <mergeCell ref="K33:M33"/>
    <mergeCell ref="T33:V33"/>
    <mergeCell ref="AC33:AE33"/>
    <mergeCell ref="AL33:AN33"/>
    <mergeCell ref="AU33:AW33"/>
    <mergeCell ref="BD33:BF33"/>
    <mergeCell ref="B34:D34"/>
    <mergeCell ref="K34:M34"/>
    <mergeCell ref="T34:V34"/>
    <mergeCell ref="AC34:AE34"/>
    <mergeCell ref="AL34:AN34"/>
    <mergeCell ref="AU34:AW34"/>
    <mergeCell ref="BD34:BF34"/>
    <mergeCell ref="B35:D35"/>
    <mergeCell ref="K35:M35"/>
    <mergeCell ref="T35:V35"/>
    <mergeCell ref="AC35:AE35"/>
    <mergeCell ref="AL35:AN35"/>
    <mergeCell ref="AU35:AW35"/>
    <mergeCell ref="BD35:BF35"/>
    <mergeCell ref="B36:D36"/>
    <mergeCell ref="K36:M36"/>
    <mergeCell ref="T36:V36"/>
    <mergeCell ref="AC36:AE36"/>
    <mergeCell ref="AL36:AN36"/>
    <mergeCell ref="AU36:AW36"/>
    <mergeCell ref="BD36:BF36"/>
    <mergeCell ref="B37:D37"/>
    <mergeCell ref="K37:M37"/>
    <mergeCell ref="T37:V37"/>
    <mergeCell ref="AC37:AE37"/>
    <mergeCell ref="AL37:AN37"/>
    <mergeCell ref="AU37:AW37"/>
    <mergeCell ref="BD37:BF37"/>
    <mergeCell ref="B38:D38"/>
    <mergeCell ref="K38:M38"/>
    <mergeCell ref="T38:V38"/>
    <mergeCell ref="AC38:AE38"/>
    <mergeCell ref="AL38:AN38"/>
    <mergeCell ref="AU38:AW38"/>
    <mergeCell ref="BD38:BF38"/>
    <mergeCell ref="B39:D39"/>
    <mergeCell ref="K39:M39"/>
    <mergeCell ref="T39:V39"/>
    <mergeCell ref="AC39:AE39"/>
    <mergeCell ref="AL39:AN39"/>
    <mergeCell ref="AU39:AW39"/>
    <mergeCell ref="BD39:BF39"/>
    <mergeCell ref="B40:D40"/>
    <mergeCell ref="K40:M40"/>
    <mergeCell ref="T40:V40"/>
    <mergeCell ref="AC40:AE40"/>
    <mergeCell ref="AL40:AN40"/>
    <mergeCell ref="AU40:AW40"/>
    <mergeCell ref="BD40:BF40"/>
    <mergeCell ref="B41:D41"/>
    <mergeCell ref="K41:M41"/>
    <mergeCell ref="T41:V41"/>
    <mergeCell ref="AC41:AE41"/>
    <mergeCell ref="AL41:AN41"/>
    <mergeCell ref="AU41:AW41"/>
    <mergeCell ref="BD41:BF41"/>
    <mergeCell ref="AU42:AW42"/>
    <mergeCell ref="BD42:BF42"/>
    <mergeCell ref="B43:D43"/>
    <mergeCell ref="K43:M43"/>
    <mergeCell ref="T43:V43"/>
    <mergeCell ref="AC43:AE43"/>
    <mergeCell ref="AL43:AN43"/>
    <mergeCell ref="AU43:AW43"/>
    <mergeCell ref="BD43:BF43"/>
    <mergeCell ref="N45:O45"/>
    <mergeCell ref="S45:T45"/>
    <mergeCell ref="U45:V45"/>
    <mergeCell ref="W45:X45"/>
    <mergeCell ref="B42:D42"/>
    <mergeCell ref="K42:M42"/>
    <mergeCell ref="T42:V42"/>
    <mergeCell ref="AC42:AE42"/>
    <mergeCell ref="AL42:AN42"/>
    <mergeCell ref="BC45:BD45"/>
    <mergeCell ref="BE45:BF45"/>
    <mergeCell ref="BG45:BH45"/>
    <mergeCell ref="A46:B46"/>
    <mergeCell ref="J46:K46"/>
    <mergeCell ref="S46:T46"/>
    <mergeCell ref="AB46:AC46"/>
    <mergeCell ref="AK46:AL46"/>
    <mergeCell ref="AT46:AU46"/>
    <mergeCell ref="BC46:BD46"/>
    <mergeCell ref="AB45:AC45"/>
    <mergeCell ref="AD45:AE45"/>
    <mergeCell ref="AF45:AG45"/>
    <mergeCell ref="AK45:AL45"/>
    <mergeCell ref="AM45:AN45"/>
    <mergeCell ref="AO45:AP45"/>
    <mergeCell ref="AT45:AU45"/>
    <mergeCell ref="AV45:AW45"/>
    <mergeCell ref="AX45:AY45"/>
    <mergeCell ref="A45:B45"/>
    <mergeCell ref="C45:D45"/>
    <mergeCell ref="E45:F45"/>
    <mergeCell ref="J45:K45"/>
    <mergeCell ref="L45:M45"/>
    <mergeCell ref="B48:D48"/>
    <mergeCell ref="K48:M48"/>
    <mergeCell ref="T48:V48"/>
    <mergeCell ref="AC48:AE48"/>
    <mergeCell ref="AL48:AN48"/>
    <mergeCell ref="AU48:AW48"/>
    <mergeCell ref="BD48:BF48"/>
    <mergeCell ref="B49:D49"/>
    <mergeCell ref="K49:M49"/>
    <mergeCell ref="T49:V49"/>
    <mergeCell ref="AC49:AE49"/>
    <mergeCell ref="AL49:AN49"/>
    <mergeCell ref="AU49:AW49"/>
    <mergeCell ref="BD49:BF49"/>
    <mergeCell ref="B50:D50"/>
    <mergeCell ref="K50:M50"/>
    <mergeCell ref="T50:V50"/>
    <mergeCell ref="AC50:AE50"/>
    <mergeCell ref="AL50:AN50"/>
    <mergeCell ref="AU50:AW50"/>
    <mergeCell ref="BD50:BF50"/>
    <mergeCell ref="B51:D51"/>
    <mergeCell ref="K51:M51"/>
    <mergeCell ref="T51:V51"/>
    <mergeCell ref="AC51:AE51"/>
    <mergeCell ref="AL51:AN51"/>
    <mergeCell ref="AU51:AW51"/>
    <mergeCell ref="BD51:BF51"/>
    <mergeCell ref="B52:D52"/>
    <mergeCell ref="K52:M52"/>
    <mergeCell ref="T52:V52"/>
    <mergeCell ref="AC52:AE52"/>
    <mergeCell ref="AL52:AN52"/>
    <mergeCell ref="AU52:AW52"/>
    <mergeCell ref="BD52:BF52"/>
    <mergeCell ref="B53:D53"/>
    <mergeCell ref="K53:M53"/>
    <mergeCell ref="T53:V53"/>
    <mergeCell ref="AC53:AE53"/>
    <mergeCell ref="AL53:AN53"/>
    <mergeCell ref="AU53:AW53"/>
    <mergeCell ref="BD53:BF53"/>
    <mergeCell ref="B54:D54"/>
    <mergeCell ref="K54:M54"/>
    <mergeCell ref="T54:V54"/>
    <mergeCell ref="AC54:AE54"/>
    <mergeCell ref="AL54:AN54"/>
    <mergeCell ref="AU54:AW54"/>
    <mergeCell ref="BD54:BF54"/>
    <mergeCell ref="B55:D55"/>
    <mergeCell ref="K55:M55"/>
    <mergeCell ref="T55:V55"/>
    <mergeCell ref="AC55:AE55"/>
    <mergeCell ref="AL55:AN55"/>
    <mergeCell ref="AU55:AW55"/>
    <mergeCell ref="BD55:BF55"/>
    <mergeCell ref="B56:D56"/>
    <mergeCell ref="K56:M56"/>
    <mergeCell ref="T56:V56"/>
    <mergeCell ref="AC56:AE56"/>
    <mergeCell ref="AL56:AN56"/>
    <mergeCell ref="AU56:AW56"/>
    <mergeCell ref="BD56:BF56"/>
    <mergeCell ref="B57:D57"/>
    <mergeCell ref="K57:M57"/>
    <mergeCell ref="T57:V57"/>
    <mergeCell ref="AC57:AE57"/>
    <mergeCell ref="AL57:AN57"/>
    <mergeCell ref="AU57:AW57"/>
    <mergeCell ref="BD57:BF57"/>
    <mergeCell ref="B58:D58"/>
    <mergeCell ref="K58:M58"/>
    <mergeCell ref="T58:V58"/>
    <mergeCell ref="AC58:AE58"/>
    <mergeCell ref="AL58:AN58"/>
    <mergeCell ref="AU58:AW58"/>
    <mergeCell ref="BD58:BF58"/>
    <mergeCell ref="B59:D59"/>
    <mergeCell ref="K59:M59"/>
    <mergeCell ref="T59:V59"/>
    <mergeCell ref="AC59:AE59"/>
    <mergeCell ref="AL59:AN59"/>
    <mergeCell ref="AU59:AW59"/>
    <mergeCell ref="BD59:BF59"/>
    <mergeCell ref="B60:D60"/>
    <mergeCell ref="K60:M60"/>
    <mergeCell ref="T60:V60"/>
    <mergeCell ref="AC60:AE60"/>
    <mergeCell ref="AL60:AN60"/>
    <mergeCell ref="AU60:AW60"/>
    <mergeCell ref="BD60:BF60"/>
    <mergeCell ref="B61:D61"/>
    <mergeCell ref="K61:M61"/>
    <mergeCell ref="T61:V61"/>
    <mergeCell ref="AC61:AE61"/>
    <mergeCell ref="AL61:AN61"/>
    <mergeCell ref="AU61:AW61"/>
    <mergeCell ref="BD61:BF61"/>
    <mergeCell ref="AU62:AW62"/>
    <mergeCell ref="BD62:BF62"/>
    <mergeCell ref="B63:D63"/>
    <mergeCell ref="K63:M63"/>
    <mergeCell ref="T63:V63"/>
    <mergeCell ref="AC63:AE63"/>
    <mergeCell ref="AL63:AN63"/>
    <mergeCell ref="AU63:AW63"/>
    <mergeCell ref="BD63:BF63"/>
    <mergeCell ref="N65:O65"/>
    <mergeCell ref="S65:T65"/>
    <mergeCell ref="U65:V65"/>
    <mergeCell ref="W65:X65"/>
    <mergeCell ref="B62:D62"/>
    <mergeCell ref="K62:M62"/>
    <mergeCell ref="T62:V62"/>
    <mergeCell ref="AC62:AE62"/>
    <mergeCell ref="AL62:AN62"/>
    <mergeCell ref="BC65:BD65"/>
    <mergeCell ref="BE65:BF65"/>
    <mergeCell ref="BG65:BH65"/>
    <mergeCell ref="A66:B66"/>
    <mergeCell ref="J66:K66"/>
    <mergeCell ref="S66:T66"/>
    <mergeCell ref="AB66:AC66"/>
    <mergeCell ref="AK66:AL66"/>
    <mergeCell ref="AT66:AU66"/>
    <mergeCell ref="BC66:BD66"/>
    <mergeCell ref="AB65:AC65"/>
    <mergeCell ref="AD65:AE65"/>
    <mergeCell ref="AF65:AG65"/>
    <mergeCell ref="AK65:AL65"/>
    <mergeCell ref="AM65:AN65"/>
    <mergeCell ref="AO65:AP65"/>
    <mergeCell ref="AT65:AU65"/>
    <mergeCell ref="AV65:AW65"/>
    <mergeCell ref="AX65:AY65"/>
    <mergeCell ref="A65:B65"/>
    <mergeCell ref="C65:D65"/>
    <mergeCell ref="E65:F65"/>
    <mergeCell ref="J65:K65"/>
    <mergeCell ref="L65:M65"/>
    <mergeCell ref="B68:D68"/>
    <mergeCell ref="K68:M68"/>
    <mergeCell ref="T68:V68"/>
    <mergeCell ref="AC68:AE68"/>
    <mergeCell ref="AL68:AN68"/>
    <mergeCell ref="AU68:AW68"/>
    <mergeCell ref="BD68:BF68"/>
    <mergeCell ref="B69:D69"/>
    <mergeCell ref="K69:M69"/>
    <mergeCell ref="T69:V69"/>
    <mergeCell ref="AC69:AE69"/>
    <mergeCell ref="AL69:AN69"/>
    <mergeCell ref="AU69:AW69"/>
    <mergeCell ref="BD69:BF69"/>
    <mergeCell ref="B70:D70"/>
    <mergeCell ref="K70:M70"/>
    <mergeCell ref="T70:V70"/>
    <mergeCell ref="AC70:AE70"/>
    <mergeCell ref="AL70:AN70"/>
    <mergeCell ref="AU70:AW70"/>
    <mergeCell ref="BD70:BF70"/>
    <mergeCell ref="B71:D71"/>
    <mergeCell ref="K71:M71"/>
    <mergeCell ref="T71:V71"/>
    <mergeCell ref="AC71:AE71"/>
    <mergeCell ref="AL71:AN71"/>
    <mergeCell ref="AU71:AW71"/>
    <mergeCell ref="BD71:BF71"/>
    <mergeCell ref="B72:D72"/>
    <mergeCell ref="K72:M72"/>
    <mergeCell ref="T72:V72"/>
    <mergeCell ref="AC72:AE72"/>
    <mergeCell ref="AL72:AN72"/>
    <mergeCell ref="AU72:AW72"/>
    <mergeCell ref="BD72:BF72"/>
    <mergeCell ref="B73:D73"/>
    <mergeCell ref="K73:M73"/>
    <mergeCell ref="T73:V73"/>
    <mergeCell ref="AC73:AE73"/>
    <mergeCell ref="AL73:AN73"/>
    <mergeCell ref="AU73:AW73"/>
    <mergeCell ref="BD73:BF73"/>
    <mergeCell ref="B74:D74"/>
    <mergeCell ref="K74:M74"/>
    <mergeCell ref="T74:V74"/>
    <mergeCell ref="AC74:AE74"/>
    <mergeCell ref="AL74:AN74"/>
    <mergeCell ref="AU74:AW74"/>
    <mergeCell ref="BD74:BF74"/>
    <mergeCell ref="B75:D75"/>
    <mergeCell ref="K75:M75"/>
    <mergeCell ref="T75:V75"/>
    <mergeCell ref="AC75:AE75"/>
    <mergeCell ref="AL75:AN75"/>
    <mergeCell ref="AU75:AW75"/>
    <mergeCell ref="BD75:BF75"/>
    <mergeCell ref="B76:D76"/>
    <mergeCell ref="K76:M76"/>
    <mergeCell ref="T76:V76"/>
    <mergeCell ref="AC76:AE76"/>
    <mergeCell ref="AL76:AN76"/>
    <mergeCell ref="AU76:AW76"/>
    <mergeCell ref="BD76:BF76"/>
    <mergeCell ref="B77:D77"/>
    <mergeCell ref="K77:M77"/>
    <mergeCell ref="T77:V77"/>
    <mergeCell ref="AC77:AE77"/>
    <mergeCell ref="AL77:AN77"/>
    <mergeCell ref="AU77:AW77"/>
    <mergeCell ref="BD77:BF77"/>
    <mergeCell ref="B78:D78"/>
    <mergeCell ref="K78:M78"/>
    <mergeCell ref="T78:V78"/>
    <mergeCell ref="AC78:AE78"/>
    <mergeCell ref="AL78:AN78"/>
    <mergeCell ref="AU78:AW78"/>
    <mergeCell ref="BD78:BF78"/>
    <mergeCell ref="B79:D79"/>
    <mergeCell ref="K79:M79"/>
    <mergeCell ref="T79:V79"/>
    <mergeCell ref="AC79:AE79"/>
    <mergeCell ref="AL79:AN79"/>
    <mergeCell ref="AU79:AW79"/>
    <mergeCell ref="BD79:BF79"/>
    <mergeCell ref="B80:D80"/>
    <mergeCell ref="K80:M80"/>
    <mergeCell ref="T80:V80"/>
    <mergeCell ref="AC80:AE80"/>
    <mergeCell ref="AL80:AN80"/>
    <mergeCell ref="AU80:AW80"/>
    <mergeCell ref="BD80:BF80"/>
    <mergeCell ref="B81:D81"/>
    <mergeCell ref="K81:M81"/>
    <mergeCell ref="T81:V81"/>
    <mergeCell ref="AC81:AE81"/>
    <mergeCell ref="AL81:AN81"/>
    <mergeCell ref="AU81:AW81"/>
    <mergeCell ref="BD81:BF81"/>
    <mergeCell ref="B82:D82"/>
    <mergeCell ref="K82:M82"/>
    <mergeCell ref="T82:V82"/>
    <mergeCell ref="AC82:AE82"/>
    <mergeCell ref="AL82:AN82"/>
    <mergeCell ref="AU82:AW82"/>
    <mergeCell ref="BD82:BF82"/>
    <mergeCell ref="B83:D83"/>
    <mergeCell ref="K83:M83"/>
    <mergeCell ref="T83:V83"/>
    <mergeCell ref="AC83:AE83"/>
    <mergeCell ref="AL83:AN83"/>
    <mergeCell ref="AU83:AW83"/>
    <mergeCell ref="BD83:BF83"/>
    <mergeCell ref="A85:B85"/>
    <mergeCell ref="C85:D85"/>
    <mergeCell ref="E85:F85"/>
    <mergeCell ref="J85:K85"/>
    <mergeCell ref="L85:M85"/>
    <mergeCell ref="N85:O85"/>
    <mergeCell ref="S85:T85"/>
    <mergeCell ref="U85:V85"/>
    <mergeCell ref="W85:X85"/>
    <mergeCell ref="A86:B86"/>
    <mergeCell ref="J86:K86"/>
    <mergeCell ref="S86:T86"/>
    <mergeCell ref="B88:D88"/>
    <mergeCell ref="K88:M88"/>
    <mergeCell ref="T88:V88"/>
    <mergeCell ref="B89:D89"/>
    <mergeCell ref="K89:M89"/>
    <mergeCell ref="T89:V89"/>
    <mergeCell ref="B90:D90"/>
    <mergeCell ref="K90:M90"/>
    <mergeCell ref="T90:V90"/>
    <mergeCell ref="B91:D91"/>
    <mergeCell ref="K91:M91"/>
    <mergeCell ref="T91:V91"/>
    <mergeCell ref="B92:D92"/>
    <mergeCell ref="K92:M92"/>
    <mergeCell ref="T92:V92"/>
    <mergeCell ref="B93:D93"/>
    <mergeCell ref="K93:M93"/>
    <mergeCell ref="T93:V93"/>
    <mergeCell ref="B94:D94"/>
    <mergeCell ref="K94:M94"/>
    <mergeCell ref="T94:V94"/>
    <mergeCell ref="B95:D95"/>
    <mergeCell ref="K95:M95"/>
    <mergeCell ref="T95:V95"/>
    <mergeCell ref="B96:D96"/>
    <mergeCell ref="K96:M96"/>
    <mergeCell ref="T96:V96"/>
    <mergeCell ref="B97:D97"/>
    <mergeCell ref="K97:M97"/>
    <mergeCell ref="T97:V97"/>
    <mergeCell ref="B98:D98"/>
    <mergeCell ref="K98:M98"/>
    <mergeCell ref="T98:V98"/>
    <mergeCell ref="B102:D102"/>
    <mergeCell ref="K102:M102"/>
    <mergeCell ref="T102:V102"/>
    <mergeCell ref="B103:D103"/>
    <mergeCell ref="K103:M103"/>
    <mergeCell ref="T103:V103"/>
    <mergeCell ref="B99:D99"/>
    <mergeCell ref="K99:M99"/>
    <mergeCell ref="T99:V99"/>
    <mergeCell ref="B100:D100"/>
    <mergeCell ref="K100:M100"/>
    <mergeCell ref="T100:V100"/>
    <mergeCell ref="B101:D101"/>
    <mergeCell ref="K101:M101"/>
    <mergeCell ref="T101:V101"/>
    <mergeCell ref="B114:F114"/>
    <mergeCell ref="B115:F115"/>
    <mergeCell ref="B116:F116"/>
    <mergeCell ref="B117:F117"/>
    <mergeCell ref="B118:F118"/>
    <mergeCell ref="B119:F119"/>
    <mergeCell ref="B120:F120"/>
    <mergeCell ref="B121:F121"/>
    <mergeCell ref="B122:F122"/>
    <mergeCell ref="B123:F123"/>
    <mergeCell ref="B124:F124"/>
    <mergeCell ref="B125:F125"/>
    <mergeCell ref="B126:F126"/>
    <mergeCell ref="B127:F127"/>
    <mergeCell ref="B128:F128"/>
    <mergeCell ref="B129:F129"/>
    <mergeCell ref="B130:F130"/>
    <mergeCell ref="B131:F131"/>
    <mergeCell ref="B149:F149"/>
    <mergeCell ref="B132:F132"/>
    <mergeCell ref="B133:F133"/>
    <mergeCell ref="B134:F134"/>
    <mergeCell ref="B135:F135"/>
    <mergeCell ref="B136:F136"/>
    <mergeCell ref="B137:F137"/>
    <mergeCell ref="B138:F138"/>
    <mergeCell ref="B139:F139"/>
    <mergeCell ref="B140:F140"/>
    <mergeCell ref="B159:F159"/>
    <mergeCell ref="B160:F160"/>
    <mergeCell ref="B161:F161"/>
    <mergeCell ref="B162:F162"/>
    <mergeCell ref="B163:F163"/>
    <mergeCell ref="B164:F164"/>
    <mergeCell ref="F1:G1"/>
    <mergeCell ref="B150:F150"/>
    <mergeCell ref="B151:F151"/>
    <mergeCell ref="B152:F152"/>
    <mergeCell ref="B153:F153"/>
    <mergeCell ref="B154:F154"/>
    <mergeCell ref="B155:F155"/>
    <mergeCell ref="B156:F156"/>
    <mergeCell ref="B157:F157"/>
    <mergeCell ref="B158:F158"/>
    <mergeCell ref="B141:F141"/>
    <mergeCell ref="B142:F142"/>
    <mergeCell ref="B143:F143"/>
    <mergeCell ref="B144:F144"/>
    <mergeCell ref="B145:F145"/>
    <mergeCell ref="B146:F146"/>
    <mergeCell ref="B147:F147"/>
    <mergeCell ref="B148:F148"/>
  </mergeCells>
  <phoneticPr fontId="5"/>
  <conditionalFormatting sqref="E9:E23">
    <cfRule type="cellIs" dxfId="135" priority="8" operator="equal">
      <formula>0</formula>
    </cfRule>
    <cfRule type="cellIs" dxfId="134" priority="9" operator="equal">
      <formula>0</formula>
    </cfRule>
  </conditionalFormatting>
  <conditionalFormatting sqref="E29:E43">
    <cfRule type="cellIs" dxfId="133" priority="10" operator="equal">
      <formula>0</formula>
    </cfRule>
    <cfRule type="cellIs" dxfId="132" priority="11" operator="equal">
      <formula>0</formula>
    </cfRule>
  </conditionalFormatting>
  <conditionalFormatting sqref="E49:E63">
    <cfRule type="cellIs" dxfId="131" priority="12" operator="equal">
      <formula>0</formula>
    </cfRule>
    <cfRule type="cellIs" dxfId="130" priority="13" operator="equal">
      <formula>0</formula>
    </cfRule>
  </conditionalFormatting>
  <conditionalFormatting sqref="E69:E83">
    <cfRule type="cellIs" dxfId="129" priority="14" operator="equal">
      <formula>0</formula>
    </cfRule>
    <cfRule type="cellIs" dxfId="128" priority="15" operator="equal">
      <formula>0</formula>
    </cfRule>
  </conditionalFormatting>
  <conditionalFormatting sqref="E89:E103">
    <cfRule type="cellIs" dxfId="127" priority="16" operator="equal">
      <formula>0</formula>
    </cfRule>
    <cfRule type="cellIs" dxfId="126" priority="17" operator="equal">
      <formula>0</formula>
    </cfRule>
  </conditionalFormatting>
  <conditionalFormatting sqref="N9:N23">
    <cfRule type="cellIs" dxfId="125" priority="18" operator="equal">
      <formula>0</formula>
    </cfRule>
    <cfRule type="cellIs" dxfId="124" priority="19" operator="equal">
      <formula>0</formula>
    </cfRule>
  </conditionalFormatting>
  <conditionalFormatting sqref="N29:N43">
    <cfRule type="cellIs" dxfId="123" priority="20" operator="equal">
      <formula>0</formula>
    </cfRule>
    <cfRule type="cellIs" dxfId="122" priority="21" operator="equal">
      <formula>0</formula>
    </cfRule>
  </conditionalFormatting>
  <conditionalFormatting sqref="N49:N63">
    <cfRule type="cellIs" dxfId="121" priority="22" operator="equal">
      <formula>0</formula>
    </cfRule>
    <cfRule type="cellIs" dxfId="120" priority="23" operator="equal">
      <formula>0</formula>
    </cfRule>
  </conditionalFormatting>
  <conditionalFormatting sqref="N69:N83">
    <cfRule type="cellIs" dxfId="119" priority="24" operator="equal">
      <formula>0</formula>
    </cfRule>
    <cfRule type="cellIs" dxfId="118" priority="25" operator="equal">
      <formula>0</formula>
    </cfRule>
  </conditionalFormatting>
  <conditionalFormatting sqref="N89:N103">
    <cfRule type="cellIs" dxfId="117" priority="26" operator="equal">
      <formula>0</formula>
    </cfRule>
    <cfRule type="cellIs" dxfId="116" priority="27" operator="equal">
      <formula>0</formula>
    </cfRule>
  </conditionalFormatting>
  <conditionalFormatting sqref="W9:W23">
    <cfRule type="cellIs" dxfId="115" priority="28" operator="equal">
      <formula>0</formula>
    </cfRule>
    <cfRule type="cellIs" dxfId="114" priority="29" operator="equal">
      <formula>0</formula>
    </cfRule>
  </conditionalFormatting>
  <conditionalFormatting sqref="W29:W43">
    <cfRule type="cellIs" dxfId="113" priority="30" operator="equal">
      <formula>0</formula>
    </cfRule>
    <cfRule type="cellIs" dxfId="112" priority="31" operator="equal">
      <formula>0</formula>
    </cfRule>
  </conditionalFormatting>
  <conditionalFormatting sqref="W49:W63">
    <cfRule type="cellIs" dxfId="111" priority="32" operator="equal">
      <formula>0</formula>
    </cfRule>
    <cfRule type="cellIs" dxfId="110" priority="33" operator="equal">
      <formula>0</formula>
    </cfRule>
  </conditionalFormatting>
  <conditionalFormatting sqref="W69:W83">
    <cfRule type="cellIs" dxfId="109" priority="34" operator="equal">
      <formula>0</formula>
    </cfRule>
    <cfRule type="cellIs" dxfId="108" priority="35" operator="equal">
      <formula>0</formula>
    </cfRule>
  </conditionalFormatting>
  <conditionalFormatting sqref="W89:W103">
    <cfRule type="cellIs" dxfId="107" priority="36" operator="equal">
      <formula>0</formula>
    </cfRule>
    <cfRule type="cellIs" dxfId="106" priority="37" operator="equal">
      <formula>0</formula>
    </cfRule>
  </conditionalFormatting>
  <conditionalFormatting sqref="AF9:AF23">
    <cfRule type="cellIs" dxfId="105" priority="38" operator="equal">
      <formula>0</formula>
    </cfRule>
    <cfRule type="cellIs" dxfId="104" priority="39" operator="equal">
      <formula>0</formula>
    </cfRule>
  </conditionalFormatting>
  <conditionalFormatting sqref="AF29:AF43">
    <cfRule type="cellIs" dxfId="103" priority="40" operator="equal">
      <formula>0</formula>
    </cfRule>
    <cfRule type="cellIs" dxfId="102" priority="41" operator="equal">
      <formula>0</formula>
    </cfRule>
  </conditionalFormatting>
  <conditionalFormatting sqref="AF49:AF63">
    <cfRule type="cellIs" dxfId="101" priority="42" operator="equal">
      <formula>0</formula>
    </cfRule>
    <cfRule type="cellIs" dxfId="100" priority="43" operator="equal">
      <formula>0</formula>
    </cfRule>
  </conditionalFormatting>
  <conditionalFormatting sqref="AF69:AF83">
    <cfRule type="cellIs" dxfId="99" priority="44" operator="equal">
      <formula>0</formula>
    </cfRule>
    <cfRule type="cellIs" dxfId="98" priority="45" operator="equal">
      <formula>0</formula>
    </cfRule>
  </conditionalFormatting>
  <conditionalFormatting sqref="AO9:AO23">
    <cfRule type="cellIs" dxfId="97" priority="46" operator="equal">
      <formula>0</formula>
    </cfRule>
    <cfRule type="cellIs" dxfId="96" priority="47" operator="equal">
      <formula>0</formula>
    </cfRule>
  </conditionalFormatting>
  <conditionalFormatting sqref="AO29:AO43">
    <cfRule type="cellIs" dxfId="95" priority="48" operator="equal">
      <formula>0</formula>
    </cfRule>
    <cfRule type="cellIs" dxfId="94" priority="49" operator="equal">
      <formula>0</formula>
    </cfRule>
  </conditionalFormatting>
  <conditionalFormatting sqref="AO49:AO63">
    <cfRule type="cellIs" dxfId="93" priority="50" operator="equal">
      <formula>0</formula>
    </cfRule>
    <cfRule type="cellIs" dxfId="92" priority="51" operator="equal">
      <formula>0</formula>
    </cfRule>
  </conditionalFormatting>
  <conditionalFormatting sqref="AO69:AO83">
    <cfRule type="cellIs" dxfId="91" priority="52" operator="equal">
      <formula>0</formula>
    </cfRule>
    <cfRule type="cellIs" dxfId="90" priority="53" operator="equal">
      <formula>0</formula>
    </cfRule>
  </conditionalFormatting>
  <conditionalFormatting sqref="AX9:AX23">
    <cfRule type="cellIs" dxfId="89" priority="54" operator="equal">
      <formula>0</formula>
    </cfRule>
    <cfRule type="cellIs" dxfId="88" priority="55" operator="equal">
      <formula>0</formula>
    </cfRule>
  </conditionalFormatting>
  <conditionalFormatting sqref="AX29:AX43">
    <cfRule type="cellIs" dxfId="87" priority="56" operator="equal">
      <formula>0</formula>
    </cfRule>
    <cfRule type="cellIs" dxfId="86" priority="57" operator="equal">
      <formula>0</formula>
    </cfRule>
  </conditionalFormatting>
  <conditionalFormatting sqref="AX49:AX63">
    <cfRule type="cellIs" dxfId="85" priority="58" operator="equal">
      <formula>0</formula>
    </cfRule>
    <cfRule type="cellIs" dxfId="84" priority="59" operator="equal">
      <formula>0</formula>
    </cfRule>
  </conditionalFormatting>
  <conditionalFormatting sqref="AX69:AX83">
    <cfRule type="cellIs" dxfId="83" priority="60" operator="equal">
      <formula>0</formula>
    </cfRule>
    <cfRule type="cellIs" dxfId="82" priority="61" operator="equal">
      <formula>0</formula>
    </cfRule>
  </conditionalFormatting>
  <conditionalFormatting sqref="BG9:BG23">
    <cfRule type="cellIs" dxfId="81" priority="62" operator="equal">
      <formula>0</formula>
    </cfRule>
    <cfRule type="cellIs" dxfId="80" priority="63" operator="equal">
      <formula>0</formula>
    </cfRule>
  </conditionalFormatting>
  <conditionalFormatting sqref="BG29:BG43">
    <cfRule type="cellIs" dxfId="79" priority="64" operator="equal">
      <formula>0</formula>
    </cfRule>
    <cfRule type="cellIs" dxfId="78" priority="65" operator="equal">
      <formula>0</formula>
    </cfRule>
  </conditionalFormatting>
  <conditionalFormatting sqref="BG49:BG63">
    <cfRule type="cellIs" dxfId="77" priority="66" operator="equal">
      <formula>0</formula>
    </cfRule>
    <cfRule type="cellIs" dxfId="76" priority="67" operator="equal">
      <formula>0</formula>
    </cfRule>
  </conditionalFormatting>
  <conditionalFormatting sqref="BG69:BG83">
    <cfRule type="cellIs" dxfId="75" priority="68" operator="equal">
      <formula>0</formula>
    </cfRule>
    <cfRule type="cellIs" dxfId="74" priority="69" operator="equal">
      <formula>0</formula>
    </cfRule>
  </conditionalFormatting>
  <conditionalFormatting sqref="I115:I164">
    <cfRule type="cellIs" dxfId="73" priority="76" operator="equal">
      <formula>$K$111</formula>
    </cfRule>
    <cfRule type="cellIs" dxfId="72" priority="77" operator="equal">
      <formula>$J$111</formula>
    </cfRule>
    <cfRule type="cellIs" dxfId="71" priority="78" operator="equal">
      <formula>$I$111</formula>
    </cfRule>
  </conditionalFormatting>
  <conditionalFormatting sqref="J115:J164">
    <cfRule type="cellIs" dxfId="70" priority="85" operator="equal">
      <formula>$P$111</formula>
    </cfRule>
    <cfRule type="cellIs" dxfId="69" priority="86" operator="equal">
      <formula>$O$111</formula>
    </cfRule>
    <cfRule type="cellIs" dxfId="68" priority="87" operator="equal">
      <formula>$N$111</formula>
    </cfRule>
  </conditionalFormatting>
  <dataValidations count="2">
    <dataValidation type="list" allowBlank="1" showInputMessage="1" showErrorMessage="1" sqref="I115:I164" xr:uid="{93DC35EA-AA6E-4109-B716-E9A63058D95B}">
      <formula1>$I$111:$K$111</formula1>
    </dataValidation>
    <dataValidation type="list" allowBlank="1" showInputMessage="1" showErrorMessage="1" sqref="J115:J164" xr:uid="{B37A6906-C48A-47CE-932B-71F39C148077}">
      <formula1>$N$111:$P$111</formula1>
    </dataValidation>
  </dataValidations>
  <hyperlinks>
    <hyperlink ref="L1" location="ダッシュボード!A2" display="▶ダッシュボードへ" xr:uid="{83B8CEC0-DCE4-412E-91D1-A4C10EDC17C8}"/>
  </hyperlinks>
  <pageMargins left="0.7" right="0.7" top="0.75" bottom="0.75"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281D4-E15F-4E75-8742-D64E37C05C9C}">
  <sheetPr codeName="Sheet8">
    <tabColor theme="1" tint="0.14999847407452621"/>
  </sheetPr>
  <dimension ref="A1:V123"/>
  <sheetViews>
    <sheetView zoomScaleNormal="100" workbookViewId="0">
      <selection activeCell="A2" sqref="A2"/>
    </sheetView>
  </sheetViews>
  <sheetFormatPr defaultRowHeight="18"/>
  <cols>
    <col min="1" max="1" width="14.09765625" style="41" bestFit="1" customWidth="1"/>
    <col min="2" max="2" width="11.3984375" style="41" customWidth="1"/>
    <col min="3" max="3" width="8.19921875" style="41" customWidth="1"/>
    <col min="4" max="6" width="8.796875" style="41"/>
    <col min="7" max="7" width="11.796875" style="41" bestFit="1" customWidth="1"/>
    <col min="8" max="18" width="8.796875" style="41"/>
    <col min="19" max="19" width="9.19921875" style="41" bestFit="1" customWidth="1"/>
    <col min="20" max="20" width="14.09765625" style="41" bestFit="1" customWidth="1"/>
    <col min="21" max="21" width="13.19921875" style="41" customWidth="1"/>
    <col min="22" max="16384" width="8.796875" style="41"/>
  </cols>
  <sheetData>
    <row r="1" spans="1:22" ht="40.950000000000003" customHeight="1" thickBot="1">
      <c r="A1" s="178" t="s">
        <v>142</v>
      </c>
      <c r="B1" s="37"/>
      <c r="C1" s="38"/>
      <c r="D1" s="95" t="s">
        <v>149</v>
      </c>
      <c r="E1" s="38"/>
      <c r="F1" s="39"/>
      <c r="G1" s="38"/>
      <c r="H1" s="39" t="s">
        <v>280</v>
      </c>
      <c r="I1" s="38"/>
      <c r="J1" s="38"/>
      <c r="K1" s="38"/>
      <c r="L1" s="38"/>
      <c r="M1" s="38"/>
      <c r="N1" s="38"/>
      <c r="O1" s="38"/>
      <c r="P1" s="38"/>
      <c r="Q1" s="38"/>
      <c r="R1" s="38"/>
      <c r="S1" s="38"/>
      <c r="T1" s="38"/>
      <c r="U1" s="38"/>
      <c r="V1" s="50"/>
    </row>
    <row r="2" spans="1:22" ht="18" customHeight="1" thickBot="1">
      <c r="A2" s="87" t="s">
        <v>189</v>
      </c>
      <c r="B2" s="71"/>
      <c r="C2" s="362"/>
      <c r="D2" s="361"/>
      <c r="E2" s="363"/>
      <c r="F2" s="360"/>
      <c r="G2" s="360"/>
      <c r="H2" s="360"/>
      <c r="I2" s="360"/>
      <c r="J2" s="360"/>
      <c r="K2" s="360"/>
      <c r="L2" s="360"/>
      <c r="M2" s="367" t="s">
        <v>288</v>
      </c>
      <c r="N2" s="40"/>
      <c r="O2" s="40"/>
      <c r="P2" s="40"/>
      <c r="Q2" s="40"/>
      <c r="R2" s="40"/>
      <c r="S2" s="40"/>
      <c r="T2" s="40"/>
      <c r="U2" s="40"/>
      <c r="V2" s="40"/>
    </row>
    <row r="3" spans="1:22" ht="18" customHeight="1">
      <c r="A3" s="324" t="s">
        <v>190</v>
      </c>
      <c r="B3" s="324"/>
      <c r="C3" s="325"/>
      <c r="D3" s="42"/>
      <c r="E3" s="39"/>
      <c r="F3" s="39"/>
      <c r="G3" s="39"/>
      <c r="H3" s="39"/>
      <c r="I3" s="43"/>
      <c r="J3" s="38"/>
      <c r="K3" s="38"/>
      <c r="L3" s="38"/>
      <c r="M3" s="38"/>
      <c r="N3" s="38"/>
      <c r="O3" s="38"/>
      <c r="P3" s="44"/>
      <c r="Q3" s="38"/>
      <c r="R3" s="38"/>
      <c r="S3" s="38"/>
      <c r="T3" s="38"/>
      <c r="U3" s="38"/>
      <c r="V3" s="50"/>
    </row>
    <row r="4" spans="1:22" ht="18" customHeight="1" thickBot="1">
      <c r="A4" s="324" t="s">
        <v>183</v>
      </c>
      <c r="B4" s="324"/>
      <c r="C4" s="324"/>
      <c r="D4" s="176" t="s">
        <v>66</v>
      </c>
      <c r="E4" s="39"/>
      <c r="F4" s="39"/>
      <c r="G4" s="39"/>
      <c r="H4" s="46"/>
      <c r="I4" s="177" t="s">
        <v>67</v>
      </c>
      <c r="J4" s="36"/>
      <c r="K4" s="38"/>
      <c r="L4" s="38"/>
      <c r="M4" s="38"/>
      <c r="N4" s="38"/>
      <c r="O4" s="38"/>
      <c r="P4" s="44"/>
      <c r="Q4" s="177" t="s">
        <v>68</v>
      </c>
      <c r="R4" s="38"/>
      <c r="S4" s="38"/>
      <c r="T4" s="197" t="str">
        <f>HYPERLINK("#'売上工数管理'!A2","全てを見る")</f>
        <v>全てを見る</v>
      </c>
      <c r="U4" s="47"/>
      <c r="V4" s="226"/>
    </row>
    <row r="5" spans="1:22" ht="18.600000000000001" thickTop="1">
      <c r="A5" s="64"/>
      <c r="B5" s="64"/>
      <c r="C5" s="58"/>
      <c r="D5" s="42"/>
      <c r="E5" s="39" t="s">
        <v>74</v>
      </c>
      <c r="F5" s="48" t="str" cm="1">
        <f t="array" aca="1" ref="F5" ca="1">_xlfn.LET(
  _xlpm.keys, 売上工数管理!#REF!,
  _xlpm.names, TRIM(_xlpm.keys),
  _xlpm.norm, IFERROR(TEXT(DATEVALUE(SUBSTITUTE(_xlpm.names,"_","/")&amp;"/01"),"yyyy_mm"),""),
  _xlpm.this, TEXT(TODAY(),"yyyy_mm"),
  _xlpm.r, IFERROR(_xlfn.XMATCH(_xlpm.this, _xlpm.norm, 0), 0),
  _xlpm.y, IF(_xlpm.r=0, YEAR(TODAY()), IFERROR(INDIRECT("'"&amp;INDEX(_xlpm.names,_xlpm.r)&amp;"'!A1"), YEAR(TODAY()))),
  _xlpm.m, IF(_xlpm.r=0, MONTH(TODAY()), IFERROR(INDIRECT("'"&amp;INDEX(_xlpm.names,_xlpm.r)&amp;"'!B1"), MONTH(TODAY()))),
  _xlpm.s, DATE(_xlpm.y, _xlpm.m, 1),
  _xlpm.e, EOMONTH(_xlpm.s, 0),
  TEXT(_xlpm.s,"yyyy年m月d日") &amp; "～" &amp; TEXT(_xlpm.e,"yyyy年m月d日")
)</f>
        <v>2025年9月1日～2025年9月30日</v>
      </c>
      <c r="G5" s="39"/>
      <c r="H5" s="49"/>
      <c r="I5" s="50"/>
      <c r="J5" s="38"/>
      <c r="K5" s="38"/>
      <c r="L5" s="39" t="s">
        <v>74</v>
      </c>
      <c r="M5" s="39" t="str" cm="1">
        <f t="array" aca="1" ref="M5" ca="1">_xlfn.LET(
  _xlpm.keys, 売上工数管理!C39:C50,
  _xlpm.names, TRIM(_xlpm.keys),
  _xlpm.norm, IFERROR(TEXT(DATEVALUE(SUBSTITUTE(_xlpm.names,"_","/")&amp;"/01"),"yyyy_mm"),""),
  _xlpm.this, TEXT(TODAY(),"yyyy_mm"),
  _xlpm.r, IFERROR(_xlfn.XMATCH(_xlpm.this, _xlpm.norm, 0), 0),
  _xlpm.y, IF(_xlpm.r=0, YEAR(TODAY()), IFERROR(INDIRECT("'"&amp;INDEX(_xlpm.names,_xlpm.r)&amp;"'!A1"), YEAR(TODAY()))),
  _xlpm.m, IF(_xlpm.r=0, MONTH(TODAY()), IFERROR(INDIRECT("'"&amp;INDEX(_xlpm.names,_xlpm.r)&amp;"'!B1"), MONTH(TODAY()))),
  _xlpm.s, DATE(_xlpm.y, _xlpm.m, 1),
  _xlpm.e, EOMONTH(_xlpm.s, 0),
  TEXT(_xlpm.s,"yyyy年m月d日") &amp; "～" &amp; TEXT(_xlpm.e,"yyyy年m月d日")
)</f>
        <v>2025年9月1日～2025年9月30日</v>
      </c>
      <c r="N5" s="38"/>
      <c r="O5" s="38"/>
      <c r="P5" s="44"/>
      <c r="Q5" s="38"/>
      <c r="R5" s="38"/>
      <c r="S5" s="38"/>
      <c r="T5" s="38"/>
      <c r="U5" s="38"/>
      <c r="V5" s="50"/>
    </row>
    <row r="6" spans="1:22">
      <c r="A6" s="38"/>
      <c r="B6" s="38"/>
      <c r="C6" s="38"/>
      <c r="D6" s="51"/>
      <c r="E6" s="39"/>
      <c r="F6" s="39"/>
      <c r="G6" s="39"/>
      <c r="H6" s="39"/>
      <c r="I6" s="52"/>
      <c r="J6" s="38"/>
      <c r="K6" s="38"/>
      <c r="L6" s="38"/>
      <c r="M6" s="38"/>
      <c r="N6" s="38"/>
      <c r="O6" s="38"/>
      <c r="P6" s="50"/>
      <c r="Q6" s="51"/>
      <c r="R6" s="39" t="s">
        <v>81</v>
      </c>
      <c r="S6" s="39"/>
      <c r="T6" s="53" t="s">
        <v>114</v>
      </c>
      <c r="U6" s="38"/>
      <c r="V6" s="50"/>
    </row>
    <row r="7" spans="1:22" ht="22.8" thickBot="1">
      <c r="A7" s="38"/>
      <c r="B7" s="38"/>
      <c r="C7" s="38"/>
      <c r="D7" s="54" t="s">
        <v>261</v>
      </c>
      <c r="E7" s="55"/>
      <c r="F7" s="55"/>
      <c r="G7" s="56">
        <f ca="1">SUMIF(売上工数管理!$C$5:$C$16, $B$11, 売上工数管理!$D$5:$D$16)</f>
        <v>80000</v>
      </c>
      <c r="H7" s="57" t="s">
        <v>70</v>
      </c>
      <c r="I7" s="50"/>
      <c r="J7" s="38"/>
      <c r="K7" s="38"/>
      <c r="L7" s="38"/>
      <c r="M7" s="55" t="s">
        <v>76</v>
      </c>
      <c r="N7" s="55"/>
      <c r="O7" s="56">
        <f ca="1">SUMIF(売上工数管理!$C$39:$C$50, $B$11, 売上工数管理!$D$39:$D$50)</f>
        <v>8</v>
      </c>
      <c r="P7" s="57" t="s">
        <v>52</v>
      </c>
      <c r="Q7" s="51"/>
      <c r="R7" s="38"/>
      <c r="S7" s="38"/>
      <c r="T7" s="38"/>
      <c r="U7" s="38"/>
      <c r="V7" s="50"/>
    </row>
    <row r="8" spans="1:22" ht="33.6" thickTop="1" thickBot="1">
      <c r="A8" s="179" t="s">
        <v>140</v>
      </c>
      <c r="B8" s="180" t="s">
        <v>141</v>
      </c>
      <c r="C8" s="58"/>
      <c r="D8" s="59"/>
      <c r="E8" s="39"/>
      <c r="F8" s="39"/>
      <c r="G8" s="39"/>
      <c r="H8" s="39"/>
      <c r="I8" s="52"/>
      <c r="J8" s="38"/>
      <c r="K8" s="38"/>
      <c r="L8" s="38"/>
      <c r="M8" s="50"/>
      <c r="N8" s="50"/>
      <c r="O8" s="50"/>
      <c r="P8" s="50"/>
      <c r="Q8" s="54"/>
      <c r="R8" s="55" t="str">
        <f ca="1">_xlfn.LET(
  _xlpm.d, IFERROR(1*$S$14,15),
  _xlpm.base, DATE(YEAR(TODAY()), MONTH(TODAY()), MIN(_xlpm.d, DAY(EOMONTH(TODAY(),0)))),
  TEXT(_xlpm.base, "m月d日")
)</f>
        <v>9月25日</v>
      </c>
      <c r="S8" s="55"/>
      <c r="T8" s="56" cm="1">
        <f t="array" aca="1" ref="T8" ca="1">_xlfn.LET(
  _xlpm.recent, TEXT(EDATE(DATE(YEAR(TODAY()),MONTH(TODAY()),1),0), "yyyy_mm"),
  _xlpm.keys, 売上工数管理!C5:C16,
  _xlpm.vals, 売上工数管理!F5:F16,
  _xlpm.norm, IFERROR(TEXT(DATEVALUE(SUBSTITUTE(TRIM(_xlpm.keys),"_","/")&amp;"/01"), "yyyy_mm"), ""),
  _xlfn.XLOOKUP(_xlpm.recent, _xlpm.norm, _xlpm.vals, 0)
)</f>
        <v>80000</v>
      </c>
      <c r="U8" s="55" t="s">
        <v>70</v>
      </c>
      <c r="V8" s="60"/>
    </row>
    <row r="9" spans="1:22" ht="23.4" thickTop="1" thickBot="1">
      <c r="A9" s="204">
        <f ca="1">TODAY()</f>
        <v>45914</v>
      </c>
      <c r="B9" s="232">
        <f ca="1">TODAY()</f>
        <v>45914</v>
      </c>
      <c r="C9" s="227"/>
      <c r="D9" s="55" t="s">
        <v>262</v>
      </c>
      <c r="E9" s="55"/>
      <c r="F9" s="55"/>
      <c r="G9" s="283">
        <f ca="1">SUMIF(売上工数管理!$C$5:$C$16, $B$11, 売上工数管理!$F$5:$F$16)</f>
        <v>80000</v>
      </c>
      <c r="H9" s="57" t="s">
        <v>70</v>
      </c>
      <c r="I9" s="50"/>
      <c r="J9" s="38"/>
      <c r="K9" s="38"/>
      <c r="L9" s="38"/>
      <c r="M9" s="261" t="s">
        <v>71</v>
      </c>
      <c r="N9" s="56" t="str" cm="1">
        <f t="array" aca="1" ref="N9" ca="1">_xlfn.LET(
 _xlpm.m,$B$11,
 _xlpm.sE,SUMPRODUCT((売上工数管理!$C$39:$C$50=_xlpm.m)*売上工数管理!$E$39:$E$50),
 _xlpm.sF,SUMPRODUCT((売上工数管理!$C$39:$C$50=_xlpm.m)*売上工数管理!$F$39:$F$50),
 _xlpm.sG,SUMPRODUCT((売上工数管理!$C$39:$C$50=_xlpm.m)*売上工数管理!$G$39:$G$50),
 _xlpm.sH,SUMPRODUCT((売上工数管理!$C$39:$C$50=_xlpm.m)*売上工数管理!$H$39:$H$50),
 _xlpm.sI,SUMPRODUCT((売上工数管理!$C$39:$C$50=_xlpm.m)*売上工数管理!$I$39:$I$50),
 _xlpm.sJ,SUMPRODUCT((売上工数管理!$C$39:$C$50=_xlpm.m)*売上工数管理!$J$39:$J$50),
 _xlpm.sK,SUMPRODUCT((売上工数管理!$C$39:$C$50=_xlpm.m)*売上工数管理!$K$39:$K$50),
 _xlpm.sL,SUMPRODUCT((売上工数管理!$C$39:$C$50=_xlpm.m)*売上工数管理!$L$39:$L$50),
 _xlpm.sM,SUMPRODUCT((売上工数管理!$C$39:$C$50=_xlpm.m)*売上工数管理!$M$39:$M$50),
 _xlpm.sN,SUMPRODUCT((売上工数管理!$C$39:$C$50=_xlpm.m)*売上工数管理!$N$39:$N$50),
 _xlpm.sO,SUMPRODUCT((売上工数管理!$C$39:$C$50=_xlpm.m)*売上工数管理!$O$39:$O$50),
 _xlpm.mx,MAX(_xlpm.sE,_xlpm.sF,_xlpm.sG,_xlpm.sH,_xlpm.sI,_xlpm.sJ,_xlpm.sK,_xlpm.sL,_xlpm.sM,_xlpm.sN,_xlpm.sO),
 IF(_xlpm.mx&lt;=0,"",
   IF(_xlpm.mx=_xlpm.sE,売上工数管理!$E$38,
   IF(_xlpm.mx=_xlpm.sF,売上工数管理!$F$38,
   IF(_xlpm.mx=_xlpm.sG,売上工数管理!$G$38,
   IF(_xlpm.mx=_xlpm.sH,売上工数管理!$H$38,
   IF(_xlpm.mx=_xlpm.sI,売上工数管理!$I$38,
   IF(_xlpm.mx=_xlpm.sJ,売上工数管理!$J$38,
   IF(_xlpm.mx=_xlpm.sK,売上工数管理!$K$38,
   IF(_xlpm.mx=_xlpm.sL,売上工数管理!$L$38,
   IF(_xlpm.mx=_xlpm.sM,売上工数管理!$M$38,
   IF(_xlpm.mx=_xlpm.sN,売上工数管理!$N$38,売上工数管理!$O$38)))))))))))
)</f>
        <v>Webデザイン</v>
      </c>
      <c r="O9" s="47"/>
      <c r="P9" s="60"/>
      <c r="Q9" s="61"/>
      <c r="R9" s="62" t="str">
        <f ca="1">_xlfn.LET(
  _xlpm.d, IFERROR(1*$S$14,15),
  _xlpm.base, DATE(YEAR(TODAY()), MONTH(TODAY()), MIN(_xlpm.d, DAY(EOMONTH(TODAY(),0)))),
  TEXT(EDATE(_xlpm.base,-1), "m月d日")
)</f>
        <v>8月25日</v>
      </c>
      <c r="S9" s="55"/>
      <c r="T9" s="63" t="str" cm="1">
        <f t="array" aca="1" ref="T9" ca="1">_xlfn.LET(
  _xlpm.recent, TEXT(EDATE(DATE(YEAR(TODAY()),MONTH(TODAY()),1),-1), "yyyy_mm"),
  _xlpm.keys, 売上工数管理!C5:C16,
  _xlpm.vals, 売上工数管理!F5:F16,
  _xlpm.norm, IFERROR(TEXT(DATEVALUE(SUBSTITUTE(TRIM(_xlpm.keys),"_","/")&amp;"/01"), "yyyy_mm"), ""),
  _xlfn.XLOOKUP(_xlpm.recent, _xlpm.norm, _xlpm.vals, 0)
)</f>
        <v/>
      </c>
      <c r="U9" s="62" t="s">
        <v>70</v>
      </c>
      <c r="V9" s="225"/>
    </row>
    <row r="10" spans="1:22" ht="23.4" thickTop="1" thickBot="1">
      <c r="A10" s="233">
        <f ca="1">TODAY()</f>
        <v>45914</v>
      </c>
      <c r="B10" s="230">
        <f ca="1">NOW()</f>
        <v>45914.617237152779</v>
      </c>
      <c r="C10" s="227"/>
      <c r="D10" s="59"/>
      <c r="E10" s="39"/>
      <c r="F10" s="39"/>
      <c r="G10" s="39"/>
      <c r="H10" s="39"/>
      <c r="I10" s="52"/>
      <c r="J10" s="38"/>
      <c r="K10" s="38"/>
      <c r="L10" s="38"/>
      <c r="M10" s="262"/>
      <c r="N10" s="38"/>
      <c r="O10" s="38"/>
      <c r="P10" s="50"/>
      <c r="Q10" s="61"/>
      <c r="R10" s="62" t="str">
        <f ca="1">_xlfn.LET(
  _xlpm.d, IFERROR(1*$S$14,15),
  _xlpm.base, DATE(YEAR(TODAY()), MONTH(TODAY()), MIN(_xlpm.d, DAY(EOMONTH(TODAY(),0)))),
  TEXT(EDATE(_xlpm.base,-2), "m月d日")
)</f>
        <v>7月25日</v>
      </c>
      <c r="S10" s="55"/>
      <c r="T10" s="63" t="str" cm="1">
        <f t="array" aca="1" ref="T10" ca="1">_xlfn.LET(
  _xlpm.recent, TEXT(EDATE(DATE(YEAR(TODAY()),MONTH(TODAY()),1),-2), "yyyy_mm"),
  _xlpm.keys, 売上工数管理!C5:C16,
  _xlpm.vals, 売上工数管理!F5:F16,
  _xlpm.norm, IFERROR(TEXT(DATEVALUE(SUBSTITUTE(TRIM(_xlpm.keys),"_","/")&amp;"/01"), "yyyy_mm"), ""),
  _xlfn.XLOOKUP(_xlpm.recent, _xlpm.norm, _xlpm.vals, 0)
)</f>
        <v/>
      </c>
      <c r="U10" s="62" t="s">
        <v>70</v>
      </c>
      <c r="V10" s="225"/>
    </row>
    <row r="11" spans="1:22" ht="23.4" thickTop="1" thickBot="1">
      <c r="A11" s="231" t="s">
        <v>176</v>
      </c>
      <c r="B11" s="228" t="str" cm="1">
        <f t="array" aca="1" ref="B11" ca="1">INDEX(売上工数管理!$C$5:$C$16, MONTH(TODAY()))</f>
        <v>2025_09</v>
      </c>
      <c r="C11" s="227"/>
      <c r="D11" s="54" t="s">
        <v>80</v>
      </c>
      <c r="E11" s="55"/>
      <c r="F11" s="55"/>
      <c r="G11" s="65">
        <f ca="1">IFERROR(AVERAGEIF(売上工数管理!$C$71:$C$82, $B$11, 売上工数管理!$D$71:$D$82), 0)</f>
        <v>10000</v>
      </c>
      <c r="H11" s="57" t="s">
        <v>70</v>
      </c>
      <c r="I11" s="50"/>
      <c r="J11" s="38"/>
      <c r="K11" s="38"/>
      <c r="L11" s="38"/>
      <c r="M11" s="261" t="s">
        <v>72</v>
      </c>
      <c r="N11" s="56" t="str" cm="1">
        <f t="array" aca="1" ref="N11" ca="1">_xlfn.LET(
  _xlpm.m,$B$11,
  _xlpm.sums, MMULT(TRANSPOSE(売上工数管理!$E$39:$O$50), --(売上工数管理!$C$39:$C$50=_xlpm.m)),
  _xlpm.k, 2,
  _xlpm.v, LARGE(_xlpm.sums, _xlpm.k),
  _xlpm.cnt, SUM(--(_xlpm.sums&gt;0)),
  IF(_xlpm.cnt&lt;_xlpm.k, "", IFERROR(INDEX(売上工数管理!$E$38:$O$38, _xlfn.XMATCH(_xlpm.v, _xlpm.sums, 0, 1)), ""))
)</f>
        <v>プログラミング</v>
      </c>
      <c r="O11" s="47"/>
      <c r="P11" s="66"/>
      <c r="Q11" s="67"/>
      <c r="R11" s="62" t="str">
        <f ca="1">_xlfn.LET(
  _xlpm.d, IFERROR(1*$S$14,15),
  _xlpm.base, DATE(YEAR(TODAY()), MONTH(TODAY()), MIN(_xlpm.d, DAY(EOMONTH(TODAY(),0)))),
  TEXT(EDATE(_xlpm.base,-3), "m月d日")
)</f>
        <v>6月25日</v>
      </c>
      <c r="S11" s="55"/>
      <c r="T11" s="63" t="str" cm="1">
        <f t="array" aca="1" ref="T11" ca="1">_xlfn.LET(
  _xlpm.recent, TEXT(EDATE(DATE(YEAR(TODAY()),MONTH(TODAY()),1),-3), "yyyy_mm"),
  _xlpm.keys, 売上工数管理!C5:C16,
  _xlpm.vals, 売上工数管理!F5:F16,
  _xlpm.norm, IFERROR(TEXT(DATEVALUE(SUBSTITUTE(TRIM(_xlpm.keys),"_","/")&amp;"/01"), "yyyy_mm"), ""),
  _xlfn.XLOOKUP(_xlpm.recent, _xlpm.norm, _xlpm.vals, 0)
)</f>
        <v/>
      </c>
      <c r="U11" s="62" t="s">
        <v>70</v>
      </c>
      <c r="V11" s="225"/>
    </row>
    <row r="12" spans="1:22" ht="23.4" thickTop="1" thickBot="1">
      <c r="A12" s="229"/>
      <c r="B12" s="64"/>
      <c r="C12" s="58"/>
      <c r="D12" s="73"/>
      <c r="E12" s="39"/>
      <c r="F12" s="39"/>
      <c r="G12" s="39"/>
      <c r="H12" s="68"/>
      <c r="I12" s="50"/>
      <c r="J12" s="38"/>
      <c r="K12" s="38"/>
      <c r="L12" s="38"/>
      <c r="M12" s="262"/>
      <c r="N12" s="38"/>
      <c r="O12" s="38"/>
      <c r="P12" s="69"/>
      <c r="Q12" s="67"/>
      <c r="R12" s="62" t="str">
        <f ca="1">_xlfn.LET(
  _xlpm.d, IFERROR(1*$S$14,15),
  _xlpm.base, DATE(YEAR(TODAY()), MONTH(TODAY()), MIN(_xlpm.d, DAY(EOMONTH(TODAY(),0)))),
  TEXT(EDATE(_xlpm.base,-4), "m月d日")
)</f>
        <v>5月25日</v>
      </c>
      <c r="S12" s="55"/>
      <c r="T12" s="63" t="str" cm="1">
        <f t="array" aca="1" ref="T12" ca="1">_xlfn.LET(
  _xlpm.recent, TEXT(EDATE(DATE(YEAR(TODAY()),MONTH(TODAY()),1),-4), "yyyy_mm"),
  _xlpm.keys, 売上工数管理!C5:C16,
  _xlpm.vals, 売上工数管理!F5:F16,
  _xlpm.norm, IFERROR(TEXT(DATEVALUE(SUBSTITUTE(TRIM(_xlpm.keys),"_","/")&amp;"/01"), "yyyy_mm"), ""),
  _xlfn.XLOOKUP(_xlpm.recent, _xlpm.norm, _xlpm.vals, 0)
)</f>
        <v/>
      </c>
      <c r="U12" s="62" t="s">
        <v>70</v>
      </c>
      <c r="V12" s="225"/>
    </row>
    <row r="13" spans="1:22" ht="23.4" thickTop="1" thickBot="1">
      <c r="A13" s="354" t="s">
        <v>273</v>
      </c>
      <c r="B13" s="346"/>
      <c r="C13" s="346"/>
      <c r="D13" s="54" t="s">
        <v>130</v>
      </c>
      <c r="E13" s="55"/>
      <c r="F13" s="55"/>
      <c r="G13" s="72">
        <f ca="1">SUMIF(売上工数管理!$C$71:$C$82, $B$11, 売上工数管理!$E$71:$E$82)</f>
        <v>8774</v>
      </c>
      <c r="H13" s="57" t="s">
        <v>70</v>
      </c>
      <c r="I13" s="50"/>
      <c r="J13" s="38"/>
      <c r="K13" s="38"/>
      <c r="L13" s="38"/>
      <c r="M13" s="261" t="s">
        <v>73</v>
      </c>
      <c r="N13" s="56" t="str" cm="1">
        <f t="array" aca="1" ref="N13" ca="1">_xlfn.LET(
  _xlpm.m,$B$11,
  _xlpm.sums, MMULT(TRANSPOSE(売上工数管理!$E$39:$O$50), --(売上工数管理!$C$39:$C$50=_xlpm.m)),
  _xlpm.k, 3,
  _xlpm.v, LARGE(_xlpm.sums, _xlpm.k),
  _xlpm.cnt, SUM(--(_xlpm.sums&gt;0)),
  IF(_xlpm.cnt&lt;_xlpm.k, "", IFERROR(INDEX(売上工数管理!$E$38:$O$38, _xlfn.XMATCH(_xlpm.v, _xlpm.sums, 0, 1)), ""))
)</f>
        <v>ライティング</v>
      </c>
      <c r="O13" s="47"/>
      <c r="P13" s="66"/>
      <c r="Q13" s="38"/>
      <c r="R13" s="38"/>
      <c r="S13" s="38"/>
      <c r="T13" s="38"/>
      <c r="U13" s="39"/>
      <c r="V13" s="225"/>
    </row>
    <row r="14" spans="1:22" ht="23.4" thickTop="1" thickBot="1">
      <c r="A14" s="347" t="s">
        <v>79</v>
      </c>
      <c r="B14" s="346"/>
      <c r="C14" s="348"/>
      <c r="D14" s="73"/>
      <c r="E14" s="39"/>
      <c r="F14" s="39"/>
      <c r="G14" s="39"/>
      <c r="H14" s="39"/>
      <c r="I14" s="52"/>
      <c r="J14" s="39" t="s">
        <v>294</v>
      </c>
      <c r="K14" s="38"/>
      <c r="L14" s="38"/>
      <c r="M14" s="39"/>
      <c r="N14" s="38"/>
      <c r="O14" s="38"/>
      <c r="P14" s="69"/>
      <c r="Q14" s="62"/>
      <c r="R14" s="74" t="s">
        <v>277</v>
      </c>
      <c r="S14" s="326">
        <v>25</v>
      </c>
      <c r="T14" s="62" t="s">
        <v>115</v>
      </c>
      <c r="U14" s="62" t="s">
        <v>276</v>
      </c>
      <c r="V14" s="225"/>
    </row>
    <row r="15" spans="1:22" ht="21" thickTop="1" thickBot="1">
      <c r="A15" s="349" t="s">
        <v>174</v>
      </c>
      <c r="B15" s="350"/>
      <c r="C15" s="346"/>
      <c r="D15" s="42"/>
      <c r="E15" s="39"/>
      <c r="F15" s="39"/>
      <c r="G15" s="39"/>
      <c r="H15" s="57"/>
      <c r="I15" s="50"/>
      <c r="J15" s="47"/>
      <c r="K15" s="38"/>
      <c r="L15" s="47"/>
      <c r="M15" s="47"/>
      <c r="N15" s="38"/>
      <c r="O15" s="47"/>
      <c r="P15" s="66"/>
      <c r="Q15" s="396" t="s">
        <v>278</v>
      </c>
      <c r="R15" s="397"/>
      <c r="S15" s="373" t="s">
        <v>303</v>
      </c>
      <c r="T15" s="327"/>
      <c r="U15" s="327"/>
      <c r="V15" s="327"/>
    </row>
    <row r="16" spans="1:22" ht="21" thickTop="1" thickBot="1">
      <c r="A16" s="349" t="s">
        <v>129</v>
      </c>
      <c r="B16" s="350"/>
      <c r="C16" s="351"/>
      <c r="D16" s="75"/>
      <c r="E16" s="76"/>
      <c r="F16" s="76"/>
      <c r="G16" s="76"/>
      <c r="H16" s="50"/>
      <c r="I16" s="76"/>
      <c r="J16" s="77"/>
      <c r="K16" s="75"/>
      <c r="L16" s="50"/>
      <c r="M16" s="50"/>
      <c r="N16" s="76"/>
      <c r="O16" s="50"/>
      <c r="P16" s="69"/>
      <c r="Q16" s="76"/>
      <c r="R16" s="50"/>
      <c r="S16" s="50"/>
      <c r="T16" s="50"/>
      <c r="U16" s="50"/>
      <c r="V16" s="50"/>
    </row>
    <row r="17" spans="1:22" ht="21" thickTop="1" thickBot="1">
      <c r="A17" s="349" t="s">
        <v>175</v>
      </c>
      <c r="B17" s="350"/>
      <c r="C17" s="351"/>
      <c r="D17" s="51"/>
      <c r="E17" s="38"/>
      <c r="F17" s="38"/>
      <c r="G17" s="38"/>
      <c r="H17" s="38"/>
      <c r="I17" s="38"/>
      <c r="J17" s="50"/>
      <c r="K17" s="51"/>
      <c r="L17" s="38"/>
      <c r="M17" s="38"/>
      <c r="N17" s="38"/>
      <c r="O17" s="38"/>
      <c r="P17" s="78"/>
      <c r="Q17" s="38"/>
      <c r="R17" s="38"/>
      <c r="S17" s="38"/>
      <c r="T17" s="197" t="str">
        <f>HYPERLINK("#'ダッシュボード'!A75","全てを見る")</f>
        <v>全てを見る</v>
      </c>
      <c r="U17" s="47"/>
      <c r="V17" s="60"/>
    </row>
    <row r="18" spans="1:22" ht="27.6" thickTop="1" thickBot="1">
      <c r="A18" s="349" t="s">
        <v>126</v>
      </c>
      <c r="B18" s="350"/>
      <c r="C18" s="351"/>
      <c r="D18" s="45" t="s">
        <v>69</v>
      </c>
      <c r="E18" s="38"/>
      <c r="F18" s="53"/>
      <c r="G18" s="48"/>
      <c r="H18" s="39"/>
      <c r="I18" s="39" t="s">
        <v>184</v>
      </c>
      <c r="J18" s="50"/>
      <c r="K18" s="45" t="s">
        <v>75</v>
      </c>
      <c r="L18" s="38"/>
      <c r="M18" s="38"/>
      <c r="N18" s="53" t="str" cm="1">
        <f t="array" aca="1" ref="N18" ca="1">INDEX(売上工数管理!$C$5:$C$16, MONTH(TODAY()))</f>
        <v>2025_09</v>
      </c>
      <c r="O18" s="79" cm="1">
        <f t="array" aca="1" ref="O18" ca="1">SUMPRODUCT(
  --(売上工数管理!$B$104:$B$153&lt;&gt;""),
  --(売上工数管理!$B$104:$B$153&lt;&gt;"0"),
  --(売上工数管理!$B$104:$B$153&lt;&gt;0),
  --( (売上工数管理!$J$104:$J$153="未着手") + (売上工数管理!$J$104:$J$153="進行中") )
)</f>
        <v>2</v>
      </c>
      <c r="P18" s="80" t="s">
        <v>143</v>
      </c>
      <c r="Q18" s="38"/>
      <c r="R18" s="38"/>
      <c r="S18" s="38"/>
      <c r="T18" s="95"/>
      <c r="U18" s="96"/>
      <c r="V18" s="50"/>
    </row>
    <row r="19" spans="1:22" ht="27.6" thickTop="1" thickBot="1">
      <c r="A19" s="352" t="s">
        <v>160</v>
      </c>
      <c r="B19" s="350"/>
      <c r="C19" s="351"/>
      <c r="D19" s="51"/>
      <c r="E19" s="38"/>
      <c r="F19" s="38"/>
      <c r="G19" s="38"/>
      <c r="H19" s="38"/>
      <c r="I19" s="38"/>
      <c r="J19" s="44"/>
      <c r="K19" s="38"/>
      <c r="L19" s="38"/>
      <c r="M19" s="38"/>
      <c r="N19" s="81"/>
      <c r="O19" s="38"/>
      <c r="P19" s="50"/>
      <c r="Q19" s="45" t="s">
        <v>159</v>
      </c>
      <c r="R19" s="38"/>
      <c r="S19" s="38"/>
      <c r="T19" s="38"/>
      <c r="U19" s="38"/>
      <c r="V19" s="50"/>
    </row>
    <row r="20" spans="1:22" ht="21" thickTop="1" thickBot="1">
      <c r="A20" s="352" t="s">
        <v>78</v>
      </c>
      <c r="B20" s="350"/>
      <c r="C20" s="351"/>
      <c r="D20" s="51"/>
      <c r="E20" s="38"/>
      <c r="F20" s="38"/>
      <c r="G20" s="38"/>
      <c r="H20" s="38"/>
      <c r="I20" s="38"/>
      <c r="J20" s="50"/>
      <c r="K20" s="263">
        <v>1</v>
      </c>
      <c r="L20" s="55" t="str" cm="1">
        <f t="array" aca="1" ref="L20"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ROWS($L$20:L20)
    )
  ),
"")</f>
        <v>サンプル：1タスク</v>
      </c>
      <c r="M20" s="55"/>
      <c r="N20" s="55"/>
      <c r="O20" s="55"/>
      <c r="P20" s="66"/>
      <c r="Q20" s="213"/>
      <c r="R20" s="39"/>
      <c r="S20" s="38"/>
      <c r="T20" s="38"/>
      <c r="U20" s="38"/>
      <c r="V20" s="50"/>
    </row>
    <row r="21" spans="1:22" ht="19.2" thickTop="1" thickBot="1">
      <c r="A21" s="346"/>
      <c r="B21" s="346"/>
      <c r="C21" s="346"/>
      <c r="D21" s="51"/>
      <c r="E21" s="38"/>
      <c r="F21" s="38"/>
      <c r="G21" s="38"/>
      <c r="H21" s="38"/>
      <c r="I21" s="38"/>
      <c r="J21" s="50"/>
      <c r="K21" s="264">
        <v>2</v>
      </c>
      <c r="L21" s="55" t="str" cm="1">
        <f t="array" aca="1" ref="L21"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ROWS($L$20:L21)
    )
  ),
"")</f>
        <v>サンプル：2タスク</v>
      </c>
      <c r="M21" s="55"/>
      <c r="N21" s="55"/>
      <c r="O21" s="55"/>
      <c r="P21" s="44"/>
      <c r="Q21" s="51"/>
      <c r="R21" s="39" t="s">
        <v>165</v>
      </c>
      <c r="S21" s="38"/>
      <c r="T21" s="38"/>
      <c r="U21" s="38"/>
      <c r="V21" s="50"/>
    </row>
    <row r="22" spans="1:22" ht="21" thickTop="1" thickBot="1">
      <c r="A22" s="365"/>
      <c r="B22" s="346"/>
      <c r="C22" s="346"/>
      <c r="D22" s="51"/>
      <c r="E22" s="38"/>
      <c r="F22" s="38"/>
      <c r="G22" s="38"/>
      <c r="H22" s="38"/>
      <c r="I22" s="38"/>
      <c r="J22" s="50"/>
      <c r="K22" s="264">
        <v>3</v>
      </c>
      <c r="L22" s="55" t="str" cm="1">
        <f t="array" aca="1" ref="L22"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ROWS($L$20:L22)
    )
  ),
"")</f>
        <v/>
      </c>
      <c r="M22" s="55"/>
      <c r="N22" s="55"/>
      <c r="O22" s="55"/>
      <c r="P22" s="82"/>
      <c r="Q22" s="51"/>
      <c r="R22" s="39" t="s">
        <v>266</v>
      </c>
      <c r="S22" s="38"/>
      <c r="T22" s="38"/>
      <c r="U22" s="38"/>
      <c r="V22" s="50"/>
    </row>
    <row r="23" spans="1:22" ht="21" thickTop="1" thickBot="1">
      <c r="A23" s="365"/>
      <c r="B23" s="346"/>
      <c r="C23" s="346"/>
      <c r="D23" s="51"/>
      <c r="E23" s="38"/>
      <c r="F23" s="38"/>
      <c r="G23" s="38"/>
      <c r="H23" s="38"/>
      <c r="I23" s="38"/>
      <c r="J23" s="50"/>
      <c r="K23" s="264">
        <v>4</v>
      </c>
      <c r="L23" s="55" t="str" cm="1">
        <f t="array" aca="1" ref="L23"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ROWS($L$20:L23)
    )
  ),
"")</f>
        <v/>
      </c>
      <c r="M23" s="55"/>
      <c r="N23" s="55"/>
      <c r="O23" s="55"/>
      <c r="P23" s="82"/>
      <c r="Q23" s="51"/>
      <c r="R23" s="39" t="s">
        <v>272</v>
      </c>
      <c r="S23" s="38"/>
      <c r="T23" s="38"/>
      <c r="U23" s="38"/>
      <c r="V23" s="50"/>
    </row>
    <row r="24" spans="1:22" ht="21" thickTop="1" thickBot="1">
      <c r="A24" s="365"/>
      <c r="B24" s="346"/>
      <c r="C24" s="346"/>
      <c r="D24" s="51"/>
      <c r="E24" s="38"/>
      <c r="F24" s="38"/>
      <c r="G24" s="38"/>
      <c r="H24" s="38"/>
      <c r="I24" s="38"/>
      <c r="J24" s="50"/>
      <c r="K24" s="264">
        <v>5</v>
      </c>
      <c r="L24" s="55" t="str" cm="1">
        <f t="array" aca="1" ref="L24"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ROWS($L$20:L24)
    )
  ),
"")</f>
        <v/>
      </c>
      <c r="M24" s="55"/>
      <c r="N24" s="55"/>
      <c r="O24" s="55"/>
      <c r="P24" s="82"/>
      <c r="Q24" s="51"/>
      <c r="R24" s="38"/>
      <c r="S24" s="38"/>
      <c r="T24" s="38"/>
      <c r="U24" s="38"/>
      <c r="V24" s="50"/>
    </row>
    <row r="25" spans="1:22" ht="21" thickTop="1" thickBot="1">
      <c r="A25" s="365"/>
      <c r="B25" s="346"/>
      <c r="C25" s="346"/>
      <c r="D25" s="51"/>
      <c r="E25" s="38"/>
      <c r="F25" s="38"/>
      <c r="G25" s="38"/>
      <c r="H25" s="38"/>
      <c r="I25" s="38"/>
      <c r="J25" s="50"/>
      <c r="K25" s="264">
        <v>6</v>
      </c>
      <c r="L25" s="55" t="str" cm="1">
        <f t="array" aca="1" ref="L25"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ROWS($L$20:L25)
    )
  ),
"")</f>
        <v/>
      </c>
      <c r="M25" s="55"/>
      <c r="N25" s="55"/>
      <c r="O25" s="55"/>
      <c r="P25" s="82"/>
      <c r="Q25" s="51"/>
      <c r="R25" s="38"/>
      <c r="S25" s="38"/>
      <c r="T25" s="38"/>
      <c r="U25" s="38"/>
      <c r="V25" s="50"/>
    </row>
    <row r="26" spans="1:22" ht="21" thickTop="1" thickBot="1">
      <c r="A26" s="365"/>
      <c r="B26" s="346"/>
      <c r="C26" s="40"/>
      <c r="D26" s="51"/>
      <c r="E26" s="38"/>
      <c r="F26" s="38"/>
      <c r="G26" s="38"/>
      <c r="H26" s="38"/>
      <c r="I26" s="38"/>
      <c r="J26" s="50"/>
      <c r="K26" s="264">
        <v>7</v>
      </c>
      <c r="L26" s="55" t="str" cm="1">
        <f t="array" aca="1" ref="L26"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ROWS($L$20:L26)
    )
  ),
"")</f>
        <v/>
      </c>
      <c r="M26" s="55"/>
      <c r="N26" s="55"/>
      <c r="O26" s="55"/>
      <c r="P26" s="50"/>
      <c r="Q26" s="51"/>
      <c r="R26" s="38"/>
      <c r="S26" s="38"/>
      <c r="T26" s="38"/>
      <c r="U26" s="38"/>
      <c r="V26" s="50"/>
    </row>
    <row r="27" spans="1:22" ht="21" thickTop="1" thickBot="1">
      <c r="A27" s="366"/>
      <c r="B27" s="346"/>
      <c r="C27" s="40"/>
      <c r="D27" s="51"/>
      <c r="E27" s="38"/>
      <c r="F27" s="38"/>
      <c r="G27" s="38"/>
      <c r="H27" s="38"/>
      <c r="I27" s="38"/>
      <c r="J27" s="44"/>
      <c r="K27" s="265">
        <v>8</v>
      </c>
      <c r="L27" s="55" t="str" cm="1">
        <f t="array" aca="1" ref="L27"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ROWS($L$20:L27)
    )
  ),
"")</f>
        <v/>
      </c>
      <c r="M27" s="55"/>
      <c r="N27" s="55"/>
      <c r="O27" s="55"/>
      <c r="P27" s="82"/>
      <c r="Q27" s="51"/>
      <c r="R27" s="38"/>
      <c r="S27" s="38"/>
      <c r="T27" s="38"/>
      <c r="U27" s="38"/>
      <c r="V27" s="50"/>
    </row>
    <row r="28" spans="1:22" ht="21" thickTop="1" thickBot="1">
      <c r="A28" s="365"/>
      <c r="B28" s="346"/>
      <c r="C28" s="40"/>
      <c r="D28" s="51"/>
      <c r="E28" s="38"/>
      <c r="F28" s="38"/>
      <c r="G28" s="38"/>
      <c r="H28" s="38"/>
      <c r="I28" s="38"/>
      <c r="J28" s="50"/>
      <c r="K28" s="264">
        <v>9</v>
      </c>
      <c r="L28" s="55" t="str" cm="1">
        <f t="array" aca="1" ref="L28"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ROWS($L$20:L28)
    )
  ),
"")</f>
        <v/>
      </c>
      <c r="M28" s="55"/>
      <c r="N28" s="55"/>
      <c r="O28" s="55"/>
      <c r="P28" s="82"/>
      <c r="Q28" s="51"/>
      <c r="R28" s="38"/>
      <c r="S28" s="38"/>
      <c r="T28" s="38"/>
      <c r="U28" s="38"/>
      <c r="V28" s="50"/>
    </row>
    <row r="29" spans="1:22" ht="19.2" thickTop="1" thickBot="1">
      <c r="A29" s="353"/>
      <c r="B29" s="40"/>
      <c r="C29" s="40"/>
      <c r="D29" s="51"/>
      <c r="E29" s="38"/>
      <c r="F29" s="38"/>
      <c r="G29" s="38"/>
      <c r="H29" s="38"/>
      <c r="I29" s="38"/>
      <c r="J29" s="44"/>
      <c r="K29" s="265">
        <v>10</v>
      </c>
      <c r="L29" s="55" t="str" cm="1">
        <f t="array" aca="1" ref="L29"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ROWS($L$20:L29)
    )
  ),
"")</f>
        <v/>
      </c>
      <c r="M29" s="55"/>
      <c r="N29" s="55"/>
      <c r="O29" s="55"/>
      <c r="P29" s="82"/>
      <c r="Q29" s="51"/>
      <c r="R29" s="38"/>
      <c r="S29" s="38"/>
      <c r="T29" s="38"/>
      <c r="U29" s="38"/>
      <c r="V29" s="50"/>
    </row>
    <row r="30" spans="1:22" ht="19.2" thickTop="1" thickBot="1">
      <c r="A30" s="183"/>
      <c r="B30" s="40"/>
      <c r="C30" s="40"/>
      <c r="D30" s="51"/>
      <c r="E30" s="38"/>
      <c r="F30" s="38"/>
      <c r="G30" s="38"/>
      <c r="H30" s="38"/>
      <c r="I30" s="38"/>
      <c r="J30" s="50"/>
      <c r="K30" s="264">
        <v>11</v>
      </c>
      <c r="L30" s="55" t="str" cm="1">
        <f t="array" aca="1" ref="L30"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ROWS($L$20:L30)
    )
  ),
"")</f>
        <v/>
      </c>
      <c r="M30" s="55"/>
      <c r="N30" s="55"/>
      <c r="O30" s="55"/>
      <c r="P30" s="82"/>
      <c r="Q30" s="51"/>
      <c r="R30" s="38"/>
      <c r="S30" s="38"/>
      <c r="T30" s="38"/>
      <c r="U30" s="38"/>
      <c r="V30" s="50"/>
    </row>
    <row r="31" spans="1:22" ht="19.2" thickTop="1" thickBot="1">
      <c r="A31" s="353"/>
      <c r="B31" s="40"/>
      <c r="C31" s="40"/>
      <c r="D31" s="51"/>
      <c r="E31" s="38"/>
      <c r="F31" s="38"/>
      <c r="G31" s="38"/>
      <c r="H31" s="38"/>
      <c r="I31" s="38"/>
      <c r="J31" s="50"/>
      <c r="K31" s="264">
        <v>12</v>
      </c>
      <c r="L31" s="55" t="str" cm="1">
        <f t="array" aca="1" ref="L31"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ROWS($L$20:L31)
    )
  ),
"")</f>
        <v/>
      </c>
      <c r="M31" s="55"/>
      <c r="N31" s="55"/>
      <c r="O31" s="55"/>
      <c r="P31" s="44"/>
      <c r="Q31" s="51"/>
      <c r="R31" s="38"/>
      <c r="S31" s="38"/>
      <c r="T31" s="38"/>
      <c r="U31" s="38"/>
      <c r="V31" s="50"/>
    </row>
    <row r="32" spans="1:22" ht="18.600000000000001" thickTop="1">
      <c r="A32" s="183"/>
      <c r="B32" s="40"/>
      <c r="C32" s="40"/>
      <c r="D32" s="51"/>
      <c r="E32" s="38"/>
      <c r="F32" s="38"/>
      <c r="G32" s="38"/>
      <c r="H32" s="38"/>
      <c r="I32" s="38"/>
      <c r="J32" s="50"/>
      <c r="K32" s="59"/>
      <c r="L32" s="38"/>
      <c r="M32" s="38"/>
      <c r="N32" s="38"/>
      <c r="O32" s="38"/>
      <c r="P32" s="69"/>
      <c r="Q32" s="51"/>
      <c r="R32" s="38"/>
      <c r="S32" s="38"/>
      <c r="T32" s="38"/>
      <c r="U32" s="38"/>
      <c r="V32" s="50"/>
    </row>
    <row r="33" spans="1:22">
      <c r="A33" s="353"/>
      <c r="B33" s="40"/>
      <c r="C33" s="40"/>
      <c r="D33" s="51"/>
      <c r="E33" s="38"/>
      <c r="F33" s="38"/>
      <c r="G33" s="38"/>
      <c r="H33" s="38"/>
      <c r="I33" s="38"/>
      <c r="J33" s="50"/>
      <c r="K33" s="51"/>
      <c r="L33" s="38"/>
      <c r="M33" s="38"/>
      <c r="N33" s="38"/>
      <c r="O33" s="38"/>
      <c r="P33" s="44"/>
      <c r="Q33" s="51"/>
      <c r="R33" s="38"/>
      <c r="S33" s="38"/>
      <c r="T33" s="38"/>
      <c r="U33" s="38"/>
      <c r="V33" s="50"/>
    </row>
    <row r="34" spans="1:22">
      <c r="A34" s="40"/>
      <c r="B34" s="40"/>
      <c r="C34" s="40"/>
      <c r="D34" s="83"/>
      <c r="E34" s="83"/>
      <c r="F34" s="83"/>
      <c r="G34" s="83"/>
      <c r="H34" s="83"/>
      <c r="I34" s="83"/>
      <c r="J34" s="40"/>
      <c r="K34" s="83"/>
      <c r="L34" s="83"/>
      <c r="M34" s="83"/>
      <c r="N34" s="83"/>
      <c r="O34" s="83"/>
      <c r="P34" s="40"/>
      <c r="Q34" s="83"/>
      <c r="R34" s="83"/>
      <c r="S34" s="83"/>
      <c r="T34" s="83"/>
      <c r="U34" s="83"/>
      <c r="V34" s="40"/>
    </row>
    <row r="35" spans="1:22" ht="18.600000000000001" thickBot="1">
      <c r="A35" s="205" t="s">
        <v>93</v>
      </c>
      <c r="B35" s="40"/>
      <c r="C35" s="40"/>
      <c r="D35" s="83"/>
      <c r="E35" s="83"/>
      <c r="F35" s="83"/>
      <c r="G35" s="83"/>
      <c r="H35" s="83"/>
      <c r="I35" s="83"/>
      <c r="J35" s="40"/>
      <c r="K35" s="83"/>
      <c r="L35" s="83"/>
      <c r="M35" s="83"/>
      <c r="N35" s="83"/>
      <c r="O35" s="83"/>
      <c r="P35" s="40"/>
      <c r="Q35" s="83"/>
      <c r="R35" s="83"/>
      <c r="S35" s="83"/>
      <c r="T35" s="83"/>
      <c r="U35" s="83"/>
      <c r="V35" s="40"/>
    </row>
    <row r="36" spans="1:22" ht="41.4" customHeight="1" thickBot="1">
      <c r="A36" s="206" t="s">
        <v>163</v>
      </c>
      <c r="B36" s="207"/>
      <c r="C36" s="328" t="s">
        <v>162</v>
      </c>
      <c r="D36" s="329"/>
      <c r="E36" s="329"/>
      <c r="F36" s="329"/>
      <c r="G36" s="330" t="s">
        <v>128</v>
      </c>
      <c r="H36" s="331"/>
      <c r="I36" s="224"/>
      <c r="J36" s="208" t="s">
        <v>161</v>
      </c>
      <c r="K36" s="207"/>
      <c r="L36" s="207"/>
      <c r="M36" s="207"/>
      <c r="N36" s="207"/>
      <c r="O36" s="207"/>
      <c r="P36" s="207"/>
      <c r="Q36" s="207"/>
      <c r="R36" s="207"/>
      <c r="S36" s="207"/>
      <c r="T36" s="207"/>
      <c r="U36" s="207"/>
      <c r="V36" s="209"/>
    </row>
    <row r="37" spans="1:22" ht="18.600000000000001" thickBot="1">
      <c r="A37" s="84" t="s">
        <v>117</v>
      </c>
      <c r="B37" s="85">
        <f ca="1">A9</f>
        <v>45914</v>
      </c>
      <c r="C37" s="408">
        <f ca="1">B9</f>
        <v>45914</v>
      </c>
      <c r="D37" s="408"/>
      <c r="E37" s="408"/>
      <c r="F37" s="86"/>
      <c r="G37" s="407" t="s">
        <v>127</v>
      </c>
      <c r="H37" s="407"/>
      <c r="I37" s="192" t="str" cm="1">
        <f t="array" aca="1" ref="I37" ca="1">_xlfn.LET(
  _xlpm.raw, $B$37,
  _xlpm.m, IF(AND(ISNUMBER(_xlpm.raw), _xlpm.raw&gt;=1, _xlpm.raw&lt;=12),
        TEXT(_xlpm.raw,"00"),
        IF(ISNUMBER(_xlpm.raw),
           TEXT(_xlpm.raw,"mm"),
           TEXT(DATE(YEAR(TODAY()),VALUE(SUBSTITUTE(_xlpm.raw,"月","")),1),"mm")
        )
     ),
  _xlpm.arr, 売上工数管理!$C$5:$C$16,
  _xlpm.hit, _xlfn.XLOOKUP(_xlpm.m, RIGHT(_xlpm.arr,2), _xlpm.arr, ""),
  IF(_xlpm.hit&lt;&gt;"", _xlpm.hit, LEFT(INDEX(_xlpm.arr,1),4)&amp;"_"&amp;_xlpm.m)
)</f>
        <v>2025_09</v>
      </c>
      <c r="J37" s="86"/>
      <c r="K37" s="86"/>
      <c r="L37" s="86"/>
      <c r="M37" s="40"/>
      <c r="N37" s="268" t="s">
        <v>202</v>
      </c>
      <c r="O37" s="40"/>
      <c r="P37" s="40"/>
      <c r="Q37" s="40"/>
      <c r="R37" s="40"/>
      <c r="S37" s="40"/>
      <c r="T37" s="40"/>
      <c r="U37" s="40"/>
      <c r="V37" s="40"/>
    </row>
    <row r="38" spans="1:22" ht="18.600000000000001" thickBot="1">
      <c r="A38" s="87"/>
      <c r="B38" s="87"/>
      <c r="C38" s="71" t="s">
        <v>179</v>
      </c>
      <c r="D38" s="71"/>
      <c r="E38" s="71" t="s">
        <v>179</v>
      </c>
      <c r="F38" s="71"/>
      <c r="G38" s="193" t="s">
        <v>179</v>
      </c>
      <c r="H38" s="193"/>
      <c r="I38" s="71" t="s">
        <v>279</v>
      </c>
      <c r="J38" s="40"/>
      <c r="K38" s="40"/>
      <c r="L38" s="40"/>
      <c r="M38" s="40"/>
      <c r="N38" s="71" t="s">
        <v>158</v>
      </c>
      <c r="O38" s="40"/>
      <c r="P38" s="40"/>
      <c r="Q38" s="40"/>
      <c r="R38" s="40"/>
      <c r="S38" s="40"/>
      <c r="T38" s="40"/>
      <c r="U38" s="40"/>
      <c r="V38" s="40"/>
    </row>
    <row r="39" spans="1:22" ht="18.600000000000001" thickBot="1">
      <c r="A39" s="210" t="s">
        <v>139</v>
      </c>
      <c r="B39" s="248" t="s">
        <v>116</v>
      </c>
      <c r="C39" s="334" t="s">
        <v>153</v>
      </c>
      <c r="D39" s="237" t="s">
        <v>152</v>
      </c>
      <c r="E39" s="335" t="s">
        <v>154</v>
      </c>
      <c r="F39" s="237" t="s">
        <v>155</v>
      </c>
      <c r="G39" s="335" t="s">
        <v>156</v>
      </c>
      <c r="H39" s="237" t="s">
        <v>157</v>
      </c>
      <c r="I39" s="399" t="s">
        <v>138</v>
      </c>
      <c r="J39" s="399"/>
      <c r="K39" s="399"/>
      <c r="L39" s="400"/>
      <c r="M39" s="40"/>
      <c r="N39" s="336" t="s">
        <v>153</v>
      </c>
      <c r="O39" s="88" t="s">
        <v>152</v>
      </c>
      <c r="P39" s="336" t="s">
        <v>154</v>
      </c>
      <c r="Q39" s="88" t="s">
        <v>155</v>
      </c>
      <c r="R39" s="336" t="s">
        <v>156</v>
      </c>
      <c r="S39" s="88" t="s">
        <v>157</v>
      </c>
      <c r="T39" s="40"/>
      <c r="U39" s="40"/>
      <c r="V39" s="40"/>
    </row>
    <row r="40" spans="1:22" ht="18.600000000000001" thickBot="1">
      <c r="A40" s="194" cm="1">
        <f t="array" aca="1" ref="A40:A70" ca="1">_xlfn.LET(_xlpm.r, INDIRECT("'" &amp; $I$37 &amp; "'!E2:AI2"),
     TRANSPOSE(_xlpm.r))</f>
        <v>45901</v>
      </c>
      <c r="B40" s="249" cm="1">
        <f t="array" aca="1" ref="B40:B70" ca="1">IFERROR(
  _xlfn.LET(
    _xlpm.r, INDIRECT("'" &amp; $I$37 &amp; "'!E3:AI3"),
    _xlpm.v, TRANSPOSE(_xlpm.r),
    _xlfn.TAKE(_xlpm.v, ROWS($B$40:$B$70))
  ),
  ""
)</f>
        <v>8</v>
      </c>
      <c r="C40" s="252"/>
      <c r="D40" s="253" t="str">
        <f>IF(C40="","",VLOOKUP(C40,ダッシュボード!$N$40:$O$44,2,FALSE()))</f>
        <v/>
      </c>
      <c r="E40" s="259"/>
      <c r="F40" s="260" t="str">
        <f>IF(E40="","",VLOOKUP(E40,ダッシュボード!$P$40:$Q$44,2,FALSE()))</f>
        <v/>
      </c>
      <c r="G40" s="259"/>
      <c r="H40" s="260" t="str">
        <f>IF(G40="","",VLOOKUP(G40,ダッシュボード!$R$40:$S$44,2,FALSE()))</f>
        <v/>
      </c>
      <c r="I40" s="409"/>
      <c r="J40" s="410"/>
      <c r="K40" s="410"/>
      <c r="L40" s="411"/>
      <c r="M40" s="40"/>
      <c r="N40" s="337">
        <v>1</v>
      </c>
      <c r="O40" s="89" t="s">
        <v>118</v>
      </c>
      <c r="P40" s="337">
        <v>1</v>
      </c>
      <c r="Q40" s="90" t="s">
        <v>123</v>
      </c>
      <c r="R40" s="337">
        <v>1</v>
      </c>
      <c r="S40" s="91" t="s">
        <v>134</v>
      </c>
      <c r="T40" s="40"/>
      <c r="U40" s="40"/>
      <c r="V40" s="40"/>
    </row>
    <row r="41" spans="1:22" ht="18.600000000000001" thickBot="1">
      <c r="A41" s="195">
        <f ca="1"/>
        <v>45902</v>
      </c>
      <c r="B41" s="250" t="str">
        <f ca="1"/>
        <v/>
      </c>
      <c r="C41" s="254"/>
      <c r="D41" s="253" t="str">
        <f>IF(C41="","",VLOOKUP(C41,ダッシュボード!$N$40:$O$44,2,FALSE()))</f>
        <v/>
      </c>
      <c r="E41" s="257"/>
      <c r="F41" s="211" t="str">
        <f>IF(E41="","",VLOOKUP(E41,ダッシュボード!$P$40:$Q$44,2,FALSE()))</f>
        <v/>
      </c>
      <c r="G41" s="257"/>
      <c r="H41" s="211" t="str">
        <f>IF(G41="","",VLOOKUP(G41,ダッシュボード!$R$40:$S$44,2,FALSE()))</f>
        <v/>
      </c>
      <c r="I41" s="401"/>
      <c r="J41" s="402"/>
      <c r="K41" s="402"/>
      <c r="L41" s="403"/>
      <c r="M41" s="40"/>
      <c r="N41" s="338">
        <v>2</v>
      </c>
      <c r="O41" s="91" t="s">
        <v>119</v>
      </c>
      <c r="P41" s="338">
        <v>2</v>
      </c>
      <c r="Q41" s="90" t="s">
        <v>124</v>
      </c>
      <c r="R41" s="338">
        <v>2</v>
      </c>
      <c r="S41" s="91" t="s">
        <v>131</v>
      </c>
      <c r="T41" s="40"/>
      <c r="U41" s="40"/>
      <c r="V41" s="40"/>
    </row>
    <row r="42" spans="1:22" ht="18.600000000000001" thickBot="1">
      <c r="A42" s="195">
        <f ca="1"/>
        <v>45903</v>
      </c>
      <c r="B42" s="250" t="str">
        <f ca="1"/>
        <v/>
      </c>
      <c r="C42" s="254"/>
      <c r="D42" s="253" t="str">
        <f>IF(C42="","",VLOOKUP(C42,ダッシュボード!$N$40:$O$44,2,FALSE()))</f>
        <v/>
      </c>
      <c r="E42" s="257"/>
      <c r="F42" s="211" t="str">
        <f>IF(E42="","",VLOOKUP(E42,ダッシュボード!$P$40:$Q$44,2,FALSE()))</f>
        <v/>
      </c>
      <c r="G42" s="257"/>
      <c r="H42" s="211" t="str">
        <f>IF(G42="","",VLOOKUP(G42,ダッシュボード!$R$40:$S$44,2,FALSE()))</f>
        <v/>
      </c>
      <c r="I42" s="401"/>
      <c r="J42" s="402"/>
      <c r="K42" s="402"/>
      <c r="L42" s="403"/>
      <c r="M42" s="40"/>
      <c r="N42" s="338">
        <v>3</v>
      </c>
      <c r="O42" s="91" t="s">
        <v>120</v>
      </c>
      <c r="P42" s="338">
        <v>3</v>
      </c>
      <c r="Q42" s="90" t="s">
        <v>125</v>
      </c>
      <c r="R42" s="338">
        <v>3</v>
      </c>
      <c r="S42" s="91" t="s">
        <v>132</v>
      </c>
      <c r="T42" s="40"/>
      <c r="U42" s="40"/>
      <c r="V42" s="40"/>
    </row>
    <row r="43" spans="1:22" ht="18.600000000000001" thickBot="1">
      <c r="A43" s="195">
        <f ca="1"/>
        <v>45904</v>
      </c>
      <c r="B43" s="250" t="str">
        <f ca="1"/>
        <v/>
      </c>
      <c r="C43" s="254"/>
      <c r="D43" s="253" t="str">
        <f>IF(C43="","",VLOOKUP(C43,ダッシュボード!$N$40:$O$44,2,FALSE()))</f>
        <v/>
      </c>
      <c r="E43" s="257"/>
      <c r="F43" s="211" t="str">
        <f>IF(E43="","",VLOOKUP(E43,ダッシュボード!$P$40:$Q$44,2,FALSE()))</f>
        <v/>
      </c>
      <c r="G43" s="257"/>
      <c r="H43" s="211" t="str">
        <f>IF(G43="","",VLOOKUP(G43,ダッシュボード!$R$40:$S$44,2,FALSE()))</f>
        <v/>
      </c>
      <c r="I43" s="401"/>
      <c r="J43" s="402"/>
      <c r="K43" s="402"/>
      <c r="L43" s="403"/>
      <c r="M43" s="40"/>
      <c r="N43" s="338">
        <v>4</v>
      </c>
      <c r="O43" s="91" t="s">
        <v>121</v>
      </c>
      <c r="P43" s="338">
        <v>4</v>
      </c>
      <c r="Q43" s="90"/>
      <c r="R43" s="338">
        <v>4</v>
      </c>
      <c r="S43" s="91" t="s">
        <v>133</v>
      </c>
      <c r="T43" s="40"/>
      <c r="U43" s="40"/>
      <c r="V43" s="40"/>
    </row>
    <row r="44" spans="1:22" ht="18.600000000000001" thickBot="1">
      <c r="A44" s="195">
        <f ca="1"/>
        <v>45905</v>
      </c>
      <c r="B44" s="250" t="str">
        <f ca="1"/>
        <v/>
      </c>
      <c r="C44" s="254"/>
      <c r="D44" s="253" t="str">
        <f>IF(C44="","",VLOOKUP(C44,ダッシュボード!$N$40:$O$44,2,FALSE()))</f>
        <v/>
      </c>
      <c r="E44" s="257"/>
      <c r="F44" s="211" t="str">
        <f>IF(E44="","",VLOOKUP(E44,ダッシュボード!$P$40:$Q$44,2,FALSE()))</f>
        <v/>
      </c>
      <c r="G44" s="257"/>
      <c r="H44" s="211" t="str">
        <f>IF(G44="","",VLOOKUP(G44,ダッシュボード!$R$40:$S$44,2,FALSE()))</f>
        <v/>
      </c>
      <c r="I44" s="401"/>
      <c r="J44" s="402"/>
      <c r="K44" s="402"/>
      <c r="L44" s="403"/>
      <c r="M44" s="40"/>
      <c r="N44" s="339">
        <v>5</v>
      </c>
      <c r="O44" s="92" t="s">
        <v>122</v>
      </c>
      <c r="P44" s="339">
        <v>5</v>
      </c>
      <c r="Q44" s="93"/>
      <c r="R44" s="339">
        <v>5</v>
      </c>
      <c r="S44" s="92" t="s">
        <v>135</v>
      </c>
      <c r="T44" s="40"/>
      <c r="U44" s="40"/>
      <c r="V44" s="40"/>
    </row>
    <row r="45" spans="1:22" ht="18.600000000000001" thickBot="1">
      <c r="A45" s="195">
        <f ca="1"/>
        <v>45906</v>
      </c>
      <c r="B45" s="250" t="str">
        <f ca="1"/>
        <v/>
      </c>
      <c r="C45" s="254"/>
      <c r="D45" s="253" t="str">
        <f>IF(C45="","",VLOOKUP(C45,ダッシュボード!$N$40:$O$44,2,FALSE()))</f>
        <v/>
      </c>
      <c r="E45" s="257"/>
      <c r="F45" s="211" t="str">
        <f>IF(E45="","",VLOOKUP(E45,ダッシュボード!$P$40:$Q$44,2,FALSE()))</f>
        <v/>
      </c>
      <c r="G45" s="257"/>
      <c r="H45" s="211" t="str">
        <f>IF(G45="","",VLOOKUP(G45,ダッシュボード!$R$40:$S$44,2,FALSE()))</f>
        <v/>
      </c>
      <c r="I45" s="401"/>
      <c r="J45" s="402"/>
      <c r="K45" s="402"/>
      <c r="L45" s="403"/>
      <c r="M45" s="40"/>
      <c r="N45" s="87"/>
      <c r="O45" s="87"/>
      <c r="P45" s="87"/>
      <c r="Q45" s="87"/>
      <c r="R45" s="87"/>
      <c r="S45" s="87"/>
      <c r="T45" s="40"/>
      <c r="U45" s="40"/>
      <c r="V45" s="40"/>
    </row>
    <row r="46" spans="1:22" ht="18.600000000000001" thickBot="1">
      <c r="A46" s="195">
        <f ca="1"/>
        <v>45907</v>
      </c>
      <c r="B46" s="250" t="str">
        <f ca="1"/>
        <v/>
      </c>
      <c r="C46" s="254"/>
      <c r="D46" s="253" t="str">
        <f>IF(C46="","",VLOOKUP(C46,ダッシュボード!$N$40:$O$44,2,FALSE()))</f>
        <v/>
      </c>
      <c r="E46" s="257"/>
      <c r="F46" s="211" t="str">
        <f>IF(E46="","",VLOOKUP(E46,ダッシュボード!$P$40:$Q$44,2,FALSE()))</f>
        <v/>
      </c>
      <c r="G46" s="257"/>
      <c r="H46" s="211" t="str">
        <f>IF(G46="","",VLOOKUP(G46,ダッシュボード!$R$40:$S$44,2,FALSE()))</f>
        <v/>
      </c>
      <c r="I46" s="401"/>
      <c r="J46" s="402"/>
      <c r="K46" s="402"/>
      <c r="L46" s="403"/>
      <c r="M46" s="40"/>
      <c r="N46" s="71" t="s">
        <v>158</v>
      </c>
      <c r="O46" s="40"/>
      <c r="P46" s="40"/>
      <c r="Q46" s="40"/>
      <c r="R46" s="40"/>
      <c r="S46" s="40"/>
      <c r="T46" s="40"/>
      <c r="U46" s="40"/>
      <c r="V46" s="40"/>
    </row>
    <row r="47" spans="1:22" ht="18.600000000000001" thickBot="1">
      <c r="A47" s="195">
        <f ca="1"/>
        <v>45908</v>
      </c>
      <c r="B47" s="250" t="str">
        <f ca="1"/>
        <v/>
      </c>
      <c r="C47" s="254"/>
      <c r="D47" s="253" t="str">
        <f>IF(C47="","",VLOOKUP(C47,ダッシュボード!$N$40:$O$44,2,FALSE()))</f>
        <v/>
      </c>
      <c r="E47" s="257"/>
      <c r="F47" s="211" t="str">
        <f>IF(E47="","",VLOOKUP(E47,ダッシュボード!$P$40:$Q$44,2,FALSE()))</f>
        <v/>
      </c>
      <c r="G47" s="257"/>
      <c r="H47" s="211" t="str">
        <f>IF(G47="","",VLOOKUP(G47,ダッシュボード!$R$40:$S$44,2,FALSE()))</f>
        <v/>
      </c>
      <c r="I47" s="401"/>
      <c r="J47" s="402"/>
      <c r="K47" s="402"/>
      <c r="L47" s="403"/>
      <c r="M47" s="40"/>
      <c r="N47" s="336" t="s">
        <v>153</v>
      </c>
      <c r="O47" s="88" t="s">
        <v>152</v>
      </c>
      <c r="P47" s="336" t="s">
        <v>154</v>
      </c>
      <c r="Q47" s="88" t="s">
        <v>155</v>
      </c>
      <c r="R47" s="336" t="s">
        <v>156</v>
      </c>
      <c r="S47" s="88" t="s">
        <v>157</v>
      </c>
      <c r="T47" s="40"/>
      <c r="U47" s="40"/>
      <c r="V47" s="40"/>
    </row>
    <row r="48" spans="1:22" ht="18.600000000000001" thickBot="1">
      <c r="A48" s="195">
        <f ca="1"/>
        <v>45909</v>
      </c>
      <c r="B48" s="250" t="str">
        <f ca="1"/>
        <v/>
      </c>
      <c r="C48" s="254"/>
      <c r="D48" s="253" t="str">
        <f>IF(C48="","",VLOOKUP(C48,ダッシュボード!$N$40:$O$44,2,FALSE()))</f>
        <v/>
      </c>
      <c r="E48" s="257"/>
      <c r="F48" s="211" t="str">
        <f>IF(E48="","",VLOOKUP(E48,ダッシュボード!$P$40:$Q$44,2,FALSE()))</f>
        <v/>
      </c>
      <c r="G48" s="257"/>
      <c r="H48" s="211" t="str">
        <f>IF(G48="","",VLOOKUP(G48,ダッシュボード!$R$40:$S$44,2,FALSE()))</f>
        <v/>
      </c>
      <c r="I48" s="401"/>
      <c r="J48" s="402"/>
      <c r="K48" s="402"/>
      <c r="L48" s="403"/>
      <c r="M48" s="40"/>
      <c r="N48" s="337">
        <v>1</v>
      </c>
      <c r="O48" s="89" t="s">
        <v>118</v>
      </c>
      <c r="P48" s="337">
        <v>1</v>
      </c>
      <c r="Q48" s="90" t="s">
        <v>123</v>
      </c>
      <c r="R48" s="337">
        <v>1</v>
      </c>
      <c r="S48" s="91" t="s">
        <v>134</v>
      </c>
      <c r="T48" s="40"/>
      <c r="U48" s="40"/>
      <c r="V48" s="40"/>
    </row>
    <row r="49" spans="1:22" ht="18.600000000000001" thickBot="1">
      <c r="A49" s="195">
        <f ca="1"/>
        <v>45910</v>
      </c>
      <c r="B49" s="250" t="str">
        <f ca="1"/>
        <v/>
      </c>
      <c r="C49" s="254"/>
      <c r="D49" s="253" t="str">
        <f>IF(C49="","",VLOOKUP(C49,ダッシュボード!$N$40:$O$44,2,FALSE()))</f>
        <v/>
      </c>
      <c r="E49" s="257"/>
      <c r="F49" s="211" t="str">
        <f>IF(E49="","",VLOOKUP(E49,ダッシュボード!$P$40:$Q$44,2,FALSE()))</f>
        <v/>
      </c>
      <c r="G49" s="257"/>
      <c r="H49" s="211" t="str">
        <f>IF(G49="","",VLOOKUP(G49,ダッシュボード!$R$40:$S$44,2,FALSE()))</f>
        <v/>
      </c>
      <c r="I49" s="401"/>
      <c r="J49" s="402"/>
      <c r="K49" s="402"/>
      <c r="L49" s="403"/>
      <c r="M49" s="40"/>
      <c r="N49" s="338">
        <v>2</v>
      </c>
      <c r="O49" s="91" t="s">
        <v>119</v>
      </c>
      <c r="P49" s="338">
        <v>2</v>
      </c>
      <c r="Q49" s="90" t="s">
        <v>124</v>
      </c>
      <c r="R49" s="338">
        <v>2</v>
      </c>
      <c r="S49" s="91" t="s">
        <v>131</v>
      </c>
      <c r="T49" s="40"/>
      <c r="U49" s="40"/>
      <c r="V49" s="40"/>
    </row>
    <row r="50" spans="1:22" ht="18.600000000000001" thickBot="1">
      <c r="A50" s="195">
        <f ca="1"/>
        <v>45911</v>
      </c>
      <c r="B50" s="250" t="str">
        <f ca="1"/>
        <v/>
      </c>
      <c r="C50" s="254"/>
      <c r="D50" s="253" t="str">
        <f>IF(C50="","",VLOOKUP(C50,ダッシュボード!$N$40:$O$44,2,FALSE()))</f>
        <v/>
      </c>
      <c r="E50" s="257"/>
      <c r="F50" s="211" t="str">
        <f>IF(E50="","",VLOOKUP(E50,ダッシュボード!$P$40:$Q$44,2,FALSE()))</f>
        <v/>
      </c>
      <c r="G50" s="257"/>
      <c r="H50" s="211" t="str">
        <f>IF(G50="","",VLOOKUP(G50,ダッシュボード!$R$40:$S$44,2,FALSE()))</f>
        <v/>
      </c>
      <c r="I50" s="401"/>
      <c r="J50" s="402"/>
      <c r="K50" s="402"/>
      <c r="L50" s="403"/>
      <c r="M50" s="40"/>
      <c r="N50" s="338">
        <v>3</v>
      </c>
      <c r="O50" s="91" t="s">
        <v>120</v>
      </c>
      <c r="P50" s="338">
        <v>3</v>
      </c>
      <c r="Q50" s="90" t="s">
        <v>125</v>
      </c>
      <c r="R50" s="338">
        <v>3</v>
      </c>
      <c r="S50" s="91" t="s">
        <v>132</v>
      </c>
      <c r="T50" s="40"/>
      <c r="U50" s="40"/>
      <c r="V50" s="40"/>
    </row>
    <row r="51" spans="1:22" ht="18.600000000000001" thickBot="1">
      <c r="A51" s="195">
        <f ca="1"/>
        <v>45912</v>
      </c>
      <c r="B51" s="250" t="str">
        <f ca="1"/>
        <v/>
      </c>
      <c r="C51" s="254"/>
      <c r="D51" s="253" t="str">
        <f>IF(C51="","",VLOOKUP(C51,ダッシュボード!$N$40:$O$44,2,FALSE()))</f>
        <v/>
      </c>
      <c r="E51" s="257"/>
      <c r="F51" s="211" t="str">
        <f>IF(E51="","",VLOOKUP(E51,ダッシュボード!$P$40:$Q$44,2,FALSE()))</f>
        <v/>
      </c>
      <c r="G51" s="257"/>
      <c r="H51" s="211" t="str">
        <f>IF(G51="","",VLOOKUP(G51,ダッシュボード!$R$40:$S$44,2,FALSE()))</f>
        <v/>
      </c>
      <c r="I51" s="401"/>
      <c r="J51" s="402"/>
      <c r="K51" s="402"/>
      <c r="L51" s="403"/>
      <c r="M51" s="40"/>
      <c r="N51" s="338">
        <v>4</v>
      </c>
      <c r="O51" s="91" t="s">
        <v>121</v>
      </c>
      <c r="P51" s="338">
        <v>4</v>
      </c>
      <c r="Q51" s="90"/>
      <c r="R51" s="338">
        <v>4</v>
      </c>
      <c r="S51" s="91" t="s">
        <v>133</v>
      </c>
      <c r="T51" s="40"/>
      <c r="U51" s="40"/>
      <c r="V51" s="40"/>
    </row>
    <row r="52" spans="1:22" ht="18.600000000000001" thickBot="1">
      <c r="A52" s="195">
        <f ca="1"/>
        <v>45913</v>
      </c>
      <c r="B52" s="250" t="str">
        <f ca="1"/>
        <v/>
      </c>
      <c r="C52" s="254"/>
      <c r="D52" s="253" t="str">
        <f>IF(C52="","",VLOOKUP(C52,ダッシュボード!$N$40:$O$44,2,FALSE()))</f>
        <v/>
      </c>
      <c r="E52" s="257"/>
      <c r="F52" s="211" t="str">
        <f>IF(E52="","",VLOOKUP(E52,ダッシュボード!$P$40:$Q$44,2,FALSE()))</f>
        <v/>
      </c>
      <c r="G52" s="257"/>
      <c r="H52" s="211" t="str">
        <f>IF(G52="","",VLOOKUP(G52,ダッシュボード!$R$40:$S$44,2,FALSE()))</f>
        <v/>
      </c>
      <c r="I52" s="401"/>
      <c r="J52" s="402"/>
      <c r="K52" s="402"/>
      <c r="L52" s="403"/>
      <c r="M52" s="40"/>
      <c r="N52" s="339">
        <v>5</v>
      </c>
      <c r="O52" s="92" t="s">
        <v>122</v>
      </c>
      <c r="P52" s="339">
        <v>5</v>
      </c>
      <c r="Q52" s="93"/>
      <c r="R52" s="339">
        <v>5</v>
      </c>
      <c r="S52" s="92" t="s">
        <v>135</v>
      </c>
      <c r="T52" s="40"/>
      <c r="U52" s="40"/>
      <c r="V52" s="40"/>
    </row>
    <row r="53" spans="1:22" ht="18.600000000000001" thickBot="1">
      <c r="A53" s="195">
        <f ca="1"/>
        <v>45914</v>
      </c>
      <c r="B53" s="250" t="str">
        <f ca="1"/>
        <v/>
      </c>
      <c r="C53" s="254"/>
      <c r="D53" s="253" t="str">
        <f>IF(C53="","",VLOOKUP(C53,ダッシュボード!$N$40:$O$44,2,FALSE()))</f>
        <v/>
      </c>
      <c r="E53" s="257"/>
      <c r="F53" s="211" t="str">
        <f>IF(E53="","",VLOOKUP(E53,ダッシュボード!$P$40:$Q$44,2,FALSE()))</f>
        <v/>
      </c>
      <c r="G53" s="257"/>
      <c r="H53" s="211" t="str">
        <f>IF(G53="","",VLOOKUP(G53,ダッシュボード!$R$40:$S$44,2,FALSE()))</f>
        <v/>
      </c>
      <c r="I53" s="401"/>
      <c r="J53" s="402"/>
      <c r="K53" s="402"/>
      <c r="L53" s="403"/>
      <c r="M53" s="40"/>
      <c r="N53" s="87"/>
      <c r="O53" s="87"/>
      <c r="P53" s="87"/>
      <c r="Q53" s="87"/>
      <c r="R53" s="87"/>
      <c r="S53" s="87"/>
      <c r="T53" s="40"/>
      <c r="U53" s="40"/>
      <c r="V53" s="40"/>
    </row>
    <row r="54" spans="1:22" ht="18.600000000000001" thickBot="1">
      <c r="A54" s="195">
        <f ca="1"/>
        <v>45915</v>
      </c>
      <c r="B54" s="250" t="str">
        <f ca="1"/>
        <v/>
      </c>
      <c r="C54" s="254"/>
      <c r="D54" s="253" t="str">
        <f>IF(C54="","",VLOOKUP(C54,ダッシュボード!$N$40:$O$44,2,FALSE()))</f>
        <v/>
      </c>
      <c r="E54" s="257"/>
      <c r="F54" s="211" t="str">
        <f>IF(E54="","",VLOOKUP(E54,ダッシュボード!$P$40:$Q$44,2,FALSE()))</f>
        <v/>
      </c>
      <c r="G54" s="257"/>
      <c r="H54" s="211" t="str">
        <f>IF(G54="","",VLOOKUP(G54,ダッシュボード!$R$40:$S$44,2,FALSE()))</f>
        <v/>
      </c>
      <c r="I54" s="401"/>
      <c r="J54" s="402"/>
      <c r="K54" s="402"/>
      <c r="L54" s="403"/>
      <c r="M54" s="40"/>
      <c r="N54" s="71" t="s">
        <v>158</v>
      </c>
      <c r="O54" s="40"/>
      <c r="P54" s="40"/>
      <c r="Q54" s="40"/>
      <c r="R54" s="40"/>
      <c r="S54" s="40"/>
      <c r="T54" s="40"/>
      <c r="U54" s="40"/>
      <c r="V54" s="40"/>
    </row>
    <row r="55" spans="1:22" ht="18.600000000000001" thickBot="1">
      <c r="A55" s="195">
        <f ca="1"/>
        <v>45916</v>
      </c>
      <c r="B55" s="250" t="str">
        <f ca="1"/>
        <v/>
      </c>
      <c r="C55" s="254"/>
      <c r="D55" s="253" t="str">
        <f>IF(C55="","",VLOOKUP(C55,ダッシュボード!$N$40:$O$44,2,FALSE()))</f>
        <v/>
      </c>
      <c r="E55" s="257"/>
      <c r="F55" s="211" t="str">
        <f>IF(E55="","",VLOOKUP(E55,ダッシュボード!$P$40:$Q$44,2,FALSE()))</f>
        <v/>
      </c>
      <c r="G55" s="257"/>
      <c r="H55" s="211" t="str">
        <f>IF(G55="","",VLOOKUP(G55,ダッシュボード!$R$40:$S$44,2,FALSE()))</f>
        <v/>
      </c>
      <c r="I55" s="401"/>
      <c r="J55" s="402"/>
      <c r="K55" s="402"/>
      <c r="L55" s="403"/>
      <c r="M55" s="40"/>
      <c r="N55" s="340" t="s">
        <v>153</v>
      </c>
      <c r="O55" s="198" t="s">
        <v>152</v>
      </c>
      <c r="P55" s="344" t="s">
        <v>154</v>
      </c>
      <c r="Q55" s="198" t="s">
        <v>155</v>
      </c>
      <c r="R55" s="344" t="s">
        <v>156</v>
      </c>
      <c r="S55" s="199" t="s">
        <v>157</v>
      </c>
      <c r="T55" s="40"/>
      <c r="U55" s="40"/>
      <c r="V55" s="40"/>
    </row>
    <row r="56" spans="1:22" ht="18.600000000000001" thickBot="1">
      <c r="A56" s="195">
        <f ca="1"/>
        <v>45917</v>
      </c>
      <c r="B56" s="250" t="str">
        <f ca="1"/>
        <v/>
      </c>
      <c r="C56" s="254"/>
      <c r="D56" s="253" t="str">
        <f>IF(C56="","",VLOOKUP(C56,ダッシュボード!$N$40:$O$44,2,FALSE()))</f>
        <v/>
      </c>
      <c r="E56" s="257"/>
      <c r="F56" s="211" t="str">
        <f>IF(E56="","",VLOOKUP(E56,ダッシュボード!$P$40:$Q$44,2,FALSE()))</f>
        <v/>
      </c>
      <c r="G56" s="257"/>
      <c r="H56" s="211" t="str">
        <f>IF(G56="","",VLOOKUP(G56,ダッシュボード!$R$40:$S$44,2,FALSE()))</f>
        <v/>
      </c>
      <c r="I56" s="401"/>
      <c r="J56" s="402"/>
      <c r="K56" s="402"/>
      <c r="L56" s="403"/>
      <c r="M56" s="40"/>
      <c r="N56" s="341">
        <v>1</v>
      </c>
      <c r="O56" s="89" t="s">
        <v>118</v>
      </c>
      <c r="P56" s="337">
        <v>1</v>
      </c>
      <c r="Q56" s="90" t="s">
        <v>123</v>
      </c>
      <c r="R56" s="337">
        <v>1</v>
      </c>
      <c r="S56" s="200" t="s">
        <v>134</v>
      </c>
      <c r="T56" s="40"/>
      <c r="U56" s="40"/>
      <c r="V56" s="40"/>
    </row>
    <row r="57" spans="1:22" ht="18.600000000000001" thickBot="1">
      <c r="A57" s="195">
        <f ca="1"/>
        <v>45918</v>
      </c>
      <c r="B57" s="250" t="str">
        <f ca="1"/>
        <v/>
      </c>
      <c r="C57" s="254"/>
      <c r="D57" s="253" t="str">
        <f>IF(C57="","",VLOOKUP(C57,ダッシュボード!$N$40:$O$44,2,FALSE()))</f>
        <v/>
      </c>
      <c r="E57" s="257"/>
      <c r="F57" s="211" t="str">
        <f>IF(E57="","",VLOOKUP(E57,ダッシュボード!$P$40:$Q$44,2,FALSE()))</f>
        <v/>
      </c>
      <c r="G57" s="257"/>
      <c r="H57" s="211" t="str">
        <f>IF(G57="","",VLOOKUP(G57,ダッシュボード!$R$40:$S$44,2,FALSE()))</f>
        <v/>
      </c>
      <c r="I57" s="401"/>
      <c r="J57" s="402"/>
      <c r="K57" s="402"/>
      <c r="L57" s="403"/>
      <c r="M57" s="40"/>
      <c r="N57" s="342">
        <v>2</v>
      </c>
      <c r="O57" s="91" t="s">
        <v>119</v>
      </c>
      <c r="P57" s="338">
        <v>2</v>
      </c>
      <c r="Q57" s="90" t="s">
        <v>124</v>
      </c>
      <c r="R57" s="338">
        <v>2</v>
      </c>
      <c r="S57" s="200" t="s">
        <v>131</v>
      </c>
      <c r="T57" s="40"/>
      <c r="U57" s="40"/>
      <c r="V57" s="40"/>
    </row>
    <row r="58" spans="1:22" ht="18.600000000000001" thickBot="1">
      <c r="A58" s="195">
        <f ca="1"/>
        <v>45919</v>
      </c>
      <c r="B58" s="250" t="str">
        <f ca="1"/>
        <v/>
      </c>
      <c r="C58" s="254"/>
      <c r="D58" s="253" t="str">
        <f>IF(C58="","",VLOOKUP(C58,ダッシュボード!$N$40:$O$44,2,FALSE()))</f>
        <v/>
      </c>
      <c r="E58" s="257"/>
      <c r="F58" s="211" t="str">
        <f>IF(E58="","",VLOOKUP(E58,ダッシュボード!$P$40:$Q$44,2,FALSE()))</f>
        <v/>
      </c>
      <c r="G58" s="257"/>
      <c r="H58" s="211" t="str">
        <f>IF(G58="","",VLOOKUP(G58,ダッシュボード!$R$40:$S$44,2,FALSE()))</f>
        <v/>
      </c>
      <c r="I58" s="401"/>
      <c r="J58" s="402"/>
      <c r="K58" s="402"/>
      <c r="L58" s="403"/>
      <c r="M58" s="40"/>
      <c r="N58" s="342">
        <v>3</v>
      </c>
      <c r="O58" s="91" t="s">
        <v>120</v>
      </c>
      <c r="P58" s="338">
        <v>3</v>
      </c>
      <c r="Q58" s="90" t="s">
        <v>125</v>
      </c>
      <c r="R58" s="338">
        <v>3</v>
      </c>
      <c r="S58" s="200" t="s">
        <v>132</v>
      </c>
      <c r="T58" s="40"/>
      <c r="U58" s="40"/>
      <c r="V58" s="40"/>
    </row>
    <row r="59" spans="1:22" ht="18.600000000000001" thickBot="1">
      <c r="A59" s="195">
        <f ca="1"/>
        <v>45920</v>
      </c>
      <c r="B59" s="250" t="str">
        <f ca="1"/>
        <v/>
      </c>
      <c r="C59" s="254"/>
      <c r="D59" s="253" t="str">
        <f>IF(C59="","",VLOOKUP(C59,ダッシュボード!$N$40:$O$44,2,FALSE()))</f>
        <v/>
      </c>
      <c r="E59" s="257"/>
      <c r="F59" s="211" t="str">
        <f>IF(E59="","",VLOOKUP(E59,ダッシュボード!$P$40:$Q$44,2,FALSE()))</f>
        <v/>
      </c>
      <c r="G59" s="257"/>
      <c r="H59" s="211" t="str">
        <f>IF(G59="","",VLOOKUP(G59,ダッシュボード!$R$40:$S$44,2,FALSE()))</f>
        <v/>
      </c>
      <c r="I59" s="401"/>
      <c r="J59" s="402"/>
      <c r="K59" s="402"/>
      <c r="L59" s="403"/>
      <c r="M59" s="40"/>
      <c r="N59" s="342">
        <v>4</v>
      </c>
      <c r="O59" s="91" t="s">
        <v>121</v>
      </c>
      <c r="P59" s="338">
        <v>4</v>
      </c>
      <c r="Q59" s="90"/>
      <c r="R59" s="338">
        <v>4</v>
      </c>
      <c r="S59" s="200" t="s">
        <v>133</v>
      </c>
      <c r="T59" s="40"/>
      <c r="U59" s="40"/>
      <c r="V59" s="40"/>
    </row>
    <row r="60" spans="1:22" ht="18.600000000000001" thickBot="1">
      <c r="A60" s="195">
        <f ca="1"/>
        <v>45921</v>
      </c>
      <c r="B60" s="250" t="str">
        <f ca="1"/>
        <v/>
      </c>
      <c r="C60" s="254"/>
      <c r="D60" s="253" t="str">
        <f>IF(C60="","",VLOOKUP(C60,ダッシュボード!$N$40:$O$44,2,FALSE()))</f>
        <v/>
      </c>
      <c r="E60" s="257"/>
      <c r="F60" s="211" t="str">
        <f>IF(E60="","",VLOOKUP(E60,ダッシュボード!$P$40:$Q$44,2,FALSE()))</f>
        <v/>
      </c>
      <c r="G60" s="257"/>
      <c r="H60" s="211" t="str">
        <f>IF(G60="","",VLOOKUP(G60,ダッシュボード!$R$40:$S$44,2,FALSE()))</f>
        <v/>
      </c>
      <c r="I60" s="401"/>
      <c r="J60" s="402"/>
      <c r="K60" s="402"/>
      <c r="L60" s="403"/>
      <c r="M60" s="40"/>
      <c r="N60" s="343">
        <v>5</v>
      </c>
      <c r="O60" s="201" t="s">
        <v>122</v>
      </c>
      <c r="P60" s="345">
        <v>5</v>
      </c>
      <c r="Q60" s="202"/>
      <c r="R60" s="345">
        <v>5</v>
      </c>
      <c r="S60" s="203" t="s">
        <v>135</v>
      </c>
      <c r="T60" s="40"/>
      <c r="U60" s="40"/>
      <c r="V60" s="40"/>
    </row>
    <row r="61" spans="1:22" ht="18.600000000000001" thickBot="1">
      <c r="A61" s="195">
        <f ca="1"/>
        <v>45922</v>
      </c>
      <c r="B61" s="250" t="str">
        <f ca="1"/>
        <v/>
      </c>
      <c r="C61" s="254"/>
      <c r="D61" s="253" t="str">
        <f>IF(C61="","",VLOOKUP(C61,ダッシュボード!$N$40:$O$44,2,FALSE()))</f>
        <v/>
      </c>
      <c r="E61" s="257"/>
      <c r="F61" s="211" t="str">
        <f>IF(E61="","",VLOOKUP(E61,ダッシュボード!$P$40:$Q$44,2,FALSE()))</f>
        <v/>
      </c>
      <c r="G61" s="257"/>
      <c r="H61" s="211" t="str">
        <f>IF(G61="","",VLOOKUP(G61,ダッシュボード!$R$40:$S$44,2,FALSE()))</f>
        <v/>
      </c>
      <c r="I61" s="401"/>
      <c r="J61" s="402"/>
      <c r="K61" s="402"/>
      <c r="L61" s="403"/>
      <c r="M61" s="40"/>
      <c r="N61" s="87"/>
      <c r="O61" s="87"/>
      <c r="P61" s="87"/>
      <c r="Q61" s="87"/>
      <c r="R61" s="87"/>
      <c r="S61" s="87"/>
      <c r="T61" s="40"/>
      <c r="U61" s="40"/>
      <c r="V61" s="40"/>
    </row>
    <row r="62" spans="1:22" ht="18.600000000000001" thickBot="1">
      <c r="A62" s="195">
        <f ca="1"/>
        <v>45923</v>
      </c>
      <c r="B62" s="250" t="str">
        <f ca="1"/>
        <v/>
      </c>
      <c r="C62" s="254"/>
      <c r="D62" s="253" t="str">
        <f>IF(C62="","",VLOOKUP(C62,ダッシュボード!$N$40:$O$44,2,FALSE()))</f>
        <v/>
      </c>
      <c r="E62" s="257"/>
      <c r="F62" s="211" t="str">
        <f>IF(E62="","",VLOOKUP(E62,ダッシュボード!$P$40:$Q$44,2,FALSE()))</f>
        <v/>
      </c>
      <c r="G62" s="257"/>
      <c r="H62" s="211" t="str">
        <f>IF(G62="","",VLOOKUP(G62,ダッシュボード!$R$40:$S$44,2,FALSE()))</f>
        <v/>
      </c>
      <c r="I62" s="401"/>
      <c r="J62" s="402"/>
      <c r="K62" s="402"/>
      <c r="L62" s="403"/>
      <c r="M62" s="40"/>
      <c r="N62" s="71" t="s">
        <v>158</v>
      </c>
      <c r="O62" s="40"/>
      <c r="P62" s="40"/>
      <c r="Q62" s="40"/>
      <c r="R62" s="40"/>
      <c r="S62" s="40"/>
      <c r="T62" s="40"/>
      <c r="U62" s="40"/>
      <c r="V62" s="40"/>
    </row>
    <row r="63" spans="1:22" ht="18.600000000000001" thickBot="1">
      <c r="A63" s="195">
        <f ca="1"/>
        <v>45924</v>
      </c>
      <c r="B63" s="250" t="str">
        <f ca="1"/>
        <v/>
      </c>
      <c r="C63" s="254"/>
      <c r="D63" s="253" t="str">
        <f>IF(C63="","",VLOOKUP(C63,ダッシュボード!$N$40:$O$44,2,FALSE()))</f>
        <v/>
      </c>
      <c r="E63" s="257"/>
      <c r="F63" s="211" t="str">
        <f>IF(E63="","",VLOOKUP(E63,ダッシュボード!$P$40:$Q$44,2,FALSE()))</f>
        <v/>
      </c>
      <c r="G63" s="257"/>
      <c r="H63" s="211" t="str">
        <f>IF(G63="","",VLOOKUP(G63,ダッシュボード!$R$40:$S$44,2,FALSE()))</f>
        <v/>
      </c>
      <c r="I63" s="401"/>
      <c r="J63" s="402"/>
      <c r="K63" s="402"/>
      <c r="L63" s="403"/>
      <c r="M63" s="40"/>
      <c r="N63" s="340" t="s">
        <v>153</v>
      </c>
      <c r="O63" s="198" t="s">
        <v>152</v>
      </c>
      <c r="P63" s="344" t="s">
        <v>154</v>
      </c>
      <c r="Q63" s="198" t="s">
        <v>155</v>
      </c>
      <c r="R63" s="344" t="s">
        <v>156</v>
      </c>
      <c r="S63" s="199" t="s">
        <v>157</v>
      </c>
      <c r="T63" s="40"/>
      <c r="U63" s="40"/>
      <c r="V63" s="40"/>
    </row>
    <row r="64" spans="1:22" ht="18.600000000000001" thickBot="1">
      <c r="A64" s="195">
        <f ca="1"/>
        <v>45925</v>
      </c>
      <c r="B64" s="250" t="str">
        <f ca="1"/>
        <v/>
      </c>
      <c r="C64" s="254"/>
      <c r="D64" s="253" t="str">
        <f>IF(C64="","",VLOOKUP(C64,ダッシュボード!$N$40:$O$44,2,FALSE()))</f>
        <v/>
      </c>
      <c r="E64" s="257"/>
      <c r="F64" s="211" t="str">
        <f>IF(E64="","",VLOOKUP(E64,ダッシュボード!$P$40:$Q$44,2,FALSE()))</f>
        <v/>
      </c>
      <c r="G64" s="257"/>
      <c r="H64" s="211" t="str">
        <f>IF(G64="","",VLOOKUP(G64,ダッシュボード!$R$40:$S$44,2,FALSE()))</f>
        <v/>
      </c>
      <c r="I64" s="401"/>
      <c r="J64" s="402"/>
      <c r="K64" s="402"/>
      <c r="L64" s="403"/>
      <c r="M64" s="40"/>
      <c r="N64" s="341">
        <v>1</v>
      </c>
      <c r="O64" s="89" t="s">
        <v>118</v>
      </c>
      <c r="P64" s="337">
        <v>1</v>
      </c>
      <c r="Q64" s="90" t="s">
        <v>123</v>
      </c>
      <c r="R64" s="337">
        <v>1</v>
      </c>
      <c r="S64" s="200" t="s">
        <v>134</v>
      </c>
      <c r="T64" s="40"/>
      <c r="U64" s="40"/>
      <c r="V64" s="40"/>
    </row>
    <row r="65" spans="1:22" ht="18.600000000000001" thickBot="1">
      <c r="A65" s="195">
        <f ca="1"/>
        <v>45926</v>
      </c>
      <c r="B65" s="250" t="str">
        <f ca="1"/>
        <v/>
      </c>
      <c r="C65" s="254"/>
      <c r="D65" s="253" t="str">
        <f>IF(C65="","",VLOOKUP(C65,ダッシュボード!$N$40:$O$44,2,FALSE()))</f>
        <v/>
      </c>
      <c r="E65" s="257"/>
      <c r="F65" s="211" t="str">
        <f>IF(E65="","",VLOOKUP(E65,ダッシュボード!$P$40:$Q$44,2,FALSE()))</f>
        <v/>
      </c>
      <c r="G65" s="257"/>
      <c r="H65" s="211" t="str">
        <f>IF(G65="","",VLOOKUP(G65,ダッシュボード!$R$40:$S$44,2,FALSE()))</f>
        <v/>
      </c>
      <c r="I65" s="401"/>
      <c r="J65" s="402"/>
      <c r="K65" s="402"/>
      <c r="L65" s="403"/>
      <c r="M65" s="40"/>
      <c r="N65" s="342">
        <v>2</v>
      </c>
      <c r="O65" s="91" t="s">
        <v>119</v>
      </c>
      <c r="P65" s="338">
        <v>2</v>
      </c>
      <c r="Q65" s="90" t="s">
        <v>124</v>
      </c>
      <c r="R65" s="338">
        <v>2</v>
      </c>
      <c r="S65" s="200" t="s">
        <v>131</v>
      </c>
      <c r="T65" s="40"/>
      <c r="U65" s="40"/>
      <c r="V65" s="40"/>
    </row>
    <row r="66" spans="1:22" ht="18.600000000000001" thickBot="1">
      <c r="A66" s="195">
        <f ca="1"/>
        <v>45927</v>
      </c>
      <c r="B66" s="250" t="str">
        <f ca="1"/>
        <v/>
      </c>
      <c r="C66" s="254"/>
      <c r="D66" s="253" t="str">
        <f>IF(C66="","",VLOOKUP(C66,ダッシュボード!$N$40:$O$44,2,FALSE()))</f>
        <v/>
      </c>
      <c r="E66" s="257"/>
      <c r="F66" s="211" t="str">
        <f>IF(E66="","",VLOOKUP(E66,ダッシュボード!$P$40:$Q$44,2,FALSE()))</f>
        <v/>
      </c>
      <c r="G66" s="257"/>
      <c r="H66" s="211" t="str">
        <f>IF(G66="","",VLOOKUP(G66,ダッシュボード!$R$40:$S$44,2,FALSE()))</f>
        <v/>
      </c>
      <c r="I66" s="401"/>
      <c r="J66" s="402"/>
      <c r="K66" s="402"/>
      <c r="L66" s="403"/>
      <c r="M66" s="40"/>
      <c r="N66" s="342">
        <v>3</v>
      </c>
      <c r="O66" s="91" t="s">
        <v>120</v>
      </c>
      <c r="P66" s="338">
        <v>3</v>
      </c>
      <c r="Q66" s="90" t="s">
        <v>125</v>
      </c>
      <c r="R66" s="338">
        <v>3</v>
      </c>
      <c r="S66" s="200" t="s">
        <v>132</v>
      </c>
      <c r="T66" s="40"/>
      <c r="U66" s="40"/>
      <c r="V66" s="40"/>
    </row>
    <row r="67" spans="1:22" ht="18.600000000000001" thickBot="1">
      <c r="A67" s="195">
        <f ca="1"/>
        <v>45928</v>
      </c>
      <c r="B67" s="250" t="str">
        <f ca="1"/>
        <v/>
      </c>
      <c r="C67" s="254"/>
      <c r="D67" s="253" t="str">
        <f>IF(C67="","",VLOOKUP(C67,ダッシュボード!$N$40:$O$44,2,FALSE()))</f>
        <v/>
      </c>
      <c r="E67" s="257"/>
      <c r="F67" s="211" t="str">
        <f>IF(E67="","",VLOOKUP(E67,ダッシュボード!$P$40:$Q$44,2,FALSE()))</f>
        <v/>
      </c>
      <c r="G67" s="257"/>
      <c r="H67" s="211" t="str">
        <f>IF(G67="","",VLOOKUP(G67,ダッシュボード!$R$40:$S$44,2,FALSE()))</f>
        <v/>
      </c>
      <c r="I67" s="401"/>
      <c r="J67" s="402"/>
      <c r="K67" s="402"/>
      <c r="L67" s="403"/>
      <c r="M67" s="40"/>
      <c r="N67" s="342">
        <v>4</v>
      </c>
      <c r="O67" s="91" t="s">
        <v>121</v>
      </c>
      <c r="P67" s="338">
        <v>4</v>
      </c>
      <c r="Q67" s="90"/>
      <c r="R67" s="338">
        <v>4</v>
      </c>
      <c r="S67" s="200" t="s">
        <v>133</v>
      </c>
      <c r="T67" s="40"/>
      <c r="U67" s="40"/>
      <c r="V67" s="40"/>
    </row>
    <row r="68" spans="1:22" ht="18.600000000000001" thickBot="1">
      <c r="A68" s="195">
        <f ca="1"/>
        <v>45929</v>
      </c>
      <c r="B68" s="250" t="str">
        <f ca="1"/>
        <v/>
      </c>
      <c r="C68" s="254"/>
      <c r="D68" s="253" t="str">
        <f>IF(C68="","",VLOOKUP(C68,ダッシュボード!$N$40:$O$44,2,FALSE()))</f>
        <v/>
      </c>
      <c r="E68" s="257"/>
      <c r="F68" s="211" t="str">
        <f>IF(E68="","",VLOOKUP(E68,ダッシュボード!$P$40:$Q$44,2,FALSE()))</f>
        <v/>
      </c>
      <c r="G68" s="257"/>
      <c r="H68" s="211" t="str">
        <f>IF(G68="","",VLOOKUP(G68,ダッシュボード!$R$40:$S$44,2,FALSE()))</f>
        <v/>
      </c>
      <c r="I68" s="401"/>
      <c r="J68" s="402"/>
      <c r="K68" s="402"/>
      <c r="L68" s="403"/>
      <c r="M68" s="40"/>
      <c r="N68" s="343">
        <v>5</v>
      </c>
      <c r="O68" s="201" t="s">
        <v>122</v>
      </c>
      <c r="P68" s="345">
        <v>5</v>
      </c>
      <c r="Q68" s="202"/>
      <c r="R68" s="345">
        <v>5</v>
      </c>
      <c r="S68" s="203" t="s">
        <v>135</v>
      </c>
      <c r="T68" s="40"/>
      <c r="U68" s="40"/>
      <c r="V68" s="40"/>
    </row>
    <row r="69" spans="1:22" ht="18.600000000000001" thickBot="1">
      <c r="A69" s="195">
        <f ca="1"/>
        <v>45930</v>
      </c>
      <c r="B69" s="250" t="str">
        <f ca="1"/>
        <v/>
      </c>
      <c r="C69" s="254"/>
      <c r="D69" s="253" t="str">
        <f>IF(C69="","",VLOOKUP(C69,ダッシュボード!$N$40:$O$44,2,FALSE()))</f>
        <v/>
      </c>
      <c r="E69" s="257"/>
      <c r="F69" s="211" t="str">
        <f>IF(E69="","",VLOOKUP(E69,ダッシュボード!$P$40:$Q$44,2,FALSE()))</f>
        <v/>
      </c>
      <c r="G69" s="257"/>
      <c r="H69" s="211" t="str">
        <f>IF(G69="","",VLOOKUP(G69,ダッシュボード!$R$40:$S$44,2,FALSE()))</f>
        <v/>
      </c>
      <c r="I69" s="401"/>
      <c r="J69" s="402"/>
      <c r="K69" s="402"/>
      <c r="L69" s="403"/>
      <c r="M69" s="40"/>
      <c r="N69" s="87"/>
      <c r="O69" s="87"/>
      <c r="P69" s="87"/>
      <c r="Q69" s="87"/>
      <c r="R69" s="87"/>
      <c r="S69" s="87"/>
      <c r="T69" s="40"/>
      <c r="U69" s="40"/>
      <c r="V69" s="40"/>
    </row>
    <row r="70" spans="1:22" ht="18.600000000000001" thickBot="1">
      <c r="A70" s="196" t="str">
        <f ca="1"/>
        <v/>
      </c>
      <c r="B70" s="251" t="str">
        <f ca="1"/>
        <v/>
      </c>
      <c r="C70" s="255"/>
      <c r="D70" s="256" t="str">
        <f>IF(C70="","",VLOOKUP(C70,ダッシュボード!$N$40:$O$44,2,FALSE()))</f>
        <v/>
      </c>
      <c r="E70" s="258"/>
      <c r="F70" s="212" t="str">
        <f>IF(E70="","",VLOOKUP(E70,ダッシュボード!$P$40:$Q$44,2,FALSE()))</f>
        <v/>
      </c>
      <c r="G70" s="258"/>
      <c r="H70" s="212" t="str">
        <f>IF(G70="","",VLOOKUP(G70,ダッシュボード!$R$40:$S$44,2,FALSE()))</f>
        <v/>
      </c>
      <c r="I70" s="404"/>
      <c r="J70" s="405"/>
      <c r="K70" s="405"/>
      <c r="L70" s="406"/>
      <c r="M70" s="40"/>
      <c r="N70" s="87"/>
      <c r="O70" s="87"/>
      <c r="P70" s="87"/>
      <c r="Q70" s="87"/>
      <c r="R70" s="87"/>
      <c r="S70" s="87"/>
      <c r="T70" s="40"/>
      <c r="U70" s="40"/>
      <c r="V70" s="40"/>
    </row>
    <row r="71" spans="1:22" ht="18.600000000000001" thickBot="1">
      <c r="A71" s="210" t="s">
        <v>139</v>
      </c>
      <c r="B71" s="210" t="s">
        <v>116</v>
      </c>
      <c r="C71" s="332" t="s">
        <v>153</v>
      </c>
      <c r="D71" s="247" t="s">
        <v>152</v>
      </c>
      <c r="E71" s="333" t="s">
        <v>154</v>
      </c>
      <c r="F71" s="247" t="s">
        <v>155</v>
      </c>
      <c r="G71" s="333" t="s">
        <v>156</v>
      </c>
      <c r="H71" s="247" t="s">
        <v>157</v>
      </c>
      <c r="I71" s="398" t="s">
        <v>138</v>
      </c>
      <c r="J71" s="399"/>
      <c r="K71" s="399"/>
      <c r="L71" s="400"/>
      <c r="M71" s="40"/>
      <c r="N71" s="87"/>
      <c r="O71" s="87"/>
      <c r="P71" s="87"/>
      <c r="Q71" s="87"/>
      <c r="R71" s="87"/>
      <c r="S71" s="87"/>
      <c r="T71" s="40"/>
      <c r="U71" s="40"/>
      <c r="V71" s="40"/>
    </row>
    <row r="72" spans="1:22">
      <c r="A72" s="94"/>
      <c r="B72" s="40"/>
      <c r="C72" s="40"/>
      <c r="D72" s="40"/>
      <c r="E72" s="40"/>
      <c r="F72" s="40"/>
      <c r="G72" s="40"/>
      <c r="H72" s="40"/>
      <c r="I72" s="40"/>
      <c r="J72" s="40"/>
      <c r="K72" s="40"/>
      <c r="L72" s="40"/>
      <c r="M72" s="40"/>
      <c r="N72" s="87"/>
      <c r="O72" s="87"/>
      <c r="P72" s="87"/>
      <c r="Q72" s="87"/>
      <c r="R72" s="87"/>
      <c r="S72" s="87"/>
      <c r="T72" s="40"/>
      <c r="U72" s="40"/>
      <c r="V72" s="40"/>
    </row>
    <row r="73" spans="1:22" ht="18.600000000000001" thickBot="1">
      <c r="A73" s="70" t="s">
        <v>93</v>
      </c>
      <c r="B73" s="40"/>
      <c r="C73" s="40"/>
      <c r="D73" s="40"/>
      <c r="E73" s="40"/>
      <c r="F73" s="40"/>
      <c r="G73" s="40"/>
      <c r="H73" s="40"/>
      <c r="I73" s="40"/>
      <c r="J73" s="40"/>
      <c r="K73" s="40"/>
      <c r="L73" s="40"/>
      <c r="M73" s="40"/>
      <c r="N73" s="87"/>
      <c r="O73" s="87"/>
      <c r="P73" s="87"/>
      <c r="Q73" s="87"/>
      <c r="R73" s="87"/>
      <c r="S73" s="87"/>
      <c r="T73" s="40"/>
      <c r="U73" s="40"/>
      <c r="V73" s="40"/>
    </row>
    <row r="74" spans="1:22" ht="40.950000000000003" customHeight="1" thickTop="1">
      <c r="A74" s="181" t="s">
        <v>164</v>
      </c>
      <c r="B74" s="50"/>
      <c r="C74" s="50"/>
      <c r="D74" s="50"/>
      <c r="E74" s="50"/>
      <c r="F74" s="39" t="s">
        <v>165</v>
      </c>
      <c r="G74" s="50"/>
      <c r="H74" s="50"/>
      <c r="I74" s="39" t="s">
        <v>266</v>
      </c>
      <c r="J74" s="50"/>
      <c r="K74" s="50"/>
      <c r="L74" s="39" t="s">
        <v>272</v>
      </c>
      <c r="M74" s="50"/>
      <c r="N74" s="50"/>
      <c r="O74" s="50"/>
      <c r="P74" s="50"/>
      <c r="Q74" s="50"/>
      <c r="R74" s="50"/>
      <c r="S74" s="50"/>
      <c r="T74" s="50"/>
      <c r="U74" s="50"/>
      <c r="V74" s="50"/>
    </row>
    <row r="75" spans="1:22" ht="17.399999999999999" customHeight="1">
      <c r="A75" s="87"/>
      <c r="B75" s="40"/>
      <c r="C75" s="40"/>
      <c r="D75" s="40"/>
      <c r="E75" s="40"/>
      <c r="F75" s="40"/>
      <c r="G75" s="40"/>
      <c r="H75" s="40"/>
      <c r="I75" s="40"/>
      <c r="J75" s="40"/>
      <c r="K75" s="40"/>
      <c r="L75" s="40"/>
      <c r="M75" s="40"/>
      <c r="N75" s="40"/>
      <c r="O75" s="40"/>
      <c r="P75" s="40"/>
      <c r="Q75" s="40"/>
      <c r="R75" s="40"/>
      <c r="S75" s="40"/>
      <c r="T75" s="40"/>
      <c r="U75" s="40"/>
      <c r="V75" s="40"/>
    </row>
    <row r="76" spans="1:22" ht="17.399999999999999" customHeight="1">
      <c r="A76" s="87"/>
      <c r="B76" s="40"/>
      <c r="C76" s="40"/>
      <c r="D76" s="40"/>
      <c r="E76" s="40"/>
      <c r="F76" s="40"/>
      <c r="G76" s="40"/>
      <c r="H76" s="40"/>
      <c r="I76" s="40"/>
      <c r="J76" s="40"/>
      <c r="K76" s="40"/>
      <c r="L76" s="40"/>
      <c r="M76" s="40"/>
      <c r="N76" s="40"/>
      <c r="O76" s="40"/>
      <c r="P76" s="40"/>
      <c r="Q76" s="40"/>
      <c r="R76" s="40"/>
      <c r="S76" s="40"/>
      <c r="T76" s="40"/>
      <c r="U76" s="40"/>
      <c r="V76" s="40"/>
    </row>
    <row r="77" spans="1:22" ht="17.399999999999999" customHeight="1">
      <c r="A77" s="87"/>
      <c r="B77" s="40"/>
      <c r="C77" s="40"/>
      <c r="D77" s="40"/>
      <c r="E77" s="40"/>
      <c r="F77" s="40"/>
      <c r="G77" s="40"/>
      <c r="H77" s="40"/>
      <c r="I77" s="40"/>
      <c r="J77" s="40"/>
      <c r="K77" s="40"/>
      <c r="L77" s="40"/>
      <c r="M77" s="40"/>
      <c r="N77" s="40"/>
      <c r="O77" s="40"/>
      <c r="P77" s="40"/>
      <c r="Q77" s="40"/>
      <c r="R77" s="40"/>
      <c r="S77" s="40"/>
      <c r="T77" s="40"/>
      <c r="U77" s="40"/>
      <c r="V77" s="40"/>
    </row>
    <row r="78" spans="1:22" ht="17.399999999999999" customHeight="1">
      <c r="A78" s="87"/>
      <c r="B78" s="40"/>
      <c r="C78" s="40"/>
      <c r="D78" s="40"/>
      <c r="E78" s="40"/>
      <c r="F78" s="40"/>
      <c r="G78" s="40"/>
      <c r="H78" s="40"/>
      <c r="I78" s="40"/>
      <c r="J78" s="40"/>
      <c r="K78" s="40"/>
      <c r="L78" s="40"/>
      <c r="M78" s="40"/>
      <c r="N78" s="40"/>
      <c r="O78" s="40"/>
      <c r="P78" s="40"/>
      <c r="Q78" s="40"/>
      <c r="R78" s="40"/>
      <c r="S78" s="40"/>
      <c r="T78" s="40"/>
      <c r="U78" s="40"/>
      <c r="V78" s="40"/>
    </row>
    <row r="79" spans="1:22" ht="17.399999999999999" customHeight="1">
      <c r="A79" s="87"/>
      <c r="B79" s="40"/>
      <c r="C79" s="40"/>
      <c r="D79" s="40"/>
      <c r="E79" s="40"/>
      <c r="F79" s="40"/>
      <c r="G79" s="40"/>
      <c r="H79" s="40"/>
      <c r="I79" s="40"/>
      <c r="J79" s="40"/>
      <c r="K79" s="40"/>
      <c r="L79" s="40"/>
      <c r="M79" s="40"/>
      <c r="N79" s="40"/>
      <c r="O79" s="40"/>
      <c r="P79" s="40"/>
      <c r="Q79" s="40"/>
      <c r="R79" s="40"/>
      <c r="S79" s="40"/>
      <c r="T79" s="40"/>
      <c r="U79" s="40"/>
      <c r="V79" s="40"/>
    </row>
    <row r="80" spans="1:22" ht="17.399999999999999" customHeight="1">
      <c r="A80" s="87"/>
      <c r="B80" s="40"/>
      <c r="C80" s="40"/>
      <c r="D80" s="40"/>
      <c r="E80" s="40"/>
      <c r="F80" s="40"/>
      <c r="G80" s="40"/>
      <c r="H80" s="40"/>
      <c r="I80" s="40"/>
      <c r="J80" s="40"/>
      <c r="K80" s="40"/>
      <c r="L80" s="40"/>
      <c r="M80" s="40"/>
      <c r="N80" s="40"/>
      <c r="O80" s="40"/>
      <c r="P80" s="40"/>
      <c r="Q80" s="40"/>
      <c r="R80" s="40"/>
      <c r="S80" s="40"/>
      <c r="T80" s="40"/>
      <c r="U80" s="40"/>
      <c r="V80" s="40"/>
    </row>
    <row r="81" spans="1:22" ht="17.399999999999999" customHeight="1">
      <c r="A81" s="87"/>
      <c r="B81" s="40"/>
      <c r="C81" s="40"/>
      <c r="D81" s="40"/>
      <c r="E81" s="40"/>
      <c r="F81" s="40"/>
      <c r="G81" s="40"/>
      <c r="H81" s="40"/>
      <c r="I81" s="40"/>
      <c r="J81" s="40"/>
      <c r="K81" s="40"/>
      <c r="L81" s="40"/>
      <c r="M81" s="40"/>
      <c r="N81" s="40"/>
      <c r="O81" s="40"/>
      <c r="P81" s="40"/>
      <c r="Q81" s="40"/>
      <c r="R81" s="40"/>
      <c r="S81" s="40"/>
      <c r="T81" s="40"/>
      <c r="U81" s="40"/>
      <c r="V81" s="40"/>
    </row>
    <row r="82" spans="1:22" ht="17.399999999999999" customHeight="1">
      <c r="A82" s="87"/>
      <c r="B82" s="40"/>
      <c r="C82" s="40"/>
      <c r="D82" s="40"/>
      <c r="E82" s="40"/>
      <c r="F82" s="40"/>
      <c r="G82" s="40"/>
      <c r="H82" s="40"/>
      <c r="I82" s="40"/>
      <c r="J82" s="40"/>
      <c r="K82" s="40"/>
      <c r="L82" s="40"/>
      <c r="M82" s="40"/>
      <c r="N82" s="40"/>
      <c r="O82" s="40"/>
      <c r="P82" s="40"/>
      <c r="Q82" s="40"/>
      <c r="R82" s="40"/>
      <c r="S82" s="40"/>
      <c r="T82" s="40"/>
      <c r="U82" s="40"/>
      <c r="V82" s="40"/>
    </row>
    <row r="83" spans="1:22" ht="17.399999999999999" customHeight="1">
      <c r="A83" s="87"/>
      <c r="B83" s="40"/>
      <c r="C83" s="40"/>
      <c r="D83" s="40"/>
      <c r="E83" s="40"/>
      <c r="F83" s="40"/>
      <c r="G83" s="40"/>
      <c r="H83" s="40"/>
      <c r="I83" s="40"/>
      <c r="J83" s="40"/>
      <c r="K83" s="40"/>
      <c r="L83" s="40"/>
      <c r="M83" s="40"/>
      <c r="N83" s="40"/>
      <c r="O83" s="40"/>
      <c r="P83" s="40"/>
      <c r="Q83" s="40"/>
      <c r="R83" s="40"/>
      <c r="S83" s="40"/>
      <c r="T83" s="40"/>
      <c r="U83" s="40"/>
      <c r="V83" s="40"/>
    </row>
    <row r="84" spans="1:22" ht="17.399999999999999" customHeight="1">
      <c r="A84" s="87"/>
      <c r="B84" s="40"/>
      <c r="C84" s="40"/>
      <c r="D84" s="40"/>
      <c r="E84" s="40"/>
      <c r="F84" s="40"/>
      <c r="G84" s="40"/>
      <c r="H84" s="40"/>
      <c r="I84" s="40"/>
      <c r="J84" s="40"/>
      <c r="K84" s="40"/>
      <c r="L84" s="40"/>
      <c r="M84" s="40"/>
      <c r="N84" s="40"/>
      <c r="O84" s="40"/>
      <c r="P84" s="40"/>
      <c r="Q84" s="40"/>
      <c r="R84" s="40"/>
      <c r="S84" s="40"/>
      <c r="T84" s="40"/>
      <c r="U84" s="40"/>
      <c r="V84" s="40"/>
    </row>
    <row r="85" spans="1:22" ht="17.399999999999999" customHeight="1">
      <c r="A85" s="87"/>
      <c r="B85" s="40"/>
      <c r="C85" s="40"/>
      <c r="D85" s="40"/>
      <c r="E85" s="40"/>
      <c r="F85" s="40"/>
      <c r="G85" s="40"/>
      <c r="H85" s="40"/>
      <c r="I85" s="40"/>
      <c r="J85" s="40"/>
      <c r="K85" s="40"/>
      <c r="L85" s="40"/>
      <c r="M85" s="40"/>
      <c r="N85" s="40"/>
      <c r="O85" s="40"/>
      <c r="P85" s="40"/>
      <c r="Q85" s="40"/>
      <c r="R85" s="40"/>
      <c r="S85" s="40"/>
      <c r="T85" s="40"/>
      <c r="U85" s="40"/>
      <c r="V85" s="40"/>
    </row>
    <row r="86" spans="1:22" ht="17.399999999999999" customHeight="1">
      <c r="A86" s="87"/>
      <c r="B86" s="40"/>
      <c r="C86" s="40"/>
      <c r="D86" s="40"/>
      <c r="E86" s="40"/>
      <c r="F86" s="40"/>
      <c r="G86" s="40"/>
      <c r="H86" s="40"/>
      <c r="I86" s="40"/>
      <c r="J86" s="40"/>
      <c r="K86" s="40"/>
      <c r="L86" s="40"/>
      <c r="M86" s="40"/>
      <c r="N86" s="40"/>
      <c r="O86" s="40"/>
      <c r="P86" s="40"/>
      <c r="Q86" s="40"/>
      <c r="R86" s="40"/>
      <c r="S86" s="40"/>
      <c r="T86" s="40"/>
      <c r="U86" s="40"/>
      <c r="V86" s="40"/>
    </row>
    <row r="87" spans="1:22" ht="17.399999999999999" customHeight="1">
      <c r="A87" s="87"/>
      <c r="B87" s="40"/>
      <c r="C87" s="40"/>
      <c r="D87" s="40"/>
      <c r="E87" s="40"/>
      <c r="F87" s="40"/>
      <c r="G87" s="40"/>
      <c r="H87" s="40"/>
      <c r="I87" s="40"/>
      <c r="J87" s="40"/>
      <c r="K87" s="40"/>
      <c r="L87" s="40"/>
      <c r="M87" s="40"/>
      <c r="N87" s="40"/>
      <c r="O87" s="40"/>
      <c r="P87" s="40"/>
      <c r="Q87" s="40"/>
      <c r="R87" s="40"/>
      <c r="S87" s="40"/>
      <c r="T87" s="40"/>
      <c r="U87" s="40"/>
      <c r="V87" s="40"/>
    </row>
    <row r="88" spans="1:22" ht="17.399999999999999" customHeight="1">
      <c r="A88" s="87"/>
      <c r="B88" s="40"/>
      <c r="C88" s="40"/>
      <c r="D88" s="40"/>
      <c r="E88" s="40"/>
      <c r="F88" s="40"/>
      <c r="G88" s="40"/>
      <c r="H88" s="40"/>
      <c r="I88" s="40"/>
      <c r="J88" s="40"/>
      <c r="K88" s="40"/>
      <c r="L88" s="40"/>
      <c r="M88" s="40"/>
      <c r="N88" s="40"/>
      <c r="O88" s="40"/>
      <c r="P88" s="40"/>
      <c r="Q88" s="40"/>
      <c r="R88" s="40"/>
      <c r="S88" s="40"/>
      <c r="T88" s="40"/>
      <c r="U88" s="40"/>
      <c r="V88" s="40"/>
    </row>
    <row r="89" spans="1:22" ht="17.399999999999999" customHeight="1">
      <c r="A89" s="87"/>
      <c r="B89" s="40"/>
      <c r="C89" s="40"/>
      <c r="D89" s="40"/>
      <c r="E89" s="40"/>
      <c r="F89" s="40"/>
      <c r="G89" s="40"/>
      <c r="H89" s="40"/>
      <c r="I89" s="40"/>
      <c r="J89" s="40"/>
      <c r="K89" s="40"/>
      <c r="L89" s="40"/>
      <c r="M89" s="40"/>
      <c r="N89" s="40"/>
      <c r="O89" s="40"/>
      <c r="P89" s="40"/>
      <c r="Q89" s="40"/>
      <c r="R89" s="40"/>
      <c r="S89" s="40"/>
      <c r="T89" s="40"/>
      <c r="U89" s="40"/>
      <c r="V89" s="40"/>
    </row>
    <row r="90" spans="1:22" ht="17.399999999999999" customHeight="1">
      <c r="A90" s="87"/>
      <c r="B90" s="40"/>
      <c r="C90" s="40"/>
      <c r="D90" s="40"/>
      <c r="E90" s="40"/>
      <c r="F90" s="40"/>
      <c r="G90" s="40"/>
      <c r="H90" s="40"/>
      <c r="I90" s="40"/>
      <c r="J90" s="40"/>
      <c r="K90" s="40"/>
      <c r="L90" s="40"/>
      <c r="M90" s="40"/>
      <c r="N90" s="40"/>
      <c r="O90" s="40"/>
      <c r="P90" s="40"/>
      <c r="Q90" s="40"/>
      <c r="R90" s="40"/>
      <c r="S90" s="40"/>
      <c r="T90" s="40"/>
      <c r="U90" s="40"/>
      <c r="V90" s="40"/>
    </row>
    <row r="91" spans="1:22" ht="17.399999999999999" customHeight="1">
      <c r="A91" s="87"/>
      <c r="B91" s="40"/>
      <c r="C91" s="40"/>
      <c r="D91" s="40"/>
      <c r="E91" s="40"/>
      <c r="F91" s="40"/>
      <c r="G91" s="40"/>
      <c r="H91" s="40"/>
      <c r="I91" s="40"/>
      <c r="J91" s="40"/>
      <c r="K91" s="40"/>
      <c r="L91" s="40"/>
      <c r="M91" s="40"/>
      <c r="N91" s="40"/>
      <c r="O91" s="40"/>
      <c r="P91" s="40"/>
      <c r="Q91" s="40"/>
      <c r="R91" s="40"/>
      <c r="S91" s="40"/>
      <c r="T91" s="40"/>
      <c r="U91" s="40"/>
      <c r="V91" s="40"/>
    </row>
    <row r="92" spans="1:22" ht="17.399999999999999" customHeight="1">
      <c r="A92" s="87"/>
      <c r="B92" s="40"/>
      <c r="C92" s="40"/>
      <c r="D92" s="40"/>
      <c r="E92" s="40"/>
      <c r="F92" s="40"/>
      <c r="G92" s="40"/>
      <c r="H92" s="40"/>
      <c r="I92" s="40"/>
      <c r="J92" s="40"/>
      <c r="K92" s="40"/>
      <c r="L92" s="40"/>
      <c r="M92" s="40"/>
      <c r="N92" s="40"/>
      <c r="O92" s="40"/>
      <c r="P92" s="40"/>
      <c r="Q92" s="40"/>
      <c r="R92" s="40"/>
      <c r="S92" s="40"/>
      <c r="T92" s="40"/>
      <c r="U92" s="40"/>
      <c r="V92" s="40"/>
    </row>
    <row r="93" spans="1:22" ht="17.399999999999999" customHeight="1">
      <c r="A93" s="87"/>
      <c r="B93" s="40"/>
      <c r="C93" s="40"/>
      <c r="D93" s="40"/>
      <c r="E93" s="40"/>
      <c r="F93" s="40"/>
      <c r="G93" s="40"/>
      <c r="H93" s="40"/>
      <c r="I93" s="40"/>
      <c r="J93" s="40"/>
      <c r="K93" s="40"/>
      <c r="L93" s="40"/>
      <c r="M93" s="40"/>
      <c r="N93" s="40"/>
      <c r="O93" s="40"/>
      <c r="P93" s="40"/>
      <c r="Q93" s="40"/>
      <c r="R93" s="40"/>
      <c r="S93" s="40"/>
      <c r="T93" s="40"/>
      <c r="U93" s="40"/>
      <c r="V93" s="40"/>
    </row>
    <row r="94" spans="1:22" ht="17.399999999999999" customHeight="1">
      <c r="A94" s="87"/>
      <c r="B94" s="40"/>
      <c r="C94" s="40"/>
      <c r="D94" s="40"/>
      <c r="E94" s="40"/>
      <c r="F94" s="40"/>
      <c r="G94" s="40"/>
      <c r="H94" s="40"/>
      <c r="I94" s="40"/>
      <c r="J94" s="40"/>
      <c r="K94" s="40"/>
      <c r="L94" s="40"/>
      <c r="M94" s="40"/>
      <c r="N94" s="40"/>
      <c r="O94" s="40"/>
      <c r="P94" s="40"/>
      <c r="Q94" s="40"/>
      <c r="R94" s="40"/>
      <c r="S94" s="40"/>
      <c r="T94" s="40"/>
      <c r="U94" s="40"/>
      <c r="V94" s="40"/>
    </row>
    <row r="95" spans="1:22">
      <c r="A95" s="87"/>
      <c r="B95" s="40"/>
      <c r="C95" s="40"/>
      <c r="D95" s="40"/>
      <c r="E95" s="40"/>
      <c r="F95" s="40"/>
      <c r="G95" s="40"/>
      <c r="H95" s="40"/>
      <c r="I95" s="40"/>
      <c r="J95" s="40"/>
      <c r="K95" s="40"/>
      <c r="L95" s="40"/>
      <c r="M95" s="40"/>
      <c r="N95" s="40"/>
      <c r="O95" s="40"/>
      <c r="P95" s="40"/>
      <c r="Q95" s="40"/>
      <c r="R95" s="40"/>
      <c r="S95" s="40"/>
      <c r="T95" s="40"/>
      <c r="U95" s="40"/>
      <c r="V95" s="40"/>
    </row>
    <row r="96" spans="1:22" ht="18.600000000000001" thickBot="1">
      <c r="A96" s="70" t="s">
        <v>93</v>
      </c>
      <c r="B96" s="40"/>
      <c r="C96" s="40"/>
      <c r="D96" s="40"/>
      <c r="E96" s="40"/>
      <c r="F96" s="40"/>
      <c r="G96" s="40"/>
      <c r="H96" s="40"/>
      <c r="I96" s="40"/>
      <c r="J96" s="40"/>
      <c r="K96" s="40"/>
      <c r="L96" s="40"/>
      <c r="M96" s="40"/>
      <c r="N96" s="40"/>
      <c r="O96" s="40"/>
      <c r="P96" s="40"/>
      <c r="Q96" s="40"/>
      <c r="R96" s="40"/>
      <c r="S96" s="40"/>
      <c r="T96" s="40"/>
      <c r="U96" s="40"/>
      <c r="V96" s="40"/>
    </row>
    <row r="97" spans="1:22" ht="40.950000000000003" customHeight="1" thickTop="1">
      <c r="A97" s="181" t="s">
        <v>274</v>
      </c>
      <c r="B97" s="50"/>
      <c r="C97" s="39" t="s">
        <v>275</v>
      </c>
      <c r="D97" s="50"/>
      <c r="E97" s="50"/>
      <c r="F97" s="50"/>
      <c r="G97" s="50"/>
      <c r="H97" s="50"/>
      <c r="I97" s="50"/>
      <c r="J97" s="50"/>
      <c r="K97" s="50"/>
      <c r="L97" s="50"/>
      <c r="M97" s="50"/>
      <c r="N97" s="50"/>
      <c r="O97" s="50"/>
      <c r="P97" s="50"/>
      <c r="Q97" s="50"/>
      <c r="R97" s="50"/>
      <c r="S97" s="50"/>
      <c r="T97" s="50"/>
      <c r="U97" s="50"/>
      <c r="V97" s="50"/>
    </row>
    <row r="98" spans="1:22">
      <c r="A98" s="40"/>
      <c r="B98" s="40"/>
      <c r="C98" s="40"/>
      <c r="D98" s="40"/>
      <c r="E98" s="40"/>
      <c r="F98" s="40"/>
      <c r="G98" s="40"/>
      <c r="H98" s="40"/>
      <c r="I98" s="40"/>
      <c r="J98" s="40"/>
      <c r="K98" s="40"/>
      <c r="L98" s="40"/>
      <c r="M98" s="40"/>
      <c r="N98" s="40"/>
      <c r="O98" s="40"/>
      <c r="P98" s="40"/>
      <c r="Q98" s="40"/>
      <c r="R98" s="40"/>
      <c r="S98" s="40"/>
      <c r="T98" s="40"/>
      <c r="U98" s="40"/>
      <c r="V98" s="40"/>
    </row>
    <row r="99" spans="1:22">
      <c r="A99" s="40"/>
      <c r="B99" s="40"/>
      <c r="C99" s="40"/>
      <c r="D99" s="40"/>
      <c r="E99" s="40"/>
      <c r="F99" s="40"/>
      <c r="G99" s="40"/>
      <c r="H99" s="40"/>
      <c r="I99" s="40"/>
      <c r="J99" s="40"/>
      <c r="K99" s="40"/>
      <c r="L99" s="40"/>
      <c r="M99" s="40"/>
      <c r="N99" s="40"/>
      <c r="O99" s="40"/>
      <c r="P99" s="40"/>
      <c r="Q99" s="40"/>
      <c r="R99" s="40"/>
      <c r="S99" s="40"/>
      <c r="T99" s="40"/>
      <c r="U99" s="40"/>
      <c r="V99" s="40"/>
    </row>
    <row r="100" spans="1:22">
      <c r="A100" s="40"/>
      <c r="B100" s="40"/>
      <c r="C100" s="40"/>
      <c r="D100" s="40"/>
      <c r="E100" s="40"/>
      <c r="F100" s="40"/>
      <c r="G100" s="40"/>
      <c r="H100" s="40"/>
      <c r="I100" s="40"/>
      <c r="J100" s="40"/>
      <c r="K100" s="40"/>
      <c r="L100" s="40"/>
      <c r="M100" s="40"/>
      <c r="N100" s="40"/>
      <c r="O100" s="40"/>
      <c r="P100" s="40"/>
      <c r="Q100" s="40"/>
      <c r="R100" s="40"/>
      <c r="S100" s="40"/>
      <c r="T100" s="40"/>
      <c r="U100" s="40"/>
      <c r="V100" s="40"/>
    </row>
    <row r="101" spans="1:22">
      <c r="A101" s="40"/>
      <c r="B101" s="40"/>
      <c r="C101" s="40"/>
      <c r="D101" s="40"/>
      <c r="E101" s="40"/>
      <c r="F101" s="40"/>
      <c r="G101" s="40"/>
      <c r="H101" s="40"/>
      <c r="I101" s="40"/>
      <c r="J101" s="40"/>
      <c r="K101" s="40"/>
      <c r="L101" s="40"/>
      <c r="M101" s="40"/>
      <c r="N101" s="40"/>
      <c r="O101" s="40"/>
      <c r="P101" s="40"/>
      <c r="Q101" s="40"/>
      <c r="R101" s="40"/>
      <c r="S101" s="40"/>
      <c r="T101" s="40"/>
      <c r="U101" s="40"/>
      <c r="V101" s="40"/>
    </row>
    <row r="102" spans="1:22">
      <c r="A102" s="40"/>
      <c r="B102" s="40"/>
      <c r="C102" s="40"/>
      <c r="D102" s="40"/>
      <c r="E102" s="40"/>
      <c r="F102" s="40"/>
      <c r="G102" s="40"/>
      <c r="H102" s="40"/>
      <c r="I102" s="40"/>
      <c r="J102" s="40"/>
      <c r="K102" s="40"/>
      <c r="L102" s="40"/>
      <c r="M102" s="40"/>
      <c r="N102" s="40"/>
      <c r="O102" s="40"/>
      <c r="P102" s="40"/>
      <c r="Q102" s="40"/>
      <c r="R102" s="40"/>
      <c r="S102" s="40"/>
      <c r="T102" s="40"/>
      <c r="U102" s="40"/>
      <c r="V102" s="40"/>
    </row>
    <row r="103" spans="1:22">
      <c r="A103" s="40"/>
      <c r="B103" s="40"/>
      <c r="C103" s="40"/>
      <c r="D103" s="40"/>
      <c r="E103" s="40"/>
      <c r="F103" s="40"/>
      <c r="G103" s="40"/>
      <c r="H103" s="40"/>
      <c r="I103" s="40"/>
      <c r="J103" s="40"/>
      <c r="K103" s="40"/>
      <c r="L103" s="40"/>
      <c r="M103" s="40"/>
      <c r="N103" s="40"/>
      <c r="O103" s="40"/>
      <c r="P103" s="40"/>
      <c r="Q103" s="40"/>
      <c r="R103" s="40"/>
      <c r="S103" s="40"/>
      <c r="T103" s="40"/>
      <c r="U103" s="40"/>
      <c r="V103" s="40"/>
    </row>
    <row r="104" spans="1:22">
      <c r="A104" s="40"/>
      <c r="B104" s="40"/>
      <c r="C104" s="40"/>
      <c r="D104" s="40"/>
      <c r="E104" s="40"/>
      <c r="F104" s="40"/>
      <c r="G104" s="40"/>
      <c r="H104" s="40"/>
      <c r="I104" s="40"/>
      <c r="J104" s="40"/>
      <c r="K104" s="40"/>
      <c r="L104" s="40"/>
      <c r="M104" s="40"/>
      <c r="N104" s="40"/>
      <c r="O104" s="40"/>
      <c r="P104" s="40"/>
      <c r="Q104" s="40"/>
      <c r="R104" s="40"/>
      <c r="S104" s="40"/>
      <c r="T104" s="40"/>
      <c r="U104" s="40"/>
      <c r="V104" s="40"/>
    </row>
    <row r="105" spans="1:22">
      <c r="A105" s="40"/>
      <c r="B105" s="40"/>
      <c r="C105" s="40"/>
      <c r="D105" s="40"/>
      <c r="E105" s="40"/>
      <c r="F105" s="40"/>
      <c r="G105" s="40"/>
      <c r="H105" s="40"/>
      <c r="I105" s="40"/>
      <c r="J105" s="40"/>
      <c r="K105" s="40"/>
      <c r="L105" s="40"/>
      <c r="M105" s="40"/>
      <c r="N105" s="40"/>
      <c r="O105" s="40"/>
      <c r="P105" s="40"/>
      <c r="Q105" s="40"/>
      <c r="R105" s="40"/>
      <c r="S105" s="40"/>
      <c r="T105" s="40"/>
      <c r="U105" s="40"/>
      <c r="V105" s="40"/>
    </row>
    <row r="106" spans="1:22">
      <c r="A106" s="40"/>
      <c r="B106" s="40"/>
      <c r="C106" s="40"/>
      <c r="D106" s="40"/>
      <c r="E106" s="40"/>
      <c r="F106" s="40"/>
      <c r="G106" s="40"/>
      <c r="H106" s="40"/>
      <c r="I106" s="40"/>
      <c r="J106" s="40"/>
      <c r="K106" s="40"/>
      <c r="L106" s="40"/>
      <c r="M106" s="40"/>
      <c r="N106" s="40"/>
      <c r="O106" s="40"/>
      <c r="P106" s="40"/>
      <c r="Q106" s="40"/>
      <c r="R106" s="40"/>
      <c r="S106" s="40"/>
      <c r="T106" s="40"/>
      <c r="U106" s="40"/>
      <c r="V106" s="40"/>
    </row>
    <row r="107" spans="1:22">
      <c r="A107" s="40"/>
      <c r="B107" s="40"/>
      <c r="C107" s="40"/>
      <c r="D107" s="40"/>
      <c r="E107" s="40"/>
      <c r="F107" s="40"/>
      <c r="G107" s="40"/>
      <c r="H107" s="40"/>
      <c r="I107" s="40"/>
      <c r="J107" s="40"/>
      <c r="K107" s="40"/>
      <c r="L107" s="40"/>
      <c r="M107" s="40"/>
      <c r="N107" s="40"/>
      <c r="O107" s="40"/>
      <c r="P107" s="40"/>
      <c r="Q107" s="40"/>
      <c r="R107" s="40"/>
      <c r="S107" s="40"/>
      <c r="T107" s="40"/>
      <c r="U107" s="40"/>
      <c r="V107" s="40"/>
    </row>
    <row r="108" spans="1:22">
      <c r="A108" s="40"/>
      <c r="B108" s="40"/>
      <c r="C108" s="40"/>
      <c r="D108" s="40"/>
      <c r="E108" s="40"/>
      <c r="F108" s="40"/>
      <c r="G108" s="40"/>
      <c r="H108" s="40"/>
      <c r="I108" s="40"/>
      <c r="J108" s="40"/>
      <c r="K108" s="40"/>
      <c r="L108" s="40"/>
      <c r="M108" s="40"/>
      <c r="N108" s="40"/>
      <c r="O108" s="40"/>
      <c r="P108" s="40"/>
      <c r="Q108" s="40"/>
      <c r="R108" s="40"/>
      <c r="S108" s="40"/>
      <c r="T108" s="40"/>
      <c r="U108" s="40"/>
      <c r="V108" s="40"/>
    </row>
    <row r="109" spans="1:22">
      <c r="A109" s="40"/>
      <c r="B109" s="40"/>
      <c r="C109" s="40"/>
      <c r="D109" s="40"/>
      <c r="E109" s="40"/>
      <c r="F109" s="40"/>
      <c r="G109" s="40"/>
      <c r="H109" s="40"/>
      <c r="I109" s="40"/>
      <c r="J109" s="40"/>
      <c r="K109" s="40"/>
      <c r="L109" s="40"/>
      <c r="M109" s="40"/>
      <c r="N109" s="40"/>
      <c r="O109" s="40"/>
      <c r="P109" s="40"/>
      <c r="Q109" s="40"/>
      <c r="R109" s="40"/>
      <c r="S109" s="40"/>
      <c r="T109" s="40"/>
      <c r="U109" s="40"/>
      <c r="V109" s="40"/>
    </row>
    <row r="110" spans="1:22">
      <c r="A110" s="40"/>
      <c r="B110" s="40"/>
      <c r="C110" s="40"/>
      <c r="D110" s="40"/>
      <c r="E110" s="40"/>
      <c r="F110" s="40"/>
      <c r="G110" s="40"/>
      <c r="H110" s="40"/>
      <c r="I110" s="40"/>
      <c r="J110" s="40"/>
      <c r="K110" s="40"/>
      <c r="L110" s="40"/>
      <c r="M110" s="40"/>
      <c r="N110" s="40"/>
      <c r="O110" s="40"/>
      <c r="P110" s="40"/>
      <c r="Q110" s="40"/>
      <c r="R110" s="40"/>
      <c r="S110" s="40"/>
      <c r="T110" s="40"/>
      <c r="U110" s="40"/>
      <c r="V110" s="40"/>
    </row>
    <row r="111" spans="1:22">
      <c r="A111" s="40"/>
      <c r="B111" s="40"/>
      <c r="C111" s="40"/>
      <c r="D111" s="40"/>
      <c r="E111" s="40"/>
      <c r="F111" s="40"/>
      <c r="G111" s="40"/>
      <c r="H111" s="40"/>
      <c r="I111" s="40"/>
      <c r="J111" s="40"/>
      <c r="K111" s="40"/>
      <c r="L111" s="40"/>
      <c r="M111" s="40"/>
      <c r="N111" s="40"/>
      <c r="O111" s="40"/>
      <c r="P111" s="40"/>
      <c r="Q111" s="40"/>
      <c r="R111" s="40"/>
      <c r="S111" s="40"/>
      <c r="T111" s="40"/>
      <c r="U111" s="40"/>
      <c r="V111" s="40"/>
    </row>
    <row r="112" spans="1:22">
      <c r="A112" s="40"/>
      <c r="B112" s="40"/>
      <c r="C112" s="40"/>
      <c r="D112" s="40"/>
      <c r="E112" s="40"/>
      <c r="F112" s="40"/>
      <c r="G112" s="40"/>
      <c r="H112" s="40"/>
      <c r="I112" s="40"/>
      <c r="J112" s="40"/>
      <c r="K112" s="40"/>
      <c r="L112" s="40"/>
      <c r="M112" s="40"/>
      <c r="N112" s="40"/>
      <c r="O112" s="40"/>
      <c r="P112" s="40"/>
      <c r="Q112" s="40"/>
      <c r="R112" s="40"/>
      <c r="S112" s="40"/>
      <c r="T112" s="40"/>
      <c r="U112" s="40"/>
      <c r="V112" s="40"/>
    </row>
    <row r="113" spans="1:22">
      <c r="A113" s="40"/>
      <c r="B113" s="40"/>
      <c r="C113" s="40"/>
      <c r="D113" s="40"/>
      <c r="E113" s="40"/>
      <c r="F113" s="40"/>
      <c r="G113" s="40"/>
      <c r="H113" s="40"/>
      <c r="I113" s="40"/>
      <c r="J113" s="40"/>
      <c r="K113" s="40"/>
      <c r="L113" s="40"/>
      <c r="M113" s="40"/>
      <c r="N113" s="40"/>
      <c r="O113" s="40"/>
      <c r="P113" s="40"/>
      <c r="Q113" s="40"/>
      <c r="R113" s="40"/>
      <c r="S113" s="40"/>
      <c r="T113" s="40"/>
      <c r="U113" s="40"/>
      <c r="V113" s="40"/>
    </row>
    <row r="114" spans="1:22">
      <c r="A114" s="40"/>
      <c r="B114" s="40"/>
      <c r="C114" s="40"/>
      <c r="D114" s="40"/>
      <c r="E114" s="40"/>
      <c r="F114" s="40"/>
      <c r="G114" s="40"/>
      <c r="H114" s="40"/>
      <c r="I114" s="40"/>
      <c r="J114" s="40"/>
      <c r="K114" s="40"/>
      <c r="L114" s="40"/>
      <c r="M114" s="40"/>
      <c r="N114" s="40"/>
      <c r="O114" s="40"/>
      <c r="P114" s="40"/>
      <c r="Q114" s="40"/>
      <c r="R114" s="40"/>
      <c r="S114" s="40"/>
      <c r="T114" s="40"/>
      <c r="U114" s="40"/>
      <c r="V114" s="40"/>
    </row>
    <row r="115" spans="1:22">
      <c r="A115" s="40"/>
      <c r="B115" s="40"/>
      <c r="C115" s="40"/>
      <c r="D115" s="40"/>
      <c r="E115" s="40"/>
      <c r="F115" s="40"/>
      <c r="G115" s="40"/>
      <c r="H115" s="40"/>
      <c r="I115" s="40"/>
      <c r="J115" s="40"/>
      <c r="K115" s="40"/>
      <c r="L115" s="40"/>
      <c r="M115" s="40"/>
      <c r="N115" s="40"/>
      <c r="O115" s="40"/>
      <c r="P115" s="40"/>
      <c r="Q115" s="40"/>
      <c r="R115" s="40"/>
      <c r="S115" s="40"/>
      <c r="T115" s="40"/>
      <c r="U115" s="40"/>
      <c r="V115" s="40"/>
    </row>
    <row r="116" spans="1:22">
      <c r="A116" s="40"/>
      <c r="B116" s="40"/>
      <c r="C116" s="40"/>
      <c r="D116" s="40"/>
      <c r="E116" s="40"/>
      <c r="F116" s="40"/>
      <c r="G116" s="40"/>
      <c r="H116" s="40"/>
      <c r="I116" s="40"/>
      <c r="J116" s="40"/>
      <c r="K116" s="40"/>
      <c r="L116" s="40"/>
      <c r="M116" s="40"/>
      <c r="N116" s="40"/>
      <c r="O116" s="40"/>
      <c r="P116" s="40"/>
      <c r="Q116" s="40"/>
      <c r="R116" s="40"/>
      <c r="S116" s="40"/>
      <c r="T116" s="40"/>
      <c r="U116" s="40"/>
      <c r="V116" s="40"/>
    </row>
    <row r="117" spans="1:22">
      <c r="A117" s="40"/>
      <c r="B117" s="40"/>
      <c r="C117" s="40"/>
      <c r="D117" s="40"/>
      <c r="E117" s="40"/>
      <c r="F117" s="40"/>
      <c r="G117" s="40"/>
      <c r="H117" s="40"/>
      <c r="I117" s="40"/>
      <c r="J117" s="40"/>
      <c r="K117" s="40"/>
      <c r="L117" s="40"/>
      <c r="M117" s="40"/>
      <c r="N117" s="40"/>
      <c r="O117" s="40"/>
      <c r="P117" s="40"/>
      <c r="Q117" s="40"/>
      <c r="R117" s="40"/>
      <c r="S117" s="40"/>
      <c r="T117" s="40"/>
      <c r="U117" s="40"/>
      <c r="V117" s="40"/>
    </row>
    <row r="118" spans="1:22">
      <c r="A118" s="40"/>
      <c r="B118" s="40"/>
      <c r="C118" s="40"/>
      <c r="D118" s="40"/>
      <c r="E118" s="40"/>
      <c r="F118" s="40"/>
      <c r="G118" s="40"/>
      <c r="H118" s="40"/>
      <c r="I118" s="40"/>
      <c r="J118" s="40"/>
      <c r="K118" s="40"/>
      <c r="L118" s="40"/>
      <c r="M118" s="40"/>
      <c r="N118" s="40"/>
      <c r="O118" s="40"/>
      <c r="P118" s="40"/>
      <c r="Q118" s="40"/>
      <c r="R118" s="40"/>
      <c r="S118" s="40"/>
      <c r="T118" s="40"/>
      <c r="U118" s="40"/>
      <c r="V118" s="40"/>
    </row>
    <row r="119" spans="1:22">
      <c r="A119" s="40"/>
      <c r="B119" s="40"/>
      <c r="C119" s="40"/>
      <c r="D119" s="40"/>
      <c r="E119" s="40"/>
      <c r="F119" s="40"/>
      <c r="G119" s="40"/>
      <c r="H119" s="40"/>
      <c r="I119" s="40"/>
      <c r="J119" s="40"/>
      <c r="K119" s="40"/>
      <c r="L119" s="40"/>
      <c r="M119" s="40"/>
      <c r="N119" s="40"/>
      <c r="O119" s="40"/>
      <c r="P119" s="40"/>
      <c r="Q119" s="40"/>
      <c r="R119" s="40"/>
      <c r="S119" s="40"/>
      <c r="T119" s="40"/>
      <c r="U119" s="40"/>
      <c r="V119" s="40"/>
    </row>
    <row r="120" spans="1:22">
      <c r="A120" s="40"/>
      <c r="B120" s="40"/>
      <c r="C120" s="40"/>
      <c r="D120" s="40"/>
      <c r="E120" s="40"/>
      <c r="F120" s="40"/>
      <c r="G120" s="40"/>
      <c r="H120" s="40"/>
      <c r="I120" s="40"/>
      <c r="J120" s="40"/>
      <c r="K120" s="40"/>
      <c r="L120" s="40"/>
      <c r="M120" s="40"/>
      <c r="N120" s="40"/>
      <c r="O120" s="40"/>
      <c r="P120" s="40"/>
      <c r="Q120" s="40"/>
      <c r="R120" s="40"/>
      <c r="S120" s="40"/>
      <c r="T120" s="40"/>
      <c r="U120" s="40"/>
      <c r="V120" s="40"/>
    </row>
    <row r="121" spans="1:22">
      <c r="A121" s="40"/>
      <c r="B121" s="40"/>
      <c r="C121" s="40"/>
      <c r="D121" s="40"/>
      <c r="E121" s="40"/>
      <c r="F121" s="40"/>
      <c r="G121" s="40"/>
      <c r="H121" s="40"/>
      <c r="I121" s="40"/>
      <c r="J121" s="40"/>
      <c r="K121" s="40"/>
      <c r="L121" s="40"/>
      <c r="M121" s="40"/>
      <c r="N121" s="40"/>
      <c r="O121" s="40"/>
      <c r="P121" s="40"/>
      <c r="Q121" s="40"/>
      <c r="R121" s="40"/>
      <c r="S121" s="40"/>
      <c r="T121" s="40"/>
      <c r="U121" s="40"/>
      <c r="V121" s="40"/>
    </row>
    <row r="122" spans="1:22">
      <c r="A122" s="40"/>
      <c r="B122" s="40"/>
      <c r="C122" s="40"/>
      <c r="D122" s="40"/>
      <c r="E122" s="40"/>
      <c r="F122" s="40"/>
      <c r="G122" s="40"/>
      <c r="H122" s="40"/>
      <c r="I122" s="40"/>
      <c r="J122" s="40"/>
      <c r="K122" s="40"/>
      <c r="L122" s="40"/>
      <c r="M122" s="40"/>
      <c r="N122" s="40"/>
      <c r="O122" s="40"/>
      <c r="P122" s="40"/>
      <c r="Q122" s="40"/>
      <c r="R122" s="40"/>
      <c r="S122" s="40"/>
      <c r="T122" s="40"/>
      <c r="U122" s="40"/>
      <c r="V122" s="40"/>
    </row>
    <row r="123" spans="1:22">
      <c r="A123" s="40"/>
      <c r="B123" s="40"/>
      <c r="C123" s="40"/>
      <c r="D123" s="40"/>
      <c r="E123" s="40"/>
      <c r="F123" s="40"/>
      <c r="G123" s="40"/>
      <c r="H123" s="40"/>
      <c r="I123" s="40"/>
      <c r="J123" s="40"/>
      <c r="K123" s="40"/>
      <c r="L123" s="40"/>
      <c r="M123" s="40"/>
      <c r="N123" s="40"/>
      <c r="O123" s="40"/>
      <c r="P123" s="40"/>
      <c r="Q123" s="40"/>
      <c r="R123" s="40"/>
      <c r="S123" s="40"/>
      <c r="T123" s="40"/>
      <c r="U123" s="40"/>
      <c r="V123" s="40"/>
    </row>
  </sheetData>
  <mergeCells count="36">
    <mergeCell ref="G37:H37"/>
    <mergeCell ref="C37:E37"/>
    <mergeCell ref="I39:L39"/>
    <mergeCell ref="I40:L40"/>
    <mergeCell ref="I41:L41"/>
    <mergeCell ref="I42:L42"/>
    <mergeCell ref="I43:L43"/>
    <mergeCell ref="I44:L44"/>
    <mergeCell ref="I45:L45"/>
    <mergeCell ref="I46:L46"/>
    <mergeCell ref="I47:L47"/>
    <mergeCell ref="I48:L48"/>
    <mergeCell ref="I49:L49"/>
    <mergeCell ref="I50:L50"/>
    <mergeCell ref="I51:L51"/>
    <mergeCell ref="I52:L52"/>
    <mergeCell ref="I53:L53"/>
    <mergeCell ref="I54:L54"/>
    <mergeCell ref="I55:L55"/>
    <mergeCell ref="I56:L56"/>
    <mergeCell ref="Q15:R15"/>
    <mergeCell ref="I71:L71"/>
    <mergeCell ref="I67:L67"/>
    <mergeCell ref="I68:L68"/>
    <mergeCell ref="I69:L69"/>
    <mergeCell ref="I70:L70"/>
    <mergeCell ref="I62:L62"/>
    <mergeCell ref="I63:L63"/>
    <mergeCell ref="I64:L64"/>
    <mergeCell ref="I65:L65"/>
    <mergeCell ref="I66:L66"/>
    <mergeCell ref="I57:L57"/>
    <mergeCell ref="I58:L58"/>
    <mergeCell ref="I59:L59"/>
    <mergeCell ref="I60:L60"/>
    <mergeCell ref="I61:L61"/>
  </mergeCells>
  <phoneticPr fontId="5"/>
  <conditionalFormatting sqref="S8">
    <cfRule type="dataBar" priority="4">
      <dataBar>
        <cfvo type="min"/>
        <cfvo type="max"/>
        <color rgb="FF638EC6"/>
      </dataBar>
      <extLst>
        <ext xmlns:x14="http://schemas.microsoft.com/office/spreadsheetml/2009/9/main" uri="{B025F937-C7B1-47D3-B67F-A62EFF666E3E}">
          <x14:id>{E5EA572B-CAAB-4702-96D7-333A32F7F7E2}</x14:id>
        </ext>
      </extLst>
    </cfRule>
  </conditionalFormatting>
  <conditionalFormatting sqref="S8:S12">
    <cfRule type="dataBar" priority="3">
      <dataBar>
        <cfvo type="min"/>
        <cfvo type="max"/>
        <color rgb="FF638EC6"/>
      </dataBar>
      <extLst>
        <ext xmlns:x14="http://schemas.microsoft.com/office/spreadsheetml/2009/9/main" uri="{B025F937-C7B1-47D3-B67F-A62EFF666E3E}">
          <x14:id>{54F3252A-2190-480B-8A44-528FC24C1878}</x14:id>
        </ext>
      </extLst>
    </cfRule>
  </conditionalFormatting>
  <conditionalFormatting sqref="T8:T12">
    <cfRule type="dataBar" priority="1">
      <dataBar>
        <cfvo type="min"/>
        <cfvo type="max"/>
        <color rgb="FFFF555A"/>
      </dataBar>
      <extLst>
        <ext xmlns:x14="http://schemas.microsoft.com/office/spreadsheetml/2009/9/main" uri="{B025F937-C7B1-47D3-B67F-A62EFF666E3E}">
          <x14:id>{1810BEA6-0098-46CC-8C92-F4A83C00821D}</x14:id>
        </ext>
      </extLst>
    </cfRule>
  </conditionalFormatting>
  <hyperlinks>
    <hyperlink ref="A35" location="ダッシュボード!A2" display=" ▶ ダッシュボード" xr:uid="{2105FC87-6E28-4F30-8FA1-E0A0114B47E7}"/>
    <hyperlink ref="A73" location="ダッシュボード!A2" display=" ▶ ダッシュボード" xr:uid="{B7B93F09-1CDB-441B-B8E9-CD897DBDBE8B}"/>
    <hyperlink ref="A96" location="ダッシュボード!A2" display=" ▶ ダッシュボード" xr:uid="{48267A6C-6F2B-472E-9E9B-A0944867DCCB}"/>
    <hyperlink ref="A14" location="ダッシュボード!A2" display=" ▶ ダッシュボード" xr:uid="{1A7E6DFC-D5BA-4E42-931D-3E6ED61583B1}"/>
    <hyperlink ref="A15" location="業務メモ!A2" display=" ▶ チェックリスト" xr:uid="{78A08D98-70B9-4D7A-9937-4C05F0D955DF}"/>
    <hyperlink ref="A16" location="売上工数管理!A2" display=" ▶ 売上・工数管理" xr:uid="{FC4595ED-A63A-47EE-9E9D-E1A10DCD07F8}"/>
    <hyperlink ref="A17" location="基本データ!A4" display=" ▶ 基本データ" xr:uid="{95110695-694F-4608-BDB6-883D8C6D4819}"/>
    <hyperlink ref="A18" location="ダッシュボード!A38" display=" ▶ 一カ月体調分析" xr:uid="{C6F42D82-499E-43CD-B42F-B7CBACDF4FF9}"/>
    <hyperlink ref="G36" r:id="rId1" xr:uid="{BA09E725-9FE9-4959-90BA-F2AF9B92043E}"/>
    <hyperlink ref="A20" location="ダッシュボード!A98" display=" ▶ 知識ベース" xr:uid="{7A49D96A-0EFC-4372-8395-6DCDDED1040D}"/>
    <hyperlink ref="A19" location="ダッシュボード!A75" display=" ▶ 体調×作業効率可視化グラフ" xr:uid="{865BACA9-F886-498B-9AE6-8A041DC4EB3F}"/>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dataBar" id="{E5EA572B-CAAB-4702-96D7-333A32F7F7E2}">
            <x14:dataBar minLength="0" maxLength="100" border="1" negativeBarBorderColorSameAsPositive="0">
              <x14:cfvo type="autoMin"/>
              <x14:cfvo type="autoMax"/>
              <x14:borderColor rgb="FF638EC6"/>
              <x14:negativeFillColor rgb="FFFF0000"/>
              <x14:negativeBorderColor rgb="FFFF0000"/>
              <x14:axisColor rgb="FF000000"/>
            </x14:dataBar>
          </x14:cfRule>
          <xm:sqref>S8</xm:sqref>
        </x14:conditionalFormatting>
        <x14:conditionalFormatting xmlns:xm="http://schemas.microsoft.com/office/excel/2006/main">
          <x14:cfRule type="dataBar" id="{54F3252A-2190-480B-8A44-528FC24C1878}">
            <x14:dataBar minLength="0" maxLength="100" border="1" negativeBarBorderColorSameAsPositive="0">
              <x14:cfvo type="autoMin"/>
              <x14:cfvo type="autoMax"/>
              <x14:borderColor rgb="FF638EC6"/>
              <x14:negativeFillColor rgb="FFFF0000"/>
              <x14:negativeBorderColor rgb="FFFF0000"/>
              <x14:axisColor rgb="FF000000"/>
            </x14:dataBar>
          </x14:cfRule>
          <xm:sqref>S8:S12</xm:sqref>
        </x14:conditionalFormatting>
        <x14:conditionalFormatting xmlns:xm="http://schemas.microsoft.com/office/excel/2006/main">
          <x14:cfRule type="dataBar" id="{1810BEA6-0098-46CC-8C92-F4A83C00821D}">
            <x14:dataBar minLength="0" maxLength="100" gradient="0">
              <x14:cfvo type="autoMin"/>
              <x14:cfvo type="autoMax"/>
              <x14:negativeFillColor rgb="FFFF0000"/>
              <x14:axisColor rgb="FF000000"/>
            </x14:dataBar>
          </x14:cfRule>
          <xm:sqref>T8:T12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55D51-D614-49FA-A559-9889C7EC2D09}">
  <sheetPr codeName="Sheet6">
    <tabColor theme="0"/>
  </sheetPr>
  <dimension ref="A1:BK164"/>
  <sheetViews>
    <sheetView zoomScaleNormal="100" workbookViewId="0">
      <pane ySplit="3" topLeftCell="A4" activePane="bottomLeft" state="frozen"/>
      <selection pane="bottomLeft" activeCell="D4" sqref="D4"/>
    </sheetView>
  </sheetViews>
  <sheetFormatPr defaultColWidth="8.5" defaultRowHeight="18"/>
  <cols>
    <col min="2" max="2" width="9.8984375" customWidth="1"/>
    <col min="5" max="5" width="9" customWidth="1"/>
    <col min="14" max="18" width="9.19921875" customWidth="1"/>
  </cols>
  <sheetData>
    <row r="1" spans="1:63" ht="18.600000000000001" thickBot="1">
      <c r="A1" s="364">
        <v>2025</v>
      </c>
      <c r="B1" s="98">
        <v>9</v>
      </c>
      <c r="C1" s="395" t="s">
        <v>1</v>
      </c>
      <c r="D1" s="395"/>
      <c r="E1" s="298" t="s">
        <v>91</v>
      </c>
      <c r="F1" s="382">
        <f>BI2</f>
        <v>80000</v>
      </c>
      <c r="G1" s="383"/>
      <c r="H1" s="41"/>
      <c r="I1" s="100"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▶今日の日付へ移動</v>
      </c>
      <c r="J1" s="41"/>
      <c r="K1" s="41"/>
      <c r="L1" s="299" t="s">
        <v>92</v>
      </c>
      <c r="M1" s="300"/>
      <c r="N1" s="101" t="s">
        <v>270</v>
      </c>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97" t="s">
        <v>2</v>
      </c>
      <c r="AZ1" s="41"/>
      <c r="BA1" s="41"/>
      <c r="BB1" s="97" t="s">
        <v>3</v>
      </c>
      <c r="BC1" s="41"/>
      <c r="BD1" s="41"/>
      <c r="BE1" s="97" t="s">
        <v>292</v>
      </c>
      <c r="BF1" s="41"/>
      <c r="BG1" s="41"/>
      <c r="BH1" s="41"/>
      <c r="BI1" s="97" t="s">
        <v>136</v>
      </c>
      <c r="BJ1" s="41"/>
      <c r="BK1" s="41"/>
    </row>
    <row r="2" spans="1:63" ht="18.600000000000001" thickBot="1">
      <c r="A2" s="292" t="s">
        <v>4</v>
      </c>
      <c r="B2" s="293">
        <f>SUM(F6,O6,X6,AG6,AP6,AY6,BH6,F26,O26,X26,AG26,AP26,AY26,BH26,F46,O46,X46,AG46,AP46,AY46,BH46,F66,O66,X66,AG66,AP66,AY66,BH66)</f>
        <v>8</v>
      </c>
      <c r="C2" s="294" t="s">
        <v>4</v>
      </c>
      <c r="D2" s="41"/>
      <c r="E2" s="301">
        <f>A6</f>
        <v>45901</v>
      </c>
      <c r="F2" s="302">
        <f>J6</f>
        <v>45902</v>
      </c>
      <c r="G2" s="302">
        <f>S6</f>
        <v>45903</v>
      </c>
      <c r="H2" s="302">
        <f>AB6</f>
        <v>45904</v>
      </c>
      <c r="I2" s="302">
        <f>AK6</f>
        <v>45905</v>
      </c>
      <c r="J2" s="302">
        <f>AT6</f>
        <v>45906</v>
      </c>
      <c r="K2" s="302">
        <f>BC6</f>
        <v>45907</v>
      </c>
      <c r="L2" s="302">
        <f>A26</f>
        <v>45908</v>
      </c>
      <c r="M2" s="302">
        <f>J26</f>
        <v>45909</v>
      </c>
      <c r="N2" s="302">
        <f>S26</f>
        <v>45910</v>
      </c>
      <c r="O2" s="302">
        <f>AB26</f>
        <v>45911</v>
      </c>
      <c r="P2" s="302">
        <f>AK26</f>
        <v>45912</v>
      </c>
      <c r="Q2" s="302">
        <f>AT26</f>
        <v>45913</v>
      </c>
      <c r="R2" s="302">
        <f>BC26</f>
        <v>45914</v>
      </c>
      <c r="S2" s="302">
        <f>A46</f>
        <v>45915</v>
      </c>
      <c r="T2" s="302">
        <f>J46</f>
        <v>45916</v>
      </c>
      <c r="U2" s="302">
        <f>S46</f>
        <v>45917</v>
      </c>
      <c r="V2" s="302">
        <f>AB46</f>
        <v>45918</v>
      </c>
      <c r="W2" s="302">
        <f>AK46</f>
        <v>45919</v>
      </c>
      <c r="X2" s="302">
        <f>AT46</f>
        <v>45920</v>
      </c>
      <c r="Y2" s="302">
        <f>BC46</f>
        <v>45921</v>
      </c>
      <c r="Z2" s="302">
        <f>A66</f>
        <v>45922</v>
      </c>
      <c r="AA2" s="302">
        <f>J66</f>
        <v>45923</v>
      </c>
      <c r="AB2" s="302">
        <f>S66</f>
        <v>45924</v>
      </c>
      <c r="AC2" s="302">
        <f>AB66</f>
        <v>45925</v>
      </c>
      <c r="AD2" s="302">
        <f>AK66</f>
        <v>45926</v>
      </c>
      <c r="AE2" s="302">
        <f>AT66</f>
        <v>45927</v>
      </c>
      <c r="AF2" s="302">
        <f>BC66</f>
        <v>45928</v>
      </c>
      <c r="AG2" s="302">
        <f>A86</f>
        <v>45929</v>
      </c>
      <c r="AH2" s="302">
        <f>J86</f>
        <v>45930</v>
      </c>
      <c r="AI2" s="303" t="str">
        <f>S86</f>
        <v/>
      </c>
      <c r="AJ2" s="41"/>
      <c r="AK2" s="102" t="s">
        <v>5</v>
      </c>
      <c r="AL2" s="103">
        <f>SUM(H24,Q24,Z24,AI24,AR24,BA24,BJ24,H44,Q44,Z44,AI44,AR44,BA44,BJ44,H64,Q64,Z64,AI64,AR64,BA64,BJ64,H84,Q84,Z84,AI84,AR84,BA84,BJ84,H104,Q104,Z104)</f>
        <v>80000</v>
      </c>
      <c r="AM2" s="104" t="s">
        <v>6</v>
      </c>
      <c r="AN2" s="102" t="s">
        <v>7</v>
      </c>
      <c r="AO2" s="288">
        <v>0</v>
      </c>
      <c r="AP2" s="106" t="s">
        <v>144</v>
      </c>
      <c r="AQ2" s="102">
        <f>B2</f>
        <v>8</v>
      </c>
      <c r="AR2" s="106" t="s">
        <v>145</v>
      </c>
      <c r="AS2" s="106" t="s">
        <v>8</v>
      </c>
      <c r="AT2" s="105">
        <f>AO2*AQ2</f>
        <v>0</v>
      </c>
      <c r="AU2" s="106" t="s">
        <v>6</v>
      </c>
      <c r="AV2" s="107" t="s">
        <v>146</v>
      </c>
      <c r="AW2" s="288">
        <v>0</v>
      </c>
      <c r="AX2" s="106" t="s">
        <v>271</v>
      </c>
      <c r="AY2" s="105">
        <f>(AL2+AT2)-AW2</f>
        <v>80000</v>
      </c>
      <c r="AZ2" s="106" t="s">
        <v>6</v>
      </c>
      <c r="BA2" s="106" t="s">
        <v>9</v>
      </c>
      <c r="BB2" s="288"/>
      <c r="BC2" s="106" t="s">
        <v>6</v>
      </c>
      <c r="BD2" s="106" t="s">
        <v>10</v>
      </c>
      <c r="BE2" s="288"/>
      <c r="BF2" s="106" t="s">
        <v>11</v>
      </c>
      <c r="BG2" s="1">
        <f>B1</f>
        <v>9</v>
      </c>
      <c r="BH2" s="106" t="s">
        <v>12</v>
      </c>
      <c r="BI2" s="393">
        <f>SUM(AY2,BB2)</f>
        <v>80000</v>
      </c>
      <c r="BJ2" s="394"/>
      <c r="BK2" s="106" t="s">
        <v>13</v>
      </c>
    </row>
    <row r="3" spans="1:63" ht="18.600000000000001" thickBot="1">
      <c r="A3" s="295" t="s">
        <v>14</v>
      </c>
      <c r="B3" s="296">
        <f>COUNTIF(E3:AI3,"&gt;0")</f>
        <v>1</v>
      </c>
      <c r="C3" s="297" t="s">
        <v>15</v>
      </c>
      <c r="D3" s="41"/>
      <c r="E3" s="304">
        <f>F6</f>
        <v>8</v>
      </c>
      <c r="F3" s="305" t="str">
        <f>O6</f>
        <v/>
      </c>
      <c r="G3" s="305" t="str">
        <f>X6</f>
        <v/>
      </c>
      <c r="H3" s="305" t="str">
        <f>AG6</f>
        <v/>
      </c>
      <c r="I3" s="305" t="str">
        <f>AP6</f>
        <v/>
      </c>
      <c r="J3" s="305" t="str">
        <f>AY6</f>
        <v/>
      </c>
      <c r="K3" s="305" t="str">
        <f>BH6</f>
        <v/>
      </c>
      <c r="L3" s="305" t="str">
        <f>F26</f>
        <v/>
      </c>
      <c r="M3" s="305" t="str">
        <f>O26</f>
        <v/>
      </c>
      <c r="N3" s="305" t="str">
        <f>X26</f>
        <v/>
      </c>
      <c r="O3" s="305" t="str">
        <f>AG26</f>
        <v/>
      </c>
      <c r="P3" s="305" t="str">
        <f>AP26</f>
        <v/>
      </c>
      <c r="Q3" s="305" t="str">
        <f>AY26</f>
        <v/>
      </c>
      <c r="R3" s="305" t="str">
        <f>BH26</f>
        <v/>
      </c>
      <c r="S3" s="305" t="str">
        <f>F46</f>
        <v/>
      </c>
      <c r="T3" s="305" t="str">
        <f>O46</f>
        <v/>
      </c>
      <c r="U3" s="305" t="str">
        <f>X46</f>
        <v/>
      </c>
      <c r="V3" s="305" t="str">
        <f>AG46</f>
        <v/>
      </c>
      <c r="W3" s="305" t="str">
        <f>AP46</f>
        <v/>
      </c>
      <c r="X3" s="305" t="str">
        <f>AY46</f>
        <v/>
      </c>
      <c r="Y3" s="305" t="str">
        <f>BH46</f>
        <v/>
      </c>
      <c r="Z3" s="305" t="str">
        <f>F66</f>
        <v/>
      </c>
      <c r="AA3" s="305" t="str">
        <f>O66</f>
        <v/>
      </c>
      <c r="AB3" s="305" t="str">
        <f>X66</f>
        <v/>
      </c>
      <c r="AC3" s="305" t="str">
        <f>AG66</f>
        <v/>
      </c>
      <c r="AD3" s="305" t="str">
        <f>AP66</f>
        <v/>
      </c>
      <c r="AE3" s="305" t="str">
        <f>AY66</f>
        <v/>
      </c>
      <c r="AF3" s="305" t="str">
        <f>BH66</f>
        <v/>
      </c>
      <c r="AG3" s="305" t="str">
        <f>F86</f>
        <v/>
      </c>
      <c r="AH3" s="305" t="str">
        <f>O86</f>
        <v/>
      </c>
      <c r="AI3" s="306" t="str">
        <f>X86</f>
        <v/>
      </c>
      <c r="AJ3" s="41"/>
      <c r="AK3" s="41"/>
      <c r="AL3" s="41"/>
      <c r="AM3" s="109" t="s">
        <v>55</v>
      </c>
      <c r="AN3" s="110" t="s">
        <v>54</v>
      </c>
      <c r="AO3" s="111">
        <f>売上工数管理!P10</f>
        <v>1226</v>
      </c>
      <c r="AP3" s="106" t="s">
        <v>147</v>
      </c>
      <c r="AQ3" s="110">
        <f>AQ2</f>
        <v>8</v>
      </c>
      <c r="AR3" s="106" t="s">
        <v>145</v>
      </c>
      <c r="AS3" s="106" t="s">
        <v>56</v>
      </c>
      <c r="AT3" s="111">
        <f>AO3*AQ3</f>
        <v>9808</v>
      </c>
      <c r="AU3" s="106" t="s">
        <v>6</v>
      </c>
      <c r="AV3" s="109" t="s">
        <v>106</v>
      </c>
      <c r="AW3" s="112">
        <f>IF(OR(AL2=0,AQ3=0),"", AL2/AQ3)</f>
        <v>10000</v>
      </c>
      <c r="AX3" s="106" t="s">
        <v>6</v>
      </c>
      <c r="AY3" s="97" t="s">
        <v>57</v>
      </c>
      <c r="AZ3" s="41"/>
      <c r="BA3" s="41"/>
      <c r="BB3" s="41"/>
      <c r="BC3" s="41"/>
      <c r="BD3" s="41"/>
      <c r="BE3" s="41"/>
      <c r="BF3" s="41"/>
      <c r="BG3" s="41"/>
      <c r="BH3" s="41"/>
      <c r="BI3" s="41"/>
      <c r="BJ3" s="41"/>
      <c r="BK3" s="41"/>
    </row>
    <row r="4" spans="1:63" ht="18.600000000000001" thickBot="1">
      <c r="A4" s="101" t="s">
        <v>307</v>
      </c>
      <c r="C4" s="41"/>
      <c r="D4" s="41"/>
      <c r="E4" s="101" t="s">
        <v>267</v>
      </c>
      <c r="F4" s="41"/>
      <c r="G4" s="41"/>
      <c r="H4" s="41"/>
      <c r="I4" s="41"/>
      <c r="J4" s="101" t="s">
        <v>291</v>
      </c>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c r="BA4" s="41"/>
      <c r="BB4" s="41"/>
      <c r="BC4" s="41"/>
      <c r="BD4" s="41"/>
      <c r="BE4" s="41"/>
      <c r="BF4" s="41"/>
      <c r="BG4" s="41"/>
      <c r="BH4" s="41"/>
      <c r="BI4" s="41"/>
      <c r="BJ4" s="41"/>
      <c r="BK4" s="41"/>
    </row>
    <row r="5" spans="1:63">
      <c r="A5" s="390" t="s">
        <v>16</v>
      </c>
      <c r="B5" s="391"/>
      <c r="C5" s="391" t="s">
        <v>17</v>
      </c>
      <c r="D5" s="391"/>
      <c r="E5" s="391" t="s">
        <v>18</v>
      </c>
      <c r="F5" s="392"/>
      <c r="G5" s="41"/>
      <c r="H5" s="41"/>
      <c r="I5" s="41"/>
      <c r="J5" s="390" t="s">
        <v>16</v>
      </c>
      <c r="K5" s="391"/>
      <c r="L5" s="391" t="s">
        <v>17</v>
      </c>
      <c r="M5" s="391"/>
      <c r="N5" s="391" t="s">
        <v>18</v>
      </c>
      <c r="O5" s="392"/>
      <c r="P5" s="41"/>
      <c r="Q5" s="41"/>
      <c r="R5" s="41"/>
      <c r="S5" s="390" t="s">
        <v>16</v>
      </c>
      <c r="T5" s="391"/>
      <c r="U5" s="391" t="s">
        <v>17</v>
      </c>
      <c r="V5" s="391"/>
      <c r="W5" s="391" t="s">
        <v>18</v>
      </c>
      <c r="X5" s="392"/>
      <c r="Y5" s="41"/>
      <c r="Z5" s="41"/>
      <c r="AA5" s="41"/>
      <c r="AB5" s="390" t="s">
        <v>16</v>
      </c>
      <c r="AC5" s="391"/>
      <c r="AD5" s="391" t="s">
        <v>17</v>
      </c>
      <c r="AE5" s="391"/>
      <c r="AF5" s="391" t="s">
        <v>18</v>
      </c>
      <c r="AG5" s="392"/>
      <c r="AH5" s="41"/>
      <c r="AI5" s="41"/>
      <c r="AJ5" s="41"/>
      <c r="AK5" s="390" t="s">
        <v>16</v>
      </c>
      <c r="AL5" s="391"/>
      <c r="AM5" s="391" t="s">
        <v>17</v>
      </c>
      <c r="AN5" s="391"/>
      <c r="AO5" s="391" t="s">
        <v>18</v>
      </c>
      <c r="AP5" s="392"/>
      <c r="AQ5" s="41"/>
      <c r="AR5" s="41"/>
      <c r="AS5" s="41"/>
      <c r="AT5" s="390" t="s">
        <v>16</v>
      </c>
      <c r="AU5" s="391"/>
      <c r="AV5" s="391" t="s">
        <v>17</v>
      </c>
      <c r="AW5" s="391"/>
      <c r="AX5" s="391" t="s">
        <v>18</v>
      </c>
      <c r="AY5" s="392"/>
      <c r="AZ5" s="41"/>
      <c r="BA5" s="41"/>
      <c r="BB5" s="41"/>
      <c r="BC5" s="390" t="s">
        <v>16</v>
      </c>
      <c r="BD5" s="391"/>
      <c r="BE5" s="391" t="s">
        <v>17</v>
      </c>
      <c r="BF5" s="391"/>
      <c r="BG5" s="391" t="s">
        <v>18</v>
      </c>
      <c r="BH5" s="392"/>
      <c r="BI5" s="41"/>
      <c r="BJ5" s="41"/>
      <c r="BK5" s="41"/>
    </row>
    <row r="6" spans="1:63" ht="18.600000000000001" thickBot="1">
      <c r="A6" s="387">
        <f>DATE(A1,B1,1)</f>
        <v>45901</v>
      </c>
      <c r="B6" s="388"/>
      <c r="C6" s="289">
        <v>0.375</v>
      </c>
      <c r="D6" s="289">
        <v>0.75</v>
      </c>
      <c r="E6" s="290">
        <f>IF(C6="","",D6-C6-H6)</f>
        <v>0.33333333333333331</v>
      </c>
      <c r="F6" s="291">
        <f>IF(AND(E6=""),"",SUM(E9:E23))</f>
        <v>8</v>
      </c>
      <c r="G6" s="114" t="s">
        <v>19</v>
      </c>
      <c r="H6" s="287">
        <v>4.1666666666666699E-2</v>
      </c>
      <c r="I6" s="41"/>
      <c r="J6" s="387">
        <f>A6+1</f>
        <v>45902</v>
      </c>
      <c r="K6" s="388"/>
      <c r="L6" s="290"/>
      <c r="M6" s="290"/>
      <c r="N6" s="290" t="str">
        <f>IF(L6="","",M6-L6-Q6)</f>
        <v/>
      </c>
      <c r="O6" s="291" t="str">
        <f>IF(AND(N6=""),"",SUM(N9:N23))</f>
        <v/>
      </c>
      <c r="P6" s="114" t="s">
        <v>19</v>
      </c>
      <c r="Q6" s="287">
        <v>4.1666666666666699E-2</v>
      </c>
      <c r="R6" s="41"/>
      <c r="S6" s="387">
        <f>J6+1</f>
        <v>45903</v>
      </c>
      <c r="T6" s="388"/>
      <c r="U6" s="289"/>
      <c r="V6" s="289"/>
      <c r="W6" s="290" t="str">
        <f>IF(U6="","",V6-U6-Z6)</f>
        <v/>
      </c>
      <c r="X6" s="291" t="str">
        <f>IF(AND(W6=""),"",SUM(W9:W23))</f>
        <v/>
      </c>
      <c r="Y6" s="114" t="s">
        <v>19</v>
      </c>
      <c r="Z6" s="287">
        <v>4.1666666666666699E-2</v>
      </c>
      <c r="AA6" s="41"/>
      <c r="AB6" s="387">
        <f>S6+1</f>
        <v>45904</v>
      </c>
      <c r="AC6" s="388"/>
      <c r="AD6" s="289"/>
      <c r="AE6" s="289"/>
      <c r="AF6" s="290" t="str">
        <f>IF(AD6="","",AE6-AD6-AI6)</f>
        <v/>
      </c>
      <c r="AG6" s="291" t="str">
        <f>IF(AND(AF6=""),"",SUM(AF9:AF23))</f>
        <v/>
      </c>
      <c r="AH6" s="114" t="s">
        <v>19</v>
      </c>
      <c r="AI6" s="287">
        <v>4.1666666666666699E-2</v>
      </c>
      <c r="AJ6" s="41"/>
      <c r="AK6" s="387">
        <f>AB6+1</f>
        <v>45905</v>
      </c>
      <c r="AL6" s="388"/>
      <c r="AM6" s="289"/>
      <c r="AN6" s="289"/>
      <c r="AO6" s="290" t="str">
        <f>IF(AM6="","",AN6-AM6-AR6)</f>
        <v/>
      </c>
      <c r="AP6" s="291" t="str">
        <f>IF(AND(AO6=""),"",SUM(AO9:AO23))</f>
        <v/>
      </c>
      <c r="AQ6" s="114" t="s">
        <v>19</v>
      </c>
      <c r="AR6" s="287">
        <v>4.1666666666666699E-2</v>
      </c>
      <c r="AS6" s="41"/>
      <c r="AT6" s="387">
        <f>AK6+1</f>
        <v>45906</v>
      </c>
      <c r="AU6" s="388"/>
      <c r="AV6" s="289"/>
      <c r="AW6" s="289"/>
      <c r="AX6" s="290" t="str">
        <f>IF(AV6="","",AW6-AV6-BA6)</f>
        <v/>
      </c>
      <c r="AY6" s="291" t="str">
        <f>IF(AND(AX6=""),"",SUM(AX9:AX23))</f>
        <v/>
      </c>
      <c r="AZ6" s="114" t="s">
        <v>19</v>
      </c>
      <c r="BA6" s="287">
        <v>4.1666666666666699E-2</v>
      </c>
      <c r="BB6" s="41"/>
      <c r="BC6" s="387">
        <f>AT6+1</f>
        <v>45907</v>
      </c>
      <c r="BD6" s="388"/>
      <c r="BE6" s="289"/>
      <c r="BF6" s="289"/>
      <c r="BG6" s="290" t="str">
        <f>IF(BE6="","",BF6-BE6-BJ6)</f>
        <v/>
      </c>
      <c r="BH6" s="291" t="str">
        <f>IF(AND(BG6=""),"",SUM(BG9:BG23))</f>
        <v/>
      </c>
      <c r="BI6" s="114" t="s">
        <v>19</v>
      </c>
      <c r="BJ6" s="287">
        <v>4.1666666666666699E-2</v>
      </c>
      <c r="BK6" s="41"/>
    </row>
    <row r="7" spans="1:63" ht="18.600000000000001" thickBot="1">
      <c r="A7" s="41" t="s">
        <v>38</v>
      </c>
      <c r="B7" s="115"/>
      <c r="C7" s="115"/>
      <c r="D7" s="115"/>
      <c r="E7" s="116"/>
      <c r="F7" s="117"/>
      <c r="G7" s="117"/>
      <c r="H7" s="185"/>
      <c r="I7" s="117"/>
      <c r="J7" s="41" t="s">
        <v>38</v>
      </c>
      <c r="K7" s="115"/>
      <c r="L7" s="115"/>
      <c r="M7" s="115"/>
      <c r="N7" s="116"/>
      <c r="O7" s="117"/>
      <c r="P7" s="117"/>
      <c r="Q7" s="185"/>
      <c r="R7" s="41"/>
      <c r="S7" s="41" t="s">
        <v>38</v>
      </c>
      <c r="T7" s="115"/>
      <c r="U7" s="115"/>
      <c r="V7" s="115"/>
      <c r="W7" s="116"/>
      <c r="X7" s="117"/>
      <c r="Y7" s="117"/>
      <c r="Z7" s="185"/>
      <c r="AA7" s="41"/>
      <c r="AB7" s="41" t="s">
        <v>38</v>
      </c>
      <c r="AC7" s="115"/>
      <c r="AD7" s="115"/>
      <c r="AE7" s="115"/>
      <c r="AF7" s="116"/>
      <c r="AG7" s="117"/>
      <c r="AH7" s="117"/>
      <c r="AI7" s="185"/>
      <c r="AJ7" s="41"/>
      <c r="AK7" s="41" t="s">
        <v>38</v>
      </c>
      <c r="AL7" s="41"/>
      <c r="AM7" s="115"/>
      <c r="AN7" s="115"/>
      <c r="AO7" s="116"/>
      <c r="AP7" s="117"/>
      <c r="AQ7" s="117"/>
      <c r="AR7" s="185"/>
      <c r="AS7" s="41"/>
      <c r="AT7" s="41" t="s">
        <v>38</v>
      </c>
      <c r="AU7" s="115"/>
      <c r="AV7" s="115"/>
      <c r="AW7" s="115"/>
      <c r="AX7" s="116"/>
      <c r="AY7" s="117"/>
      <c r="AZ7" s="117"/>
      <c r="BA7" s="185"/>
      <c r="BB7" s="41"/>
      <c r="BC7" s="41" t="s">
        <v>38</v>
      </c>
      <c r="BD7" s="115"/>
      <c r="BE7" s="115"/>
      <c r="BF7" s="115"/>
      <c r="BG7" s="116"/>
      <c r="BH7" s="117"/>
      <c r="BI7" s="117"/>
      <c r="BJ7" s="185"/>
      <c r="BK7" s="41"/>
    </row>
    <row r="8" spans="1:63">
      <c r="A8" s="308" t="s">
        <v>20</v>
      </c>
      <c r="B8" s="389" t="s">
        <v>21</v>
      </c>
      <c r="C8" s="389"/>
      <c r="D8" s="389"/>
      <c r="E8" s="309" t="s">
        <v>22</v>
      </c>
      <c r="F8" s="309" t="s">
        <v>0</v>
      </c>
      <c r="G8" s="309" t="s">
        <v>39</v>
      </c>
      <c r="H8" s="310" t="s">
        <v>23</v>
      </c>
      <c r="I8" s="311" t="s">
        <v>24</v>
      </c>
      <c r="J8" s="308" t="s">
        <v>20</v>
      </c>
      <c r="K8" s="389" t="s">
        <v>21</v>
      </c>
      <c r="L8" s="389"/>
      <c r="M8" s="389"/>
      <c r="N8" s="309" t="s">
        <v>22</v>
      </c>
      <c r="O8" s="309" t="s">
        <v>0</v>
      </c>
      <c r="P8" s="309" t="s">
        <v>39</v>
      </c>
      <c r="Q8" s="310" t="s">
        <v>23</v>
      </c>
      <c r="R8" s="311" t="s">
        <v>24</v>
      </c>
      <c r="S8" s="308" t="s">
        <v>20</v>
      </c>
      <c r="T8" s="389" t="s">
        <v>21</v>
      </c>
      <c r="U8" s="389"/>
      <c r="V8" s="389"/>
      <c r="W8" s="309" t="s">
        <v>22</v>
      </c>
      <c r="X8" s="309" t="s">
        <v>0</v>
      </c>
      <c r="Y8" s="309" t="s">
        <v>39</v>
      </c>
      <c r="Z8" s="310" t="s">
        <v>23</v>
      </c>
      <c r="AA8" s="311" t="s">
        <v>24</v>
      </c>
      <c r="AB8" s="308" t="s">
        <v>20</v>
      </c>
      <c r="AC8" s="389" t="s">
        <v>21</v>
      </c>
      <c r="AD8" s="389"/>
      <c r="AE8" s="389"/>
      <c r="AF8" s="309" t="s">
        <v>22</v>
      </c>
      <c r="AG8" s="309" t="s">
        <v>0</v>
      </c>
      <c r="AH8" s="309" t="s">
        <v>39</v>
      </c>
      <c r="AI8" s="310" t="s">
        <v>23</v>
      </c>
      <c r="AJ8" s="311" t="s">
        <v>24</v>
      </c>
      <c r="AK8" s="308" t="s">
        <v>20</v>
      </c>
      <c r="AL8" s="389" t="s">
        <v>21</v>
      </c>
      <c r="AM8" s="389"/>
      <c r="AN8" s="389"/>
      <c r="AO8" s="309" t="s">
        <v>22</v>
      </c>
      <c r="AP8" s="309" t="s">
        <v>0</v>
      </c>
      <c r="AQ8" s="309" t="s">
        <v>39</v>
      </c>
      <c r="AR8" s="310" t="s">
        <v>23</v>
      </c>
      <c r="AS8" s="311" t="s">
        <v>24</v>
      </c>
      <c r="AT8" s="308" t="s">
        <v>20</v>
      </c>
      <c r="AU8" s="389" t="s">
        <v>21</v>
      </c>
      <c r="AV8" s="389"/>
      <c r="AW8" s="389"/>
      <c r="AX8" s="309" t="s">
        <v>22</v>
      </c>
      <c r="AY8" s="309" t="s">
        <v>0</v>
      </c>
      <c r="AZ8" s="309" t="s">
        <v>39</v>
      </c>
      <c r="BA8" s="310" t="s">
        <v>23</v>
      </c>
      <c r="BB8" s="311" t="s">
        <v>24</v>
      </c>
      <c r="BC8" s="308" t="s">
        <v>20</v>
      </c>
      <c r="BD8" s="389" t="s">
        <v>21</v>
      </c>
      <c r="BE8" s="389"/>
      <c r="BF8" s="389"/>
      <c r="BG8" s="309" t="s">
        <v>22</v>
      </c>
      <c r="BH8" s="309" t="s">
        <v>0</v>
      </c>
      <c r="BI8" s="309" t="s">
        <v>39</v>
      </c>
      <c r="BJ8" s="310" t="s">
        <v>23</v>
      </c>
      <c r="BK8" s="311" t="s">
        <v>24</v>
      </c>
    </row>
    <row r="9" spans="1:63">
      <c r="A9" s="312">
        <v>0</v>
      </c>
      <c r="B9" s="385" t="str">
        <f>IF(A9="","",VLOOKUP(A9,案件コード!$A$1:$B$31,2,FALSE()))</f>
        <v>Webデザイン</v>
      </c>
      <c r="C9" s="385"/>
      <c r="D9" s="385"/>
      <c r="E9" s="113">
        <f t="shared" ref="E9:E23" si="0">IF(AND(F9="",G9=""),"",SUM(F9:G9))</f>
        <v>5</v>
      </c>
      <c r="F9" s="285">
        <v>5</v>
      </c>
      <c r="G9" s="284"/>
      <c r="H9" s="286">
        <v>70000</v>
      </c>
      <c r="I9" s="313"/>
      <c r="J9" s="312"/>
      <c r="K9" s="385" t="str">
        <f>IF(J9="","",VLOOKUP(J9,案件コード!$A$1:$B$31,2,FALSE()))</f>
        <v/>
      </c>
      <c r="L9" s="385"/>
      <c r="M9" s="385"/>
      <c r="N9" s="113" t="str">
        <f t="shared" ref="N9:N23" si="1">IF(AND(O9="",P9=""),"",SUM(O9:P9))</f>
        <v/>
      </c>
      <c r="O9" s="285"/>
      <c r="P9" s="284"/>
      <c r="Q9" s="286"/>
      <c r="R9" s="313"/>
      <c r="S9" s="312"/>
      <c r="T9" s="385" t="str">
        <f>IF(S9="","",VLOOKUP(S9,案件コード!$A$1:$B$31,2,FALSE()))</f>
        <v/>
      </c>
      <c r="U9" s="385"/>
      <c r="V9" s="385"/>
      <c r="W9" s="113" t="str">
        <f t="shared" ref="W9:W23" si="2">IF(AND(X9="",Y9=""),"",SUM(X9:Y9))</f>
        <v/>
      </c>
      <c r="X9" s="285"/>
      <c r="Y9" s="284"/>
      <c r="Z9" s="286"/>
      <c r="AA9" s="321"/>
      <c r="AB9" s="312"/>
      <c r="AC9" s="385" t="str">
        <f>IF(AB9="","",VLOOKUP(AB9,案件コード!$A$1:$B$31,2,FALSE()))</f>
        <v/>
      </c>
      <c r="AD9" s="385"/>
      <c r="AE9" s="385"/>
      <c r="AF9" s="113" t="str">
        <f t="shared" ref="AF9:AF23" si="3">IF(AND(AG9="",AH9=""),"",SUM(AG9:AH9))</f>
        <v/>
      </c>
      <c r="AG9" s="285"/>
      <c r="AH9" s="284"/>
      <c r="AI9" s="286"/>
      <c r="AJ9" s="321"/>
      <c r="AK9" s="312"/>
      <c r="AL9" s="385" t="str">
        <f>IF(AK9="","",VLOOKUP(AK9,案件コード!$A$1:$B$31,2,FALSE()))</f>
        <v/>
      </c>
      <c r="AM9" s="385"/>
      <c r="AN9" s="385"/>
      <c r="AO9" s="113" t="str">
        <f t="shared" ref="AO9:AO23" si="4">IF(AND(AP9="",AQ9=""),"",SUM(AP9:AQ9))</f>
        <v/>
      </c>
      <c r="AP9" s="285"/>
      <c r="AQ9" s="284"/>
      <c r="AR9" s="286"/>
      <c r="AS9" s="321"/>
      <c r="AT9" s="312"/>
      <c r="AU9" s="385" t="str">
        <f>IF(AT9="","",VLOOKUP(AT9,案件コード!$A$1:$B$31,2,FALSE()))</f>
        <v/>
      </c>
      <c r="AV9" s="385"/>
      <c r="AW9" s="385"/>
      <c r="AX9" s="113" t="str">
        <f t="shared" ref="AX9:AX23" si="5">IF(AND(AY9="",AZ9=""),"",SUM(AY9:AZ9))</f>
        <v/>
      </c>
      <c r="AY9" s="285"/>
      <c r="AZ9" s="284"/>
      <c r="BA9" s="286"/>
      <c r="BB9" s="321"/>
      <c r="BC9" s="312"/>
      <c r="BD9" s="385" t="str">
        <f>IF(BC9="","",VLOOKUP(BC9,案件コード!$A$1:$B$31,2,FALSE()))</f>
        <v/>
      </c>
      <c r="BE9" s="385"/>
      <c r="BF9" s="385"/>
      <c r="BG9" s="113" t="str">
        <f t="shared" ref="BG9:BG23" si="6">IF(AND(BH9="",BI9=""),"",SUM(BH9:BI9))</f>
        <v/>
      </c>
      <c r="BH9" s="285"/>
      <c r="BI9" s="284"/>
      <c r="BJ9" s="286"/>
      <c r="BK9" s="321"/>
    </row>
    <row r="10" spans="1:63">
      <c r="A10" s="312">
        <v>1</v>
      </c>
      <c r="B10" s="385" t="str">
        <f>IF(A10="","",VLOOKUP(A10,案件コード!$A$1:$B$31,2,FALSE()))</f>
        <v>プログラミング</v>
      </c>
      <c r="C10" s="385"/>
      <c r="D10" s="385"/>
      <c r="E10" s="113">
        <f t="shared" si="0"/>
        <v>2</v>
      </c>
      <c r="F10" s="285"/>
      <c r="G10" s="284">
        <v>2</v>
      </c>
      <c r="H10" s="286"/>
      <c r="I10" s="314"/>
      <c r="J10" s="312"/>
      <c r="K10" s="385" t="str">
        <f>IF(J10="","",VLOOKUP(J10,案件コード!$A$1:$B$31,2,FALSE()))</f>
        <v/>
      </c>
      <c r="L10" s="385"/>
      <c r="M10" s="385"/>
      <c r="N10" s="113" t="str">
        <f t="shared" si="1"/>
        <v/>
      </c>
      <c r="O10" s="285"/>
      <c r="P10" s="284"/>
      <c r="Q10" s="286"/>
      <c r="R10" s="314"/>
      <c r="S10" s="312"/>
      <c r="T10" s="385" t="str">
        <f>IF(S10="","",VLOOKUP(S10,案件コード!$A$1:$B$31,2,FALSE()))</f>
        <v/>
      </c>
      <c r="U10" s="385"/>
      <c r="V10" s="385"/>
      <c r="W10" s="113" t="str">
        <f t="shared" si="2"/>
        <v/>
      </c>
      <c r="X10" s="285"/>
      <c r="Y10" s="284"/>
      <c r="Z10" s="286"/>
      <c r="AA10" s="322"/>
      <c r="AB10" s="312"/>
      <c r="AC10" s="385" t="str">
        <f>IF(AB10="","",VLOOKUP(AB10,案件コード!$A$1:$B$31,2,FALSE()))</f>
        <v/>
      </c>
      <c r="AD10" s="385"/>
      <c r="AE10" s="385"/>
      <c r="AF10" s="113" t="str">
        <f t="shared" si="3"/>
        <v/>
      </c>
      <c r="AG10" s="285"/>
      <c r="AH10" s="284"/>
      <c r="AI10" s="286"/>
      <c r="AJ10" s="322"/>
      <c r="AK10" s="312"/>
      <c r="AL10" s="385" t="str">
        <f>IF(AK10="","",VLOOKUP(AK10,案件コード!$A$1:$B$31,2,FALSE()))</f>
        <v/>
      </c>
      <c r="AM10" s="385"/>
      <c r="AN10" s="385"/>
      <c r="AO10" s="113" t="str">
        <f t="shared" si="4"/>
        <v/>
      </c>
      <c r="AP10" s="285"/>
      <c r="AQ10" s="284"/>
      <c r="AR10" s="286"/>
      <c r="AS10" s="322"/>
      <c r="AT10" s="312"/>
      <c r="AU10" s="385" t="str">
        <f>IF(AT10="","",VLOOKUP(AT10,案件コード!$A$1:$B$31,2,FALSE()))</f>
        <v/>
      </c>
      <c r="AV10" s="385"/>
      <c r="AW10" s="385"/>
      <c r="AX10" s="113" t="str">
        <f t="shared" si="5"/>
        <v/>
      </c>
      <c r="AY10" s="285"/>
      <c r="AZ10" s="284"/>
      <c r="BA10" s="286"/>
      <c r="BB10" s="322"/>
      <c r="BC10" s="312"/>
      <c r="BD10" s="385" t="str">
        <f>IF(BC10="","",VLOOKUP(BC10,案件コード!$A$1:$B$31,2,FALSE()))</f>
        <v/>
      </c>
      <c r="BE10" s="385"/>
      <c r="BF10" s="385"/>
      <c r="BG10" s="113" t="str">
        <f t="shared" si="6"/>
        <v/>
      </c>
      <c r="BH10" s="285"/>
      <c r="BI10" s="284"/>
      <c r="BJ10" s="286"/>
      <c r="BK10" s="322"/>
    </row>
    <row r="11" spans="1:63">
      <c r="A11" s="312">
        <v>2</v>
      </c>
      <c r="B11" s="385" t="str">
        <f>IF(A11="","",VLOOKUP(A11,案件コード!$A$1:$B$31,2,FALSE()))</f>
        <v>ライティング</v>
      </c>
      <c r="C11" s="385"/>
      <c r="D11" s="385"/>
      <c r="E11" s="113">
        <f t="shared" si="0"/>
        <v>1</v>
      </c>
      <c r="F11" s="285">
        <v>1</v>
      </c>
      <c r="G11" s="284"/>
      <c r="H11" s="286">
        <v>10000</v>
      </c>
      <c r="I11" s="314"/>
      <c r="J11" s="312"/>
      <c r="K11" s="385" t="str">
        <f>IF(J11="","",VLOOKUP(J11,案件コード!$A$1:$B$31,2,FALSE()))</f>
        <v/>
      </c>
      <c r="L11" s="385"/>
      <c r="M11" s="385"/>
      <c r="N11" s="113" t="str">
        <f t="shared" si="1"/>
        <v/>
      </c>
      <c r="O11" s="285"/>
      <c r="P11" s="284"/>
      <c r="Q11" s="286"/>
      <c r="R11" s="314"/>
      <c r="S11" s="312"/>
      <c r="T11" s="385" t="str">
        <f>IF(S11="","",VLOOKUP(S11,案件コード!$A$1:$B$31,2,FALSE()))</f>
        <v/>
      </c>
      <c r="U11" s="385"/>
      <c r="V11" s="385"/>
      <c r="W11" s="113" t="str">
        <f t="shared" si="2"/>
        <v/>
      </c>
      <c r="X11" s="285"/>
      <c r="Y11" s="284"/>
      <c r="Z11" s="286"/>
      <c r="AA11" s="322"/>
      <c r="AB11" s="312"/>
      <c r="AC11" s="385" t="str">
        <f>IF(AB11="","",VLOOKUP(AB11,案件コード!$A$1:$B$31,2,FALSE()))</f>
        <v/>
      </c>
      <c r="AD11" s="385"/>
      <c r="AE11" s="385"/>
      <c r="AF11" s="113" t="str">
        <f t="shared" si="3"/>
        <v/>
      </c>
      <c r="AG11" s="285"/>
      <c r="AH11" s="284"/>
      <c r="AI11" s="286"/>
      <c r="AJ11" s="322"/>
      <c r="AK11" s="312"/>
      <c r="AL11" s="385" t="str">
        <f>IF(AK11="","",VLOOKUP(AK11,案件コード!$A$1:$B$31,2,FALSE()))</f>
        <v/>
      </c>
      <c r="AM11" s="385"/>
      <c r="AN11" s="385"/>
      <c r="AO11" s="113" t="str">
        <f t="shared" si="4"/>
        <v/>
      </c>
      <c r="AP11" s="285"/>
      <c r="AQ11" s="284"/>
      <c r="AR11" s="286"/>
      <c r="AS11" s="322"/>
      <c r="AT11" s="312"/>
      <c r="AU11" s="385" t="str">
        <f>IF(AT11="","",VLOOKUP(AT11,案件コード!$A$1:$B$31,2,FALSE()))</f>
        <v/>
      </c>
      <c r="AV11" s="385"/>
      <c r="AW11" s="385"/>
      <c r="AX11" s="113" t="str">
        <f t="shared" si="5"/>
        <v/>
      </c>
      <c r="AY11" s="285"/>
      <c r="AZ11" s="284"/>
      <c r="BA11" s="286"/>
      <c r="BB11" s="322"/>
      <c r="BC11" s="312"/>
      <c r="BD11" s="385" t="str">
        <f>IF(BC11="","",VLOOKUP(BC11,案件コード!$A$1:$B$31,2,FALSE()))</f>
        <v/>
      </c>
      <c r="BE11" s="385"/>
      <c r="BF11" s="385"/>
      <c r="BG11" s="113" t="str">
        <f t="shared" si="6"/>
        <v/>
      </c>
      <c r="BH11" s="285"/>
      <c r="BI11" s="284"/>
      <c r="BJ11" s="286"/>
      <c r="BK11" s="322"/>
    </row>
    <row r="12" spans="1:63">
      <c r="A12" s="312"/>
      <c r="B12" s="385" t="str">
        <f>IF(A12="","",VLOOKUP(A12,案件コード!$A$1:$B$31,2,FALSE()))</f>
        <v/>
      </c>
      <c r="C12" s="385"/>
      <c r="D12" s="385"/>
      <c r="E12" s="113" t="str">
        <f t="shared" si="0"/>
        <v/>
      </c>
      <c r="F12" s="285"/>
      <c r="G12" s="284"/>
      <c r="H12" s="286"/>
      <c r="I12" s="314"/>
      <c r="J12" s="312"/>
      <c r="K12" s="385" t="str">
        <f>IF(J12="","",VLOOKUP(J12,案件コード!$A$1:$B$31,2,FALSE()))</f>
        <v/>
      </c>
      <c r="L12" s="385"/>
      <c r="M12" s="385"/>
      <c r="N12" s="113" t="str">
        <f t="shared" si="1"/>
        <v/>
      </c>
      <c r="O12" s="285"/>
      <c r="P12" s="284"/>
      <c r="Q12" s="286"/>
      <c r="R12" s="314"/>
      <c r="S12" s="312"/>
      <c r="T12" s="385" t="str">
        <f>IF(S12="","",VLOOKUP(S12,案件コード!$A$1:$B$31,2,FALSE()))</f>
        <v/>
      </c>
      <c r="U12" s="385"/>
      <c r="V12" s="385"/>
      <c r="W12" s="113" t="str">
        <f t="shared" si="2"/>
        <v/>
      </c>
      <c r="X12" s="285"/>
      <c r="Y12" s="284"/>
      <c r="Z12" s="286"/>
      <c r="AA12" s="322"/>
      <c r="AB12" s="312"/>
      <c r="AC12" s="385" t="str">
        <f>IF(AB12="","",VLOOKUP(AB12,案件コード!$A$1:$B$31,2,FALSE()))</f>
        <v/>
      </c>
      <c r="AD12" s="385"/>
      <c r="AE12" s="385"/>
      <c r="AF12" s="113" t="str">
        <f t="shared" si="3"/>
        <v/>
      </c>
      <c r="AG12" s="285"/>
      <c r="AH12" s="284"/>
      <c r="AI12" s="286"/>
      <c r="AJ12" s="322"/>
      <c r="AK12" s="312"/>
      <c r="AL12" s="385" t="str">
        <f>IF(AK12="","",VLOOKUP(AK12,案件コード!$A$1:$B$31,2,FALSE()))</f>
        <v/>
      </c>
      <c r="AM12" s="385"/>
      <c r="AN12" s="385"/>
      <c r="AO12" s="113" t="str">
        <f t="shared" si="4"/>
        <v/>
      </c>
      <c r="AP12" s="285"/>
      <c r="AQ12" s="284"/>
      <c r="AR12" s="286"/>
      <c r="AS12" s="322"/>
      <c r="AT12" s="312"/>
      <c r="AU12" s="385" t="str">
        <f>IF(AT12="","",VLOOKUP(AT12,案件コード!$A$1:$B$31,2,FALSE()))</f>
        <v/>
      </c>
      <c r="AV12" s="385"/>
      <c r="AW12" s="385"/>
      <c r="AX12" s="113" t="str">
        <f t="shared" si="5"/>
        <v/>
      </c>
      <c r="AY12" s="285"/>
      <c r="AZ12" s="284"/>
      <c r="BA12" s="286"/>
      <c r="BB12" s="322"/>
      <c r="BC12" s="312"/>
      <c r="BD12" s="385" t="str">
        <f>IF(BC12="","",VLOOKUP(BC12,案件コード!$A$1:$B$31,2,FALSE()))</f>
        <v/>
      </c>
      <c r="BE12" s="385"/>
      <c r="BF12" s="385"/>
      <c r="BG12" s="113" t="str">
        <f t="shared" si="6"/>
        <v/>
      </c>
      <c r="BH12" s="285"/>
      <c r="BI12" s="284"/>
      <c r="BJ12" s="286"/>
      <c r="BK12" s="322"/>
    </row>
    <row r="13" spans="1:63">
      <c r="A13" s="312"/>
      <c r="B13" s="385" t="str">
        <f>IF(A13="","",VLOOKUP(A13,案件コード!$A$1:$B$31,2,FALSE()))</f>
        <v/>
      </c>
      <c r="C13" s="385"/>
      <c r="D13" s="385"/>
      <c r="E13" s="113" t="str">
        <f t="shared" si="0"/>
        <v/>
      </c>
      <c r="F13" s="285"/>
      <c r="G13" s="284"/>
      <c r="H13" s="286"/>
      <c r="I13" s="314"/>
      <c r="J13" s="312"/>
      <c r="K13" s="385" t="str">
        <f>IF(J13="","",VLOOKUP(J13,案件コード!$A$1:$B$31,2,FALSE()))</f>
        <v/>
      </c>
      <c r="L13" s="385"/>
      <c r="M13" s="385"/>
      <c r="N13" s="113" t="str">
        <f t="shared" si="1"/>
        <v/>
      </c>
      <c r="O13" s="285"/>
      <c r="P13" s="284"/>
      <c r="Q13" s="286"/>
      <c r="R13" s="314"/>
      <c r="S13" s="312"/>
      <c r="T13" s="385" t="str">
        <f>IF(S13="","",VLOOKUP(S13,案件コード!$A$1:$B$31,2,FALSE()))</f>
        <v/>
      </c>
      <c r="U13" s="385"/>
      <c r="V13" s="385"/>
      <c r="W13" s="113" t="str">
        <f t="shared" si="2"/>
        <v/>
      </c>
      <c r="X13" s="285"/>
      <c r="Y13" s="284"/>
      <c r="Z13" s="286"/>
      <c r="AA13" s="322"/>
      <c r="AB13" s="312"/>
      <c r="AC13" s="385" t="str">
        <f>IF(AB13="","",VLOOKUP(AB13,案件コード!$A$1:$B$31,2,FALSE()))</f>
        <v/>
      </c>
      <c r="AD13" s="385"/>
      <c r="AE13" s="385"/>
      <c r="AF13" s="113" t="str">
        <f t="shared" si="3"/>
        <v/>
      </c>
      <c r="AG13" s="285"/>
      <c r="AH13" s="284"/>
      <c r="AI13" s="286"/>
      <c r="AJ13" s="322"/>
      <c r="AK13" s="312"/>
      <c r="AL13" s="385" t="str">
        <f>IF(AK13="","",VLOOKUP(AK13,案件コード!$A$1:$B$31,2,FALSE()))</f>
        <v/>
      </c>
      <c r="AM13" s="385"/>
      <c r="AN13" s="385"/>
      <c r="AO13" s="113" t="str">
        <f t="shared" si="4"/>
        <v/>
      </c>
      <c r="AP13" s="285"/>
      <c r="AQ13" s="284"/>
      <c r="AR13" s="286"/>
      <c r="AS13" s="322"/>
      <c r="AT13" s="312"/>
      <c r="AU13" s="385" t="str">
        <f>IF(AT13="","",VLOOKUP(AT13,案件コード!$A$1:$B$31,2,FALSE()))</f>
        <v/>
      </c>
      <c r="AV13" s="385"/>
      <c r="AW13" s="385"/>
      <c r="AX13" s="113" t="str">
        <f t="shared" si="5"/>
        <v/>
      </c>
      <c r="AY13" s="285"/>
      <c r="AZ13" s="284"/>
      <c r="BA13" s="286"/>
      <c r="BB13" s="322"/>
      <c r="BC13" s="312"/>
      <c r="BD13" s="385" t="str">
        <f>IF(BC13="","",VLOOKUP(BC13,案件コード!$A$1:$B$31,2,FALSE()))</f>
        <v/>
      </c>
      <c r="BE13" s="385"/>
      <c r="BF13" s="385"/>
      <c r="BG13" s="113" t="str">
        <f t="shared" si="6"/>
        <v/>
      </c>
      <c r="BH13" s="285"/>
      <c r="BI13" s="284"/>
      <c r="BJ13" s="286"/>
      <c r="BK13" s="322"/>
    </row>
    <row r="14" spans="1:63">
      <c r="A14" s="312"/>
      <c r="B14" s="385" t="str">
        <f>IF(A14="","",VLOOKUP(A14,案件コード!$A$1:$B$31,2,FALSE()))</f>
        <v/>
      </c>
      <c r="C14" s="385"/>
      <c r="D14" s="385"/>
      <c r="E14" s="113" t="str">
        <f t="shared" si="0"/>
        <v/>
      </c>
      <c r="F14" s="285"/>
      <c r="G14" s="284"/>
      <c r="H14" s="286"/>
      <c r="I14" s="314"/>
      <c r="J14" s="312"/>
      <c r="K14" s="385" t="str">
        <f>IF(J14="","",VLOOKUP(J14,案件コード!$A$1:$B$31,2,FALSE()))</f>
        <v/>
      </c>
      <c r="L14" s="385"/>
      <c r="M14" s="385"/>
      <c r="N14" s="113" t="str">
        <f t="shared" si="1"/>
        <v/>
      </c>
      <c r="O14" s="285"/>
      <c r="P14" s="284"/>
      <c r="Q14" s="286"/>
      <c r="R14" s="314"/>
      <c r="S14" s="312"/>
      <c r="T14" s="385" t="str">
        <f>IF(S14="","",VLOOKUP(S14,案件コード!$A$1:$B$31,2,FALSE()))</f>
        <v/>
      </c>
      <c r="U14" s="385"/>
      <c r="V14" s="385"/>
      <c r="W14" s="113" t="str">
        <f t="shared" si="2"/>
        <v/>
      </c>
      <c r="X14" s="285"/>
      <c r="Y14" s="284"/>
      <c r="Z14" s="286"/>
      <c r="AA14" s="322"/>
      <c r="AB14" s="312"/>
      <c r="AC14" s="385" t="str">
        <f>IF(AB14="","",VLOOKUP(AB14,案件コード!$A$1:$B$31,2,FALSE()))</f>
        <v/>
      </c>
      <c r="AD14" s="385"/>
      <c r="AE14" s="385"/>
      <c r="AF14" s="113" t="str">
        <f t="shared" si="3"/>
        <v/>
      </c>
      <c r="AG14" s="285"/>
      <c r="AH14" s="284"/>
      <c r="AI14" s="286"/>
      <c r="AJ14" s="322"/>
      <c r="AK14" s="312"/>
      <c r="AL14" s="385" t="str">
        <f>IF(AK14="","",VLOOKUP(AK14,案件コード!$A$1:$B$31,2,FALSE()))</f>
        <v/>
      </c>
      <c r="AM14" s="385"/>
      <c r="AN14" s="385"/>
      <c r="AO14" s="113" t="str">
        <f t="shared" si="4"/>
        <v/>
      </c>
      <c r="AP14" s="285"/>
      <c r="AQ14" s="284"/>
      <c r="AR14" s="286"/>
      <c r="AS14" s="322"/>
      <c r="AT14" s="312"/>
      <c r="AU14" s="385" t="str">
        <f>IF(AT14="","",VLOOKUP(AT14,案件コード!$A$1:$B$31,2,FALSE()))</f>
        <v/>
      </c>
      <c r="AV14" s="385"/>
      <c r="AW14" s="385"/>
      <c r="AX14" s="113" t="str">
        <f t="shared" si="5"/>
        <v/>
      </c>
      <c r="AY14" s="285"/>
      <c r="AZ14" s="284"/>
      <c r="BA14" s="286"/>
      <c r="BB14" s="322"/>
      <c r="BC14" s="312"/>
      <c r="BD14" s="385" t="str">
        <f>IF(BC14="","",VLOOKUP(BC14,案件コード!$A$1:$B$31,2,FALSE()))</f>
        <v/>
      </c>
      <c r="BE14" s="385"/>
      <c r="BF14" s="385"/>
      <c r="BG14" s="113" t="str">
        <f t="shared" si="6"/>
        <v/>
      </c>
      <c r="BH14" s="285"/>
      <c r="BI14" s="284"/>
      <c r="BJ14" s="286"/>
      <c r="BK14" s="322"/>
    </row>
    <row r="15" spans="1:63">
      <c r="A15" s="312"/>
      <c r="B15" s="385" t="str">
        <f>IF(A15="","",VLOOKUP(A15,案件コード!$A$1:$B$31,2,FALSE()))</f>
        <v/>
      </c>
      <c r="C15" s="385"/>
      <c r="D15" s="385"/>
      <c r="E15" s="113" t="str">
        <f t="shared" si="0"/>
        <v/>
      </c>
      <c r="F15" s="285"/>
      <c r="G15" s="284"/>
      <c r="H15" s="286"/>
      <c r="I15" s="314"/>
      <c r="J15" s="312"/>
      <c r="K15" s="385" t="str">
        <f>IF(J15="","",VLOOKUP(J15,案件コード!$A$1:$B$31,2,FALSE()))</f>
        <v/>
      </c>
      <c r="L15" s="385"/>
      <c r="M15" s="385"/>
      <c r="N15" s="113" t="str">
        <f t="shared" si="1"/>
        <v/>
      </c>
      <c r="O15" s="285"/>
      <c r="P15" s="284"/>
      <c r="Q15" s="286"/>
      <c r="R15" s="314"/>
      <c r="S15" s="312"/>
      <c r="T15" s="385" t="str">
        <f>IF(S15="","",VLOOKUP(S15,案件コード!$A$1:$B$31,2,FALSE()))</f>
        <v/>
      </c>
      <c r="U15" s="385"/>
      <c r="V15" s="385"/>
      <c r="W15" s="113" t="str">
        <f t="shared" si="2"/>
        <v/>
      </c>
      <c r="X15" s="285"/>
      <c r="Y15" s="284"/>
      <c r="Z15" s="286"/>
      <c r="AA15" s="322"/>
      <c r="AB15" s="312"/>
      <c r="AC15" s="385" t="str">
        <f>IF(AB15="","",VLOOKUP(AB15,案件コード!$A$1:$B$31,2,FALSE()))</f>
        <v/>
      </c>
      <c r="AD15" s="385"/>
      <c r="AE15" s="385"/>
      <c r="AF15" s="113" t="str">
        <f t="shared" si="3"/>
        <v/>
      </c>
      <c r="AG15" s="285"/>
      <c r="AH15" s="284"/>
      <c r="AI15" s="286"/>
      <c r="AJ15" s="322"/>
      <c r="AK15" s="312"/>
      <c r="AL15" s="385" t="str">
        <f>IF(AK15="","",VLOOKUP(AK15,案件コード!$A$1:$B$31,2,FALSE()))</f>
        <v/>
      </c>
      <c r="AM15" s="385"/>
      <c r="AN15" s="385"/>
      <c r="AO15" s="113" t="str">
        <f t="shared" si="4"/>
        <v/>
      </c>
      <c r="AP15" s="285"/>
      <c r="AQ15" s="284"/>
      <c r="AR15" s="286"/>
      <c r="AS15" s="322"/>
      <c r="AT15" s="312"/>
      <c r="AU15" s="385" t="str">
        <f>IF(AT15="","",VLOOKUP(AT15,案件コード!$A$1:$B$31,2,FALSE()))</f>
        <v/>
      </c>
      <c r="AV15" s="385"/>
      <c r="AW15" s="385"/>
      <c r="AX15" s="113" t="str">
        <f t="shared" si="5"/>
        <v/>
      </c>
      <c r="AY15" s="285"/>
      <c r="AZ15" s="284"/>
      <c r="BA15" s="286"/>
      <c r="BB15" s="322"/>
      <c r="BC15" s="312"/>
      <c r="BD15" s="385" t="str">
        <f>IF(BC15="","",VLOOKUP(BC15,案件コード!$A$1:$B$31,2,FALSE()))</f>
        <v/>
      </c>
      <c r="BE15" s="385"/>
      <c r="BF15" s="385"/>
      <c r="BG15" s="113" t="str">
        <f t="shared" si="6"/>
        <v/>
      </c>
      <c r="BH15" s="285"/>
      <c r="BI15" s="284"/>
      <c r="BJ15" s="286"/>
      <c r="BK15" s="322"/>
    </row>
    <row r="16" spans="1:63">
      <c r="A16" s="312"/>
      <c r="B16" s="385" t="str">
        <f>IF(A16="","",VLOOKUP(A16,案件コード!$A$1:$B$31,2,FALSE()))</f>
        <v/>
      </c>
      <c r="C16" s="385"/>
      <c r="D16" s="385"/>
      <c r="E16" s="113" t="str">
        <f t="shared" si="0"/>
        <v/>
      </c>
      <c r="F16" s="285"/>
      <c r="G16" s="284"/>
      <c r="H16" s="286"/>
      <c r="I16" s="314"/>
      <c r="J16" s="312"/>
      <c r="K16" s="385" t="str">
        <f>IF(J16="","",VLOOKUP(J16,案件コード!$A$1:$B$31,2,FALSE()))</f>
        <v/>
      </c>
      <c r="L16" s="385"/>
      <c r="M16" s="385"/>
      <c r="N16" s="113" t="str">
        <f t="shared" si="1"/>
        <v/>
      </c>
      <c r="O16" s="285"/>
      <c r="P16" s="284"/>
      <c r="Q16" s="286"/>
      <c r="R16" s="314"/>
      <c r="S16" s="312"/>
      <c r="T16" s="385" t="str">
        <f>IF(S16="","",VLOOKUP(S16,案件コード!$A$1:$B$31,2,FALSE()))</f>
        <v/>
      </c>
      <c r="U16" s="385"/>
      <c r="V16" s="385"/>
      <c r="W16" s="113" t="str">
        <f t="shared" si="2"/>
        <v/>
      </c>
      <c r="X16" s="285"/>
      <c r="Y16" s="284"/>
      <c r="Z16" s="286"/>
      <c r="AA16" s="322"/>
      <c r="AB16" s="312"/>
      <c r="AC16" s="385" t="str">
        <f>IF(AB16="","",VLOOKUP(AB16,案件コード!$A$1:$B$31,2,FALSE()))</f>
        <v/>
      </c>
      <c r="AD16" s="385"/>
      <c r="AE16" s="385"/>
      <c r="AF16" s="113" t="str">
        <f t="shared" si="3"/>
        <v/>
      </c>
      <c r="AG16" s="285"/>
      <c r="AH16" s="284"/>
      <c r="AI16" s="286"/>
      <c r="AJ16" s="322"/>
      <c r="AK16" s="312"/>
      <c r="AL16" s="385" t="str">
        <f>IF(AK16="","",VLOOKUP(AK16,案件コード!$A$1:$B$31,2,FALSE()))</f>
        <v/>
      </c>
      <c r="AM16" s="385"/>
      <c r="AN16" s="385"/>
      <c r="AO16" s="113" t="str">
        <f t="shared" si="4"/>
        <v/>
      </c>
      <c r="AP16" s="285"/>
      <c r="AQ16" s="284"/>
      <c r="AR16" s="286"/>
      <c r="AS16" s="322"/>
      <c r="AT16" s="312"/>
      <c r="AU16" s="385" t="str">
        <f>IF(AT16="","",VLOOKUP(AT16,案件コード!$A$1:$B$31,2,FALSE()))</f>
        <v/>
      </c>
      <c r="AV16" s="385"/>
      <c r="AW16" s="385"/>
      <c r="AX16" s="113" t="str">
        <f t="shared" si="5"/>
        <v/>
      </c>
      <c r="AY16" s="285"/>
      <c r="AZ16" s="284"/>
      <c r="BA16" s="286"/>
      <c r="BB16" s="322"/>
      <c r="BC16" s="312"/>
      <c r="BD16" s="385" t="str">
        <f>IF(BC16="","",VLOOKUP(BC16,案件コード!$A$1:$B$31,2,FALSE()))</f>
        <v/>
      </c>
      <c r="BE16" s="385"/>
      <c r="BF16" s="385"/>
      <c r="BG16" s="113" t="str">
        <f t="shared" si="6"/>
        <v/>
      </c>
      <c r="BH16" s="285"/>
      <c r="BI16" s="284"/>
      <c r="BJ16" s="286"/>
      <c r="BK16" s="322"/>
    </row>
    <row r="17" spans="1:63">
      <c r="A17" s="312"/>
      <c r="B17" s="385" t="str">
        <f>IF(A17="","",VLOOKUP(A17,案件コード!$A$1:$B$31,2,FALSE()))</f>
        <v/>
      </c>
      <c r="C17" s="385"/>
      <c r="D17" s="385"/>
      <c r="E17" s="113" t="str">
        <f t="shared" si="0"/>
        <v/>
      </c>
      <c r="F17" s="285"/>
      <c r="G17" s="284"/>
      <c r="H17" s="286"/>
      <c r="I17" s="314"/>
      <c r="J17" s="312"/>
      <c r="K17" s="385" t="str">
        <f>IF(J17="","",VLOOKUP(J17,案件コード!$A$1:$B$31,2,FALSE()))</f>
        <v/>
      </c>
      <c r="L17" s="385"/>
      <c r="M17" s="385"/>
      <c r="N17" s="113" t="str">
        <f t="shared" si="1"/>
        <v/>
      </c>
      <c r="O17" s="285"/>
      <c r="P17" s="284"/>
      <c r="Q17" s="286"/>
      <c r="R17" s="314"/>
      <c r="S17" s="312"/>
      <c r="T17" s="385" t="str">
        <f>IF(S17="","",VLOOKUP(S17,案件コード!$A$1:$B$31,2,FALSE()))</f>
        <v/>
      </c>
      <c r="U17" s="385"/>
      <c r="V17" s="385"/>
      <c r="W17" s="113" t="str">
        <f t="shared" si="2"/>
        <v/>
      </c>
      <c r="X17" s="285"/>
      <c r="Y17" s="284"/>
      <c r="Z17" s="286"/>
      <c r="AA17" s="322"/>
      <c r="AB17" s="312"/>
      <c r="AC17" s="385" t="str">
        <f>IF(AB17="","",VLOOKUP(AB17,案件コード!$A$1:$B$31,2,FALSE()))</f>
        <v/>
      </c>
      <c r="AD17" s="385"/>
      <c r="AE17" s="385"/>
      <c r="AF17" s="113" t="str">
        <f t="shared" si="3"/>
        <v/>
      </c>
      <c r="AG17" s="285"/>
      <c r="AH17" s="284"/>
      <c r="AI17" s="286"/>
      <c r="AJ17" s="322"/>
      <c r="AK17" s="312"/>
      <c r="AL17" s="385" t="str">
        <f>IF(AK17="","",VLOOKUP(AK17,案件コード!$A$1:$B$31,2,FALSE()))</f>
        <v/>
      </c>
      <c r="AM17" s="385"/>
      <c r="AN17" s="385"/>
      <c r="AO17" s="113" t="str">
        <f t="shared" si="4"/>
        <v/>
      </c>
      <c r="AP17" s="285"/>
      <c r="AQ17" s="284"/>
      <c r="AR17" s="286"/>
      <c r="AS17" s="322"/>
      <c r="AT17" s="312"/>
      <c r="AU17" s="385" t="str">
        <f>IF(AT17="","",VLOOKUP(AT17,案件コード!$A$1:$B$31,2,FALSE()))</f>
        <v/>
      </c>
      <c r="AV17" s="385"/>
      <c r="AW17" s="385"/>
      <c r="AX17" s="113" t="str">
        <f t="shared" si="5"/>
        <v/>
      </c>
      <c r="AY17" s="285"/>
      <c r="AZ17" s="284"/>
      <c r="BA17" s="286"/>
      <c r="BB17" s="322"/>
      <c r="BC17" s="312"/>
      <c r="BD17" s="385" t="str">
        <f>IF(BC17="","",VLOOKUP(BC17,案件コード!$A$1:$B$31,2,FALSE()))</f>
        <v/>
      </c>
      <c r="BE17" s="385"/>
      <c r="BF17" s="385"/>
      <c r="BG17" s="113" t="str">
        <f t="shared" si="6"/>
        <v/>
      </c>
      <c r="BH17" s="285"/>
      <c r="BI17" s="284"/>
      <c r="BJ17" s="286"/>
      <c r="BK17" s="322"/>
    </row>
    <row r="18" spans="1:63">
      <c r="A18" s="312"/>
      <c r="B18" s="385" t="str">
        <f>IF(A18="","",VLOOKUP(A18,案件コード!$A$1:$B$31,2,FALSE()))</f>
        <v/>
      </c>
      <c r="C18" s="385"/>
      <c r="D18" s="385"/>
      <c r="E18" s="113" t="str">
        <f t="shared" si="0"/>
        <v/>
      </c>
      <c r="F18" s="285"/>
      <c r="G18" s="284"/>
      <c r="H18" s="286"/>
      <c r="I18" s="314"/>
      <c r="J18" s="312"/>
      <c r="K18" s="385" t="str">
        <f>IF(J18="","",VLOOKUP(J18,案件コード!$A$1:$B$31,2,FALSE()))</f>
        <v/>
      </c>
      <c r="L18" s="385"/>
      <c r="M18" s="385"/>
      <c r="N18" s="113" t="str">
        <f t="shared" si="1"/>
        <v/>
      </c>
      <c r="O18" s="285"/>
      <c r="P18" s="284"/>
      <c r="Q18" s="286"/>
      <c r="R18" s="314"/>
      <c r="S18" s="312"/>
      <c r="T18" s="385" t="str">
        <f>IF(S18="","",VLOOKUP(S18,案件コード!$A$1:$B$31,2,FALSE()))</f>
        <v/>
      </c>
      <c r="U18" s="385"/>
      <c r="V18" s="385"/>
      <c r="W18" s="113" t="str">
        <f t="shared" si="2"/>
        <v/>
      </c>
      <c r="X18" s="285"/>
      <c r="Y18" s="284"/>
      <c r="Z18" s="286"/>
      <c r="AA18" s="322"/>
      <c r="AB18" s="312"/>
      <c r="AC18" s="385" t="str">
        <f>IF(AB18="","",VLOOKUP(AB18,案件コード!$A$1:$B$31,2,FALSE()))</f>
        <v/>
      </c>
      <c r="AD18" s="385"/>
      <c r="AE18" s="385"/>
      <c r="AF18" s="113" t="str">
        <f t="shared" si="3"/>
        <v/>
      </c>
      <c r="AG18" s="285"/>
      <c r="AH18" s="284"/>
      <c r="AI18" s="286"/>
      <c r="AJ18" s="322"/>
      <c r="AK18" s="312"/>
      <c r="AL18" s="385" t="str">
        <f>IF(AK18="","",VLOOKUP(AK18,案件コード!$A$1:$B$31,2,FALSE()))</f>
        <v/>
      </c>
      <c r="AM18" s="385"/>
      <c r="AN18" s="385"/>
      <c r="AO18" s="113" t="str">
        <f t="shared" si="4"/>
        <v/>
      </c>
      <c r="AP18" s="285"/>
      <c r="AQ18" s="284"/>
      <c r="AR18" s="286"/>
      <c r="AS18" s="322"/>
      <c r="AT18" s="312"/>
      <c r="AU18" s="385" t="str">
        <f>IF(AT18="","",VLOOKUP(AT18,案件コード!$A$1:$B$31,2,FALSE()))</f>
        <v/>
      </c>
      <c r="AV18" s="385"/>
      <c r="AW18" s="385"/>
      <c r="AX18" s="113" t="str">
        <f t="shared" si="5"/>
        <v/>
      </c>
      <c r="AY18" s="285"/>
      <c r="AZ18" s="284"/>
      <c r="BA18" s="286"/>
      <c r="BB18" s="322"/>
      <c r="BC18" s="312"/>
      <c r="BD18" s="385" t="str">
        <f>IF(BC18="","",VLOOKUP(BC18,案件コード!$A$1:$B$31,2,FALSE()))</f>
        <v/>
      </c>
      <c r="BE18" s="385"/>
      <c r="BF18" s="385"/>
      <c r="BG18" s="113" t="str">
        <f t="shared" si="6"/>
        <v/>
      </c>
      <c r="BH18" s="285"/>
      <c r="BI18" s="284"/>
      <c r="BJ18" s="286"/>
      <c r="BK18" s="322"/>
    </row>
    <row r="19" spans="1:63">
      <c r="A19" s="312"/>
      <c r="B19" s="385" t="str">
        <f>IF(A19="","",VLOOKUP(A19,案件コード!$A$1:$B$31,2,FALSE()))</f>
        <v/>
      </c>
      <c r="C19" s="385"/>
      <c r="D19" s="385"/>
      <c r="E19" s="113" t="str">
        <f t="shared" si="0"/>
        <v/>
      </c>
      <c r="F19" s="285"/>
      <c r="G19" s="284"/>
      <c r="H19" s="286"/>
      <c r="I19" s="314"/>
      <c r="J19" s="312"/>
      <c r="K19" s="385" t="str">
        <f>IF(J19="","",VLOOKUP(J19,案件コード!$A$1:$B$31,2,FALSE()))</f>
        <v/>
      </c>
      <c r="L19" s="385"/>
      <c r="M19" s="385"/>
      <c r="N19" s="113" t="str">
        <f t="shared" si="1"/>
        <v/>
      </c>
      <c r="O19" s="285"/>
      <c r="P19" s="284"/>
      <c r="Q19" s="286"/>
      <c r="R19" s="314"/>
      <c r="S19" s="312"/>
      <c r="T19" s="385" t="str">
        <f>IF(S19="","",VLOOKUP(S19,案件コード!$A$1:$B$31,2,FALSE()))</f>
        <v/>
      </c>
      <c r="U19" s="385"/>
      <c r="V19" s="385"/>
      <c r="W19" s="113" t="str">
        <f t="shared" si="2"/>
        <v/>
      </c>
      <c r="X19" s="285"/>
      <c r="Y19" s="284"/>
      <c r="Z19" s="286"/>
      <c r="AA19" s="322"/>
      <c r="AB19" s="312"/>
      <c r="AC19" s="385" t="str">
        <f>IF(AB19="","",VLOOKUP(AB19,案件コード!$A$1:$B$31,2,FALSE()))</f>
        <v/>
      </c>
      <c r="AD19" s="385"/>
      <c r="AE19" s="385"/>
      <c r="AF19" s="113" t="str">
        <f t="shared" si="3"/>
        <v/>
      </c>
      <c r="AG19" s="285"/>
      <c r="AH19" s="284"/>
      <c r="AI19" s="286"/>
      <c r="AJ19" s="322"/>
      <c r="AK19" s="312"/>
      <c r="AL19" s="385" t="str">
        <f>IF(AK19="","",VLOOKUP(AK19,案件コード!$A$1:$B$31,2,FALSE()))</f>
        <v/>
      </c>
      <c r="AM19" s="385"/>
      <c r="AN19" s="385"/>
      <c r="AO19" s="113" t="str">
        <f t="shared" si="4"/>
        <v/>
      </c>
      <c r="AP19" s="285"/>
      <c r="AQ19" s="284"/>
      <c r="AR19" s="286"/>
      <c r="AS19" s="322"/>
      <c r="AT19" s="312"/>
      <c r="AU19" s="385" t="str">
        <f>IF(AT19="","",VLOOKUP(AT19,案件コード!$A$1:$B$31,2,FALSE()))</f>
        <v/>
      </c>
      <c r="AV19" s="385"/>
      <c r="AW19" s="385"/>
      <c r="AX19" s="113" t="str">
        <f t="shared" si="5"/>
        <v/>
      </c>
      <c r="AY19" s="285"/>
      <c r="AZ19" s="284"/>
      <c r="BA19" s="286"/>
      <c r="BB19" s="322"/>
      <c r="BC19" s="312"/>
      <c r="BD19" s="385" t="str">
        <f>IF(BC19="","",VLOOKUP(BC19,案件コード!$A$1:$B$31,2,FALSE()))</f>
        <v/>
      </c>
      <c r="BE19" s="385"/>
      <c r="BF19" s="385"/>
      <c r="BG19" s="113" t="str">
        <f t="shared" si="6"/>
        <v/>
      </c>
      <c r="BH19" s="285"/>
      <c r="BI19" s="284"/>
      <c r="BJ19" s="286"/>
      <c r="BK19" s="322"/>
    </row>
    <row r="20" spans="1:63">
      <c r="A20" s="312"/>
      <c r="B20" s="385" t="str">
        <f>IF(A20="","",VLOOKUP(A20,案件コード!$A$1:$B$31,2,FALSE()))</f>
        <v/>
      </c>
      <c r="C20" s="385"/>
      <c r="D20" s="385"/>
      <c r="E20" s="113" t="str">
        <f t="shared" si="0"/>
        <v/>
      </c>
      <c r="F20" s="285"/>
      <c r="G20" s="284"/>
      <c r="H20" s="286"/>
      <c r="I20" s="314"/>
      <c r="J20" s="312"/>
      <c r="K20" s="385" t="str">
        <f>IF(J20="","",VLOOKUP(J20,案件コード!$A$1:$B$31,2,FALSE()))</f>
        <v/>
      </c>
      <c r="L20" s="385"/>
      <c r="M20" s="385"/>
      <c r="N20" s="113" t="str">
        <f t="shared" si="1"/>
        <v/>
      </c>
      <c r="O20" s="285"/>
      <c r="P20" s="284"/>
      <c r="Q20" s="286"/>
      <c r="R20" s="314"/>
      <c r="S20" s="312"/>
      <c r="T20" s="385" t="str">
        <f>IF(S20="","",VLOOKUP(S20,案件コード!$A$1:$B$31,2,FALSE()))</f>
        <v/>
      </c>
      <c r="U20" s="385"/>
      <c r="V20" s="385"/>
      <c r="W20" s="113" t="str">
        <f t="shared" si="2"/>
        <v/>
      </c>
      <c r="X20" s="285"/>
      <c r="Y20" s="284"/>
      <c r="Z20" s="286"/>
      <c r="AA20" s="322"/>
      <c r="AB20" s="312"/>
      <c r="AC20" s="385" t="str">
        <f>IF(AB20="","",VLOOKUP(AB20,案件コード!$A$1:$B$31,2,FALSE()))</f>
        <v/>
      </c>
      <c r="AD20" s="385"/>
      <c r="AE20" s="385"/>
      <c r="AF20" s="113" t="str">
        <f t="shared" si="3"/>
        <v/>
      </c>
      <c r="AG20" s="285"/>
      <c r="AH20" s="284"/>
      <c r="AI20" s="286"/>
      <c r="AJ20" s="322"/>
      <c r="AK20" s="312"/>
      <c r="AL20" s="385" t="str">
        <f>IF(AK20="","",VLOOKUP(AK20,案件コード!$A$1:$B$31,2,FALSE()))</f>
        <v/>
      </c>
      <c r="AM20" s="385"/>
      <c r="AN20" s="385"/>
      <c r="AO20" s="113" t="str">
        <f t="shared" si="4"/>
        <v/>
      </c>
      <c r="AP20" s="285"/>
      <c r="AQ20" s="284"/>
      <c r="AR20" s="286"/>
      <c r="AS20" s="322"/>
      <c r="AT20" s="312"/>
      <c r="AU20" s="385" t="str">
        <f>IF(AT20="","",VLOOKUP(AT20,案件コード!$A$1:$B$31,2,FALSE()))</f>
        <v/>
      </c>
      <c r="AV20" s="385"/>
      <c r="AW20" s="385"/>
      <c r="AX20" s="113" t="str">
        <f t="shared" si="5"/>
        <v/>
      </c>
      <c r="AY20" s="285"/>
      <c r="AZ20" s="284"/>
      <c r="BA20" s="286"/>
      <c r="BB20" s="322"/>
      <c r="BC20" s="312"/>
      <c r="BD20" s="385" t="str">
        <f>IF(BC20="","",VLOOKUP(BC20,案件コード!$A$1:$B$31,2,FALSE()))</f>
        <v/>
      </c>
      <c r="BE20" s="385"/>
      <c r="BF20" s="385"/>
      <c r="BG20" s="113" t="str">
        <f t="shared" si="6"/>
        <v/>
      </c>
      <c r="BH20" s="285"/>
      <c r="BI20" s="284"/>
      <c r="BJ20" s="286"/>
      <c r="BK20" s="322"/>
    </row>
    <row r="21" spans="1:63">
      <c r="A21" s="312"/>
      <c r="B21" s="385" t="str">
        <f>IF(A21="","",VLOOKUP(A21,案件コード!$A$1:$B$31,2,FALSE()))</f>
        <v/>
      </c>
      <c r="C21" s="385"/>
      <c r="D21" s="385"/>
      <c r="E21" s="113" t="str">
        <f t="shared" si="0"/>
        <v/>
      </c>
      <c r="F21" s="285"/>
      <c r="G21" s="284"/>
      <c r="H21" s="286"/>
      <c r="I21" s="314"/>
      <c r="J21" s="312"/>
      <c r="K21" s="385" t="str">
        <f>IF(J21="","",VLOOKUP(J21,案件コード!$A$1:$B$31,2,FALSE()))</f>
        <v/>
      </c>
      <c r="L21" s="385"/>
      <c r="M21" s="385"/>
      <c r="N21" s="113" t="str">
        <f t="shared" si="1"/>
        <v/>
      </c>
      <c r="O21" s="285"/>
      <c r="P21" s="284"/>
      <c r="Q21" s="286"/>
      <c r="R21" s="314"/>
      <c r="S21" s="312"/>
      <c r="T21" s="385" t="str">
        <f>IF(S21="","",VLOOKUP(S21,案件コード!$A$1:$B$31,2,FALSE()))</f>
        <v/>
      </c>
      <c r="U21" s="385"/>
      <c r="V21" s="385"/>
      <c r="W21" s="113" t="str">
        <f t="shared" si="2"/>
        <v/>
      </c>
      <c r="X21" s="285"/>
      <c r="Y21" s="284"/>
      <c r="Z21" s="286"/>
      <c r="AA21" s="322"/>
      <c r="AB21" s="312"/>
      <c r="AC21" s="385" t="str">
        <f>IF(AB21="","",VLOOKUP(AB21,案件コード!$A$1:$B$31,2,FALSE()))</f>
        <v/>
      </c>
      <c r="AD21" s="385"/>
      <c r="AE21" s="385"/>
      <c r="AF21" s="113" t="str">
        <f t="shared" si="3"/>
        <v/>
      </c>
      <c r="AG21" s="285"/>
      <c r="AH21" s="284"/>
      <c r="AI21" s="286"/>
      <c r="AJ21" s="322"/>
      <c r="AK21" s="312"/>
      <c r="AL21" s="385" t="str">
        <f>IF(AK21="","",VLOOKUP(AK21,案件コード!$A$1:$B$31,2,FALSE()))</f>
        <v/>
      </c>
      <c r="AM21" s="385"/>
      <c r="AN21" s="385"/>
      <c r="AO21" s="113" t="str">
        <f t="shared" si="4"/>
        <v/>
      </c>
      <c r="AP21" s="285"/>
      <c r="AQ21" s="284"/>
      <c r="AR21" s="286"/>
      <c r="AS21" s="322"/>
      <c r="AT21" s="312"/>
      <c r="AU21" s="385" t="str">
        <f>IF(AT21="","",VLOOKUP(AT21,案件コード!$A$1:$B$31,2,FALSE()))</f>
        <v/>
      </c>
      <c r="AV21" s="385"/>
      <c r="AW21" s="385"/>
      <c r="AX21" s="113" t="str">
        <f t="shared" si="5"/>
        <v/>
      </c>
      <c r="AY21" s="285"/>
      <c r="AZ21" s="284"/>
      <c r="BA21" s="286"/>
      <c r="BB21" s="322"/>
      <c r="BC21" s="312"/>
      <c r="BD21" s="385" t="str">
        <f>IF(BC21="","",VLOOKUP(BC21,案件コード!$A$1:$B$31,2,FALSE()))</f>
        <v/>
      </c>
      <c r="BE21" s="385"/>
      <c r="BF21" s="385"/>
      <c r="BG21" s="113" t="str">
        <f t="shared" si="6"/>
        <v/>
      </c>
      <c r="BH21" s="285"/>
      <c r="BI21" s="284"/>
      <c r="BJ21" s="286"/>
      <c r="BK21" s="322"/>
    </row>
    <row r="22" spans="1:63">
      <c r="A22" s="312"/>
      <c r="B22" s="385" t="str">
        <f>IF(A22="","",VLOOKUP(A22,案件コード!$A$1:$B$31,2,FALSE()))</f>
        <v/>
      </c>
      <c r="C22" s="385"/>
      <c r="D22" s="385"/>
      <c r="E22" s="113" t="str">
        <f t="shared" si="0"/>
        <v/>
      </c>
      <c r="F22" s="285"/>
      <c r="G22" s="284"/>
      <c r="H22" s="286"/>
      <c r="I22" s="314"/>
      <c r="J22" s="312"/>
      <c r="K22" s="385" t="str">
        <f>IF(J22="","",VLOOKUP(J22,案件コード!$A$1:$B$31,2,FALSE()))</f>
        <v/>
      </c>
      <c r="L22" s="385"/>
      <c r="M22" s="385"/>
      <c r="N22" s="113" t="str">
        <f t="shared" si="1"/>
        <v/>
      </c>
      <c r="O22" s="285"/>
      <c r="P22" s="284"/>
      <c r="Q22" s="286"/>
      <c r="R22" s="314"/>
      <c r="S22" s="312"/>
      <c r="T22" s="385" t="str">
        <f>IF(S22="","",VLOOKUP(S22,案件コード!$A$1:$B$31,2,FALSE()))</f>
        <v/>
      </c>
      <c r="U22" s="385"/>
      <c r="V22" s="385"/>
      <c r="W22" s="113" t="str">
        <f t="shared" si="2"/>
        <v/>
      </c>
      <c r="X22" s="285"/>
      <c r="Y22" s="284"/>
      <c r="Z22" s="286"/>
      <c r="AA22" s="322"/>
      <c r="AB22" s="312"/>
      <c r="AC22" s="385" t="str">
        <f>IF(AB22="","",VLOOKUP(AB22,案件コード!$A$1:$B$31,2,FALSE()))</f>
        <v/>
      </c>
      <c r="AD22" s="385"/>
      <c r="AE22" s="385"/>
      <c r="AF22" s="113" t="str">
        <f t="shared" si="3"/>
        <v/>
      </c>
      <c r="AG22" s="285"/>
      <c r="AH22" s="284"/>
      <c r="AI22" s="286"/>
      <c r="AJ22" s="322"/>
      <c r="AK22" s="312"/>
      <c r="AL22" s="385" t="str">
        <f>IF(AK22="","",VLOOKUP(AK22,案件コード!$A$1:$B$31,2,FALSE()))</f>
        <v/>
      </c>
      <c r="AM22" s="385"/>
      <c r="AN22" s="385"/>
      <c r="AO22" s="113" t="str">
        <f t="shared" si="4"/>
        <v/>
      </c>
      <c r="AP22" s="285"/>
      <c r="AQ22" s="284"/>
      <c r="AR22" s="286"/>
      <c r="AS22" s="322"/>
      <c r="AT22" s="312"/>
      <c r="AU22" s="385" t="str">
        <f>IF(AT22="","",VLOOKUP(AT22,案件コード!$A$1:$B$31,2,FALSE()))</f>
        <v/>
      </c>
      <c r="AV22" s="385"/>
      <c r="AW22" s="385"/>
      <c r="AX22" s="113" t="str">
        <f t="shared" si="5"/>
        <v/>
      </c>
      <c r="AY22" s="285"/>
      <c r="AZ22" s="284"/>
      <c r="BA22" s="286"/>
      <c r="BB22" s="322"/>
      <c r="BC22" s="312"/>
      <c r="BD22" s="385" t="str">
        <f>IF(BC22="","",VLOOKUP(BC22,案件コード!$A$1:$B$31,2,FALSE()))</f>
        <v/>
      </c>
      <c r="BE22" s="385"/>
      <c r="BF22" s="385"/>
      <c r="BG22" s="113" t="str">
        <f t="shared" si="6"/>
        <v/>
      </c>
      <c r="BH22" s="285"/>
      <c r="BI22" s="284"/>
      <c r="BJ22" s="286"/>
      <c r="BK22" s="322"/>
    </row>
    <row r="23" spans="1:63" ht="18.600000000000001" thickBot="1">
      <c r="A23" s="315"/>
      <c r="B23" s="386" t="str">
        <f>IF(A23="","",VLOOKUP(A23,案件コード!$A$1:$B$31,2,FALSE()))</f>
        <v/>
      </c>
      <c r="C23" s="386"/>
      <c r="D23" s="386"/>
      <c r="E23" s="316" t="str">
        <f t="shared" si="0"/>
        <v/>
      </c>
      <c r="F23" s="317"/>
      <c r="G23" s="318"/>
      <c r="H23" s="319"/>
      <c r="I23" s="320"/>
      <c r="J23" s="315"/>
      <c r="K23" s="386" t="str">
        <f>IF(J23="","",VLOOKUP(J23,案件コード!$A$1:$B$31,2,FALSE()))</f>
        <v/>
      </c>
      <c r="L23" s="386"/>
      <c r="M23" s="386"/>
      <c r="N23" s="316" t="str">
        <f t="shared" si="1"/>
        <v/>
      </c>
      <c r="O23" s="317"/>
      <c r="P23" s="318"/>
      <c r="Q23" s="319"/>
      <c r="R23" s="320"/>
      <c r="S23" s="315"/>
      <c r="T23" s="386" t="str">
        <f>IF(S23="","",VLOOKUP(S23,案件コード!$A$1:$B$31,2,FALSE()))</f>
        <v/>
      </c>
      <c r="U23" s="386"/>
      <c r="V23" s="386"/>
      <c r="W23" s="316" t="str">
        <f t="shared" si="2"/>
        <v/>
      </c>
      <c r="X23" s="317"/>
      <c r="Y23" s="318"/>
      <c r="Z23" s="319"/>
      <c r="AA23" s="323"/>
      <c r="AB23" s="315"/>
      <c r="AC23" s="386" t="str">
        <f>IF(AB23="","",VLOOKUP(AB23,案件コード!$A$1:$B$31,2,FALSE()))</f>
        <v/>
      </c>
      <c r="AD23" s="386"/>
      <c r="AE23" s="386"/>
      <c r="AF23" s="316" t="str">
        <f t="shared" si="3"/>
        <v/>
      </c>
      <c r="AG23" s="317"/>
      <c r="AH23" s="318"/>
      <c r="AI23" s="319"/>
      <c r="AJ23" s="323"/>
      <c r="AK23" s="315"/>
      <c r="AL23" s="386" t="str">
        <f>IF(AK23="","",VLOOKUP(AK23,案件コード!$A$1:$B$31,2,FALSE()))</f>
        <v/>
      </c>
      <c r="AM23" s="386"/>
      <c r="AN23" s="386"/>
      <c r="AO23" s="316" t="str">
        <f t="shared" si="4"/>
        <v/>
      </c>
      <c r="AP23" s="317"/>
      <c r="AQ23" s="318"/>
      <c r="AR23" s="319"/>
      <c r="AS23" s="323"/>
      <c r="AT23" s="315"/>
      <c r="AU23" s="386" t="str">
        <f>IF(AT23="","",VLOOKUP(AT23,案件コード!$A$1:$B$31,2,FALSE()))</f>
        <v/>
      </c>
      <c r="AV23" s="386"/>
      <c r="AW23" s="386"/>
      <c r="AX23" s="316" t="str">
        <f t="shared" si="5"/>
        <v/>
      </c>
      <c r="AY23" s="317"/>
      <c r="AZ23" s="318"/>
      <c r="BA23" s="319"/>
      <c r="BB23" s="323"/>
      <c r="BC23" s="315"/>
      <c r="BD23" s="386" t="str">
        <f>IF(BC23="","",VLOOKUP(BC23,案件コード!$A$1:$B$31,2,FALSE()))</f>
        <v/>
      </c>
      <c r="BE23" s="386"/>
      <c r="BF23" s="386"/>
      <c r="BG23" s="316" t="str">
        <f t="shared" si="6"/>
        <v/>
      </c>
      <c r="BH23" s="317"/>
      <c r="BI23" s="318"/>
      <c r="BJ23" s="319"/>
      <c r="BK23" s="323"/>
    </row>
    <row r="24" spans="1:63" ht="18.600000000000001" thickBot="1">
      <c r="A24" s="41"/>
      <c r="B24" s="41"/>
      <c r="C24" s="41"/>
      <c r="D24" s="41"/>
      <c r="E24" s="41"/>
      <c r="F24" s="41"/>
      <c r="G24" s="41"/>
      <c r="H24" s="307">
        <f>SUM(H9:H23)</f>
        <v>80000</v>
      </c>
      <c r="I24" s="41"/>
      <c r="J24" s="41"/>
      <c r="K24" s="41"/>
      <c r="L24" s="41"/>
      <c r="M24" s="41"/>
      <c r="N24" s="41"/>
      <c r="O24" s="41"/>
      <c r="P24" s="41"/>
      <c r="Q24" s="307">
        <f>SUM(Q9:Q23)</f>
        <v>0</v>
      </c>
      <c r="R24" s="41"/>
      <c r="S24" s="41"/>
      <c r="T24" s="41"/>
      <c r="U24" s="41"/>
      <c r="V24" s="41"/>
      <c r="W24" s="41"/>
      <c r="X24" s="41"/>
      <c r="Y24" s="41"/>
      <c r="Z24" s="307">
        <f>SUM(Z9:Z23)</f>
        <v>0</v>
      </c>
      <c r="AA24" s="41"/>
      <c r="AB24" s="41"/>
      <c r="AC24" s="41"/>
      <c r="AD24" s="41"/>
      <c r="AE24" s="41"/>
      <c r="AF24" s="41"/>
      <c r="AG24" s="41"/>
      <c r="AH24" s="41"/>
      <c r="AI24" s="307">
        <f>SUM(AI9:AI23)</f>
        <v>0</v>
      </c>
      <c r="AJ24" s="41"/>
      <c r="AK24" s="41"/>
      <c r="AL24" s="41"/>
      <c r="AM24" s="41"/>
      <c r="AN24" s="41"/>
      <c r="AO24" s="41"/>
      <c r="AP24" s="41"/>
      <c r="AQ24" s="41"/>
      <c r="AR24" s="307">
        <f>SUM(AR9:AR23)</f>
        <v>0</v>
      </c>
      <c r="AS24" s="41"/>
      <c r="AT24" s="41"/>
      <c r="AU24" s="41"/>
      <c r="AV24" s="41"/>
      <c r="AW24" s="41"/>
      <c r="AX24" s="41"/>
      <c r="AY24" s="41"/>
      <c r="AZ24" s="41"/>
      <c r="BA24" s="307">
        <f>SUM(BA9:BA23)</f>
        <v>0</v>
      </c>
      <c r="BB24" s="41"/>
      <c r="BC24" s="41"/>
      <c r="BD24" s="41"/>
      <c r="BE24" s="41"/>
      <c r="BF24" s="41"/>
      <c r="BG24" s="41"/>
      <c r="BH24" s="41"/>
      <c r="BI24" s="41"/>
      <c r="BJ24" s="307">
        <f>SUM(BJ9:BJ23)</f>
        <v>0</v>
      </c>
      <c r="BK24" s="41"/>
    </row>
    <row r="25" spans="1:63">
      <c r="A25" s="390" t="s">
        <v>16</v>
      </c>
      <c r="B25" s="391"/>
      <c r="C25" s="391" t="s">
        <v>17</v>
      </c>
      <c r="D25" s="391"/>
      <c r="E25" s="391" t="s">
        <v>18</v>
      </c>
      <c r="F25" s="392"/>
      <c r="G25" s="41"/>
      <c r="H25" s="41"/>
      <c r="I25" s="41"/>
      <c r="J25" s="390" t="s">
        <v>16</v>
      </c>
      <c r="K25" s="391"/>
      <c r="L25" s="391" t="s">
        <v>17</v>
      </c>
      <c r="M25" s="391"/>
      <c r="N25" s="391" t="s">
        <v>18</v>
      </c>
      <c r="O25" s="392"/>
      <c r="P25" s="41"/>
      <c r="Q25" s="41"/>
      <c r="R25" s="41"/>
      <c r="S25" s="390" t="s">
        <v>16</v>
      </c>
      <c r="T25" s="391"/>
      <c r="U25" s="391" t="s">
        <v>17</v>
      </c>
      <c r="V25" s="391"/>
      <c r="W25" s="391" t="s">
        <v>18</v>
      </c>
      <c r="X25" s="392"/>
      <c r="Y25" s="41"/>
      <c r="Z25" s="41"/>
      <c r="AA25" s="41"/>
      <c r="AB25" s="390" t="s">
        <v>16</v>
      </c>
      <c r="AC25" s="391"/>
      <c r="AD25" s="391" t="s">
        <v>17</v>
      </c>
      <c r="AE25" s="391"/>
      <c r="AF25" s="391" t="s">
        <v>18</v>
      </c>
      <c r="AG25" s="392"/>
      <c r="AH25" s="41"/>
      <c r="AI25" s="41"/>
      <c r="AJ25" s="41"/>
      <c r="AK25" s="390" t="s">
        <v>16</v>
      </c>
      <c r="AL25" s="391"/>
      <c r="AM25" s="391" t="s">
        <v>17</v>
      </c>
      <c r="AN25" s="391"/>
      <c r="AO25" s="391" t="s">
        <v>18</v>
      </c>
      <c r="AP25" s="392"/>
      <c r="AQ25" s="41"/>
      <c r="AR25" s="41"/>
      <c r="AS25" s="41"/>
      <c r="AT25" s="390" t="s">
        <v>16</v>
      </c>
      <c r="AU25" s="391"/>
      <c r="AV25" s="391" t="s">
        <v>17</v>
      </c>
      <c r="AW25" s="391"/>
      <c r="AX25" s="391" t="s">
        <v>18</v>
      </c>
      <c r="AY25" s="392"/>
      <c r="AZ25" s="41"/>
      <c r="BA25" s="41"/>
      <c r="BB25" s="41"/>
      <c r="BC25" s="390" t="s">
        <v>16</v>
      </c>
      <c r="BD25" s="391"/>
      <c r="BE25" s="391" t="s">
        <v>17</v>
      </c>
      <c r="BF25" s="391"/>
      <c r="BG25" s="391" t="s">
        <v>18</v>
      </c>
      <c r="BH25" s="392"/>
      <c r="BI25" s="41"/>
      <c r="BJ25" s="41"/>
      <c r="BK25" s="41"/>
    </row>
    <row r="26" spans="1:63" ht="18.600000000000001" thickBot="1">
      <c r="A26" s="387">
        <f>BC6+1</f>
        <v>45908</v>
      </c>
      <c r="B26" s="388"/>
      <c r="C26" s="289"/>
      <c r="D26" s="289"/>
      <c r="E26" s="290" t="str">
        <f>IF(C26="","",D26-C26-H26)</f>
        <v/>
      </c>
      <c r="F26" s="291" t="str">
        <f>IF(AND(E26=""),"",SUM(E29:E43))</f>
        <v/>
      </c>
      <c r="G26" s="114" t="s">
        <v>19</v>
      </c>
      <c r="H26" s="287">
        <v>4.1666666666666699E-2</v>
      </c>
      <c r="I26" s="41"/>
      <c r="J26" s="387">
        <f>A26+1</f>
        <v>45909</v>
      </c>
      <c r="K26" s="388"/>
      <c r="L26" s="289"/>
      <c r="M26" s="289"/>
      <c r="N26" s="290" t="str">
        <f>IF(L26="","",M26-L26-Q26)</f>
        <v/>
      </c>
      <c r="O26" s="291" t="str">
        <f>IF(AND(N26=""),"",SUM(N29:N43))</f>
        <v/>
      </c>
      <c r="P26" s="114" t="s">
        <v>19</v>
      </c>
      <c r="Q26" s="287">
        <v>4.1666666666666699E-2</v>
      </c>
      <c r="R26" s="41"/>
      <c r="S26" s="387">
        <f>J26+1</f>
        <v>45910</v>
      </c>
      <c r="T26" s="388"/>
      <c r="U26" s="289"/>
      <c r="V26" s="289"/>
      <c r="W26" s="290" t="str">
        <f>IF(U26="","",V26-U26-Z26)</f>
        <v/>
      </c>
      <c r="X26" s="291" t="str">
        <f>IF(AND(W26=""),"",SUM(W29:W43))</f>
        <v/>
      </c>
      <c r="Y26" s="114" t="s">
        <v>19</v>
      </c>
      <c r="Z26" s="287">
        <v>4.1666666666666699E-2</v>
      </c>
      <c r="AA26" s="41"/>
      <c r="AB26" s="387">
        <f>S26+1</f>
        <v>45911</v>
      </c>
      <c r="AC26" s="388"/>
      <c r="AD26" s="289"/>
      <c r="AE26" s="289"/>
      <c r="AF26" s="290" t="str">
        <f>IF(AD26="","",AE26-AD26-AI26)</f>
        <v/>
      </c>
      <c r="AG26" s="291" t="str">
        <f>IF(AND(AF26=""),"",SUM(AF29:AF43))</f>
        <v/>
      </c>
      <c r="AH26" s="114" t="s">
        <v>19</v>
      </c>
      <c r="AI26" s="287">
        <v>4.1666666666666699E-2</v>
      </c>
      <c r="AJ26" s="41"/>
      <c r="AK26" s="387">
        <f>AB26+1</f>
        <v>45912</v>
      </c>
      <c r="AL26" s="388"/>
      <c r="AM26" s="289"/>
      <c r="AN26" s="289"/>
      <c r="AO26" s="290" t="str">
        <f>IF(AM26="","",AN26-AM26-AR26)</f>
        <v/>
      </c>
      <c r="AP26" s="291" t="str">
        <f>IF(AND(AO26=""),"",SUM(AO29:AO43))</f>
        <v/>
      </c>
      <c r="AQ26" s="114" t="s">
        <v>19</v>
      </c>
      <c r="AR26" s="287">
        <v>4.1666666666666699E-2</v>
      </c>
      <c r="AS26" s="41"/>
      <c r="AT26" s="387">
        <f>AK26+1</f>
        <v>45913</v>
      </c>
      <c r="AU26" s="388"/>
      <c r="AV26" s="289"/>
      <c r="AW26" s="289"/>
      <c r="AX26" s="290" t="str">
        <f>IF(AV26="","",AW26-AV26-BA26)</f>
        <v/>
      </c>
      <c r="AY26" s="291" t="str">
        <f>IF(AND(AX26=""),"",SUM(AX29:AX43))</f>
        <v/>
      </c>
      <c r="AZ26" s="114" t="s">
        <v>19</v>
      </c>
      <c r="BA26" s="287">
        <v>4.1666666666666699E-2</v>
      </c>
      <c r="BB26" s="41"/>
      <c r="BC26" s="387">
        <f>AT26+1</f>
        <v>45914</v>
      </c>
      <c r="BD26" s="388"/>
      <c r="BE26" s="289"/>
      <c r="BF26" s="289"/>
      <c r="BG26" s="290" t="str">
        <f>IF(BE26="","",BF26-BE26-BJ26)</f>
        <v/>
      </c>
      <c r="BH26" s="291" t="str">
        <f>IF(AND(BG26=""),"",SUM(BG29:BG43))</f>
        <v/>
      </c>
      <c r="BI26" s="114" t="s">
        <v>19</v>
      </c>
      <c r="BJ26" s="287">
        <v>4.1666666666666699E-2</v>
      </c>
      <c r="BK26" s="41"/>
    </row>
    <row r="27" spans="1:63" ht="18.600000000000001" thickBot="1">
      <c r="A27" s="41" t="s">
        <v>38</v>
      </c>
      <c r="B27" s="115"/>
      <c r="C27" s="115"/>
      <c r="D27" s="115"/>
      <c r="E27" s="116"/>
      <c r="F27" s="117"/>
      <c r="G27" s="117"/>
      <c r="H27" s="185"/>
      <c r="I27" s="41"/>
      <c r="J27" s="41" t="s">
        <v>38</v>
      </c>
      <c r="K27" s="115"/>
      <c r="L27" s="115"/>
      <c r="M27" s="115"/>
      <c r="N27" s="116"/>
      <c r="O27" s="117"/>
      <c r="P27" s="117"/>
      <c r="Q27" s="185"/>
      <c r="R27" s="41"/>
      <c r="S27" s="41" t="s">
        <v>38</v>
      </c>
      <c r="T27" s="115"/>
      <c r="U27" s="115"/>
      <c r="V27" s="115"/>
      <c r="W27" s="116"/>
      <c r="X27" s="117"/>
      <c r="Y27" s="117"/>
      <c r="Z27" s="185"/>
      <c r="AA27" s="41"/>
      <c r="AB27" s="41" t="s">
        <v>38</v>
      </c>
      <c r="AC27" s="115"/>
      <c r="AD27" s="115"/>
      <c r="AE27" s="115"/>
      <c r="AF27" s="116"/>
      <c r="AG27" s="117"/>
      <c r="AH27" s="117"/>
      <c r="AI27" s="185"/>
      <c r="AJ27" s="41"/>
      <c r="AK27" s="41" t="s">
        <v>38</v>
      </c>
      <c r="AL27" s="115"/>
      <c r="AM27" s="115"/>
      <c r="AN27" s="115"/>
      <c r="AO27" s="116"/>
      <c r="AP27" s="117"/>
      <c r="AQ27" s="117"/>
      <c r="AR27" s="185"/>
      <c r="AS27" s="41"/>
      <c r="AT27" s="41" t="s">
        <v>38</v>
      </c>
      <c r="AU27" s="115"/>
      <c r="AV27" s="115"/>
      <c r="AW27" s="115"/>
      <c r="AX27" s="116"/>
      <c r="AY27" s="117"/>
      <c r="AZ27" s="117"/>
      <c r="BA27" s="185"/>
      <c r="BB27" s="41"/>
      <c r="BC27" s="41" t="s">
        <v>38</v>
      </c>
      <c r="BD27" s="115"/>
      <c r="BE27" s="115"/>
      <c r="BF27" s="115"/>
      <c r="BG27" s="116"/>
      <c r="BH27" s="117"/>
      <c r="BI27" s="117"/>
      <c r="BJ27" s="185"/>
      <c r="BK27" s="41"/>
    </row>
    <row r="28" spans="1:63">
      <c r="A28" s="308" t="s">
        <v>20</v>
      </c>
      <c r="B28" s="389" t="s">
        <v>21</v>
      </c>
      <c r="C28" s="389"/>
      <c r="D28" s="389"/>
      <c r="E28" s="309" t="s">
        <v>22</v>
      </c>
      <c r="F28" s="309" t="s">
        <v>0</v>
      </c>
      <c r="G28" s="309" t="s">
        <v>39</v>
      </c>
      <c r="H28" s="310" t="s">
        <v>23</v>
      </c>
      <c r="I28" s="311" t="s">
        <v>24</v>
      </c>
      <c r="J28" s="308" t="s">
        <v>20</v>
      </c>
      <c r="K28" s="389" t="s">
        <v>21</v>
      </c>
      <c r="L28" s="389"/>
      <c r="M28" s="389"/>
      <c r="N28" s="309" t="s">
        <v>22</v>
      </c>
      <c r="O28" s="309" t="s">
        <v>0</v>
      </c>
      <c r="P28" s="309" t="s">
        <v>39</v>
      </c>
      <c r="Q28" s="310" t="s">
        <v>23</v>
      </c>
      <c r="R28" s="311" t="s">
        <v>24</v>
      </c>
      <c r="S28" s="308" t="s">
        <v>20</v>
      </c>
      <c r="T28" s="389" t="s">
        <v>21</v>
      </c>
      <c r="U28" s="389"/>
      <c r="V28" s="389"/>
      <c r="W28" s="309" t="s">
        <v>22</v>
      </c>
      <c r="X28" s="309" t="s">
        <v>0</v>
      </c>
      <c r="Y28" s="309" t="s">
        <v>39</v>
      </c>
      <c r="Z28" s="310" t="s">
        <v>23</v>
      </c>
      <c r="AA28" s="311" t="s">
        <v>24</v>
      </c>
      <c r="AB28" s="308" t="s">
        <v>20</v>
      </c>
      <c r="AC28" s="389" t="s">
        <v>21</v>
      </c>
      <c r="AD28" s="389"/>
      <c r="AE28" s="389"/>
      <c r="AF28" s="309" t="s">
        <v>22</v>
      </c>
      <c r="AG28" s="309" t="s">
        <v>0</v>
      </c>
      <c r="AH28" s="309" t="s">
        <v>39</v>
      </c>
      <c r="AI28" s="310" t="s">
        <v>23</v>
      </c>
      <c r="AJ28" s="311" t="s">
        <v>24</v>
      </c>
      <c r="AK28" s="308" t="s">
        <v>20</v>
      </c>
      <c r="AL28" s="389" t="s">
        <v>21</v>
      </c>
      <c r="AM28" s="389"/>
      <c r="AN28" s="389"/>
      <c r="AO28" s="309" t="s">
        <v>22</v>
      </c>
      <c r="AP28" s="309" t="s">
        <v>0</v>
      </c>
      <c r="AQ28" s="309" t="s">
        <v>39</v>
      </c>
      <c r="AR28" s="310" t="s">
        <v>23</v>
      </c>
      <c r="AS28" s="311" t="s">
        <v>24</v>
      </c>
      <c r="AT28" s="308" t="s">
        <v>20</v>
      </c>
      <c r="AU28" s="389" t="s">
        <v>21</v>
      </c>
      <c r="AV28" s="389"/>
      <c r="AW28" s="389"/>
      <c r="AX28" s="309" t="s">
        <v>22</v>
      </c>
      <c r="AY28" s="309" t="s">
        <v>0</v>
      </c>
      <c r="AZ28" s="309" t="s">
        <v>39</v>
      </c>
      <c r="BA28" s="310" t="s">
        <v>23</v>
      </c>
      <c r="BB28" s="311" t="s">
        <v>24</v>
      </c>
      <c r="BC28" s="308" t="s">
        <v>20</v>
      </c>
      <c r="BD28" s="389" t="s">
        <v>21</v>
      </c>
      <c r="BE28" s="389"/>
      <c r="BF28" s="389"/>
      <c r="BG28" s="309" t="s">
        <v>22</v>
      </c>
      <c r="BH28" s="309" t="s">
        <v>0</v>
      </c>
      <c r="BI28" s="309" t="s">
        <v>39</v>
      </c>
      <c r="BJ28" s="310" t="s">
        <v>23</v>
      </c>
      <c r="BK28" s="311" t="s">
        <v>24</v>
      </c>
    </row>
    <row r="29" spans="1:63">
      <c r="A29" s="312"/>
      <c r="B29" s="385" t="str">
        <f>IF(A29="","",VLOOKUP(A29,案件コード!$A$1:$B$31,2,FALSE()))</f>
        <v/>
      </c>
      <c r="C29" s="385"/>
      <c r="D29" s="385"/>
      <c r="E29" s="113" t="str">
        <f t="shared" ref="E29:E43" si="7">IF(AND(F29="",G29=""),"",SUM(F29:G29))</f>
        <v/>
      </c>
      <c r="F29" s="285"/>
      <c r="G29" s="284"/>
      <c r="H29" s="286"/>
      <c r="I29" s="321"/>
      <c r="J29" s="312"/>
      <c r="K29" s="385" t="str">
        <f>IF(J29="","",VLOOKUP(J29,案件コード!$A$1:$B$31,2,FALSE()))</f>
        <v/>
      </c>
      <c r="L29" s="385"/>
      <c r="M29" s="385"/>
      <c r="N29" s="113" t="str">
        <f t="shared" ref="N29:N43" si="8">IF(AND(O29="",P29=""),"",SUM(O29:P29))</f>
        <v/>
      </c>
      <c r="O29" s="285"/>
      <c r="P29" s="284"/>
      <c r="Q29" s="286"/>
      <c r="R29" s="321"/>
      <c r="S29" s="312"/>
      <c r="T29" s="385" t="str">
        <f>IF(S29="","",VLOOKUP(S29,案件コード!$A$1:$B$31,2,FALSE()))</f>
        <v/>
      </c>
      <c r="U29" s="385"/>
      <c r="V29" s="385"/>
      <c r="W29" s="113" t="str">
        <f t="shared" ref="W29:W43" si="9">IF(AND(X29="",Y29=""),"",SUM(X29:Y29))</f>
        <v/>
      </c>
      <c r="X29" s="285"/>
      <c r="Y29" s="284"/>
      <c r="Z29" s="286"/>
      <c r="AA29" s="321"/>
      <c r="AB29" s="312"/>
      <c r="AC29" s="385" t="str">
        <f>IF(AB29="","",VLOOKUP(AB29,案件コード!$A$1:$B$31,2,FALSE()))</f>
        <v/>
      </c>
      <c r="AD29" s="385"/>
      <c r="AE29" s="385"/>
      <c r="AF29" s="113" t="str">
        <f t="shared" ref="AF29:AF43" si="10">IF(AND(AG29="",AH29=""),"",SUM(AG29:AH29))</f>
        <v/>
      </c>
      <c r="AG29" s="285"/>
      <c r="AH29" s="284"/>
      <c r="AI29" s="286"/>
      <c r="AJ29" s="321"/>
      <c r="AK29" s="312"/>
      <c r="AL29" s="385" t="str">
        <f>IF(AK29="","",VLOOKUP(AK29,案件コード!$A$1:$B$31,2,FALSE()))</f>
        <v/>
      </c>
      <c r="AM29" s="385"/>
      <c r="AN29" s="385"/>
      <c r="AO29" s="113" t="str">
        <f t="shared" ref="AO29:AO43" si="11">IF(AND(AP29="",AQ29=""),"",SUM(AP29:AQ29))</f>
        <v/>
      </c>
      <c r="AP29" s="285"/>
      <c r="AQ29" s="284"/>
      <c r="AR29" s="286"/>
      <c r="AS29" s="321"/>
      <c r="AT29" s="312"/>
      <c r="AU29" s="385" t="str">
        <f>IF(AT29="","",VLOOKUP(AT29,案件コード!$A$1:$B$31,2,FALSE()))</f>
        <v/>
      </c>
      <c r="AV29" s="385"/>
      <c r="AW29" s="385"/>
      <c r="AX29" s="113" t="str">
        <f t="shared" ref="AX29:AX43" si="12">IF(AND(AY29="",AZ29=""),"",SUM(AY29:AZ29))</f>
        <v/>
      </c>
      <c r="AY29" s="285"/>
      <c r="AZ29" s="284"/>
      <c r="BA29" s="286"/>
      <c r="BB29" s="321"/>
      <c r="BC29" s="312"/>
      <c r="BD29" s="385" t="str">
        <f>IF(BC29="","",VLOOKUP(BC29,案件コード!$A$1:$B$31,2,FALSE()))</f>
        <v/>
      </c>
      <c r="BE29" s="385"/>
      <c r="BF29" s="385"/>
      <c r="BG29" s="113" t="str">
        <f t="shared" ref="BG29:BG43" si="13">IF(AND(BH29="",BI29=""),"",SUM(BH29:BI29))</f>
        <v/>
      </c>
      <c r="BH29" s="285"/>
      <c r="BI29" s="284"/>
      <c r="BJ29" s="286"/>
      <c r="BK29" s="321"/>
    </row>
    <row r="30" spans="1:63">
      <c r="A30" s="312"/>
      <c r="B30" s="385" t="str">
        <f>IF(A30="","",VLOOKUP(A30,案件コード!$A$1:$B$31,2,FALSE()))</f>
        <v/>
      </c>
      <c r="C30" s="385"/>
      <c r="D30" s="385"/>
      <c r="E30" s="113" t="str">
        <f t="shared" si="7"/>
        <v/>
      </c>
      <c r="F30" s="285"/>
      <c r="G30" s="284"/>
      <c r="H30" s="286"/>
      <c r="I30" s="322"/>
      <c r="J30" s="312"/>
      <c r="K30" s="385" t="str">
        <f>IF(J30="","",VLOOKUP(J30,案件コード!$A$1:$B$31,2,FALSE()))</f>
        <v/>
      </c>
      <c r="L30" s="385"/>
      <c r="M30" s="385"/>
      <c r="N30" s="113" t="str">
        <f t="shared" si="8"/>
        <v/>
      </c>
      <c r="O30" s="285"/>
      <c r="P30" s="284"/>
      <c r="Q30" s="286"/>
      <c r="R30" s="322"/>
      <c r="S30" s="312"/>
      <c r="T30" s="385" t="str">
        <f>IF(S30="","",VLOOKUP(S30,案件コード!$A$1:$B$31,2,FALSE()))</f>
        <v/>
      </c>
      <c r="U30" s="385"/>
      <c r="V30" s="385"/>
      <c r="W30" s="113" t="str">
        <f t="shared" si="9"/>
        <v/>
      </c>
      <c r="X30" s="285"/>
      <c r="Y30" s="284"/>
      <c r="Z30" s="286"/>
      <c r="AA30" s="322"/>
      <c r="AB30" s="312"/>
      <c r="AC30" s="385" t="str">
        <f>IF(AB30="","",VLOOKUP(AB30,案件コード!$A$1:$B$31,2,FALSE()))</f>
        <v/>
      </c>
      <c r="AD30" s="385"/>
      <c r="AE30" s="385"/>
      <c r="AF30" s="113" t="str">
        <f t="shared" si="10"/>
        <v/>
      </c>
      <c r="AG30" s="285"/>
      <c r="AH30" s="284"/>
      <c r="AI30" s="286"/>
      <c r="AJ30" s="322"/>
      <c r="AK30" s="312"/>
      <c r="AL30" s="385" t="str">
        <f>IF(AK30="","",VLOOKUP(AK30,案件コード!$A$1:$B$31,2,FALSE()))</f>
        <v/>
      </c>
      <c r="AM30" s="385"/>
      <c r="AN30" s="385"/>
      <c r="AO30" s="113" t="str">
        <f t="shared" si="11"/>
        <v/>
      </c>
      <c r="AP30" s="285"/>
      <c r="AQ30" s="284"/>
      <c r="AR30" s="286"/>
      <c r="AS30" s="322"/>
      <c r="AT30" s="312"/>
      <c r="AU30" s="385" t="str">
        <f>IF(AT30="","",VLOOKUP(AT30,案件コード!$A$1:$B$31,2,FALSE()))</f>
        <v/>
      </c>
      <c r="AV30" s="385"/>
      <c r="AW30" s="385"/>
      <c r="AX30" s="113" t="str">
        <f t="shared" si="12"/>
        <v/>
      </c>
      <c r="AY30" s="285"/>
      <c r="AZ30" s="284"/>
      <c r="BA30" s="286"/>
      <c r="BB30" s="322"/>
      <c r="BC30" s="312"/>
      <c r="BD30" s="385" t="str">
        <f>IF(BC30="","",VLOOKUP(BC30,案件コード!$A$1:$B$31,2,FALSE()))</f>
        <v/>
      </c>
      <c r="BE30" s="385"/>
      <c r="BF30" s="385"/>
      <c r="BG30" s="113" t="str">
        <f t="shared" si="13"/>
        <v/>
      </c>
      <c r="BH30" s="285"/>
      <c r="BI30" s="284"/>
      <c r="BJ30" s="286"/>
      <c r="BK30" s="322"/>
    </row>
    <row r="31" spans="1:63">
      <c r="A31" s="312"/>
      <c r="B31" s="385" t="str">
        <f>IF(A31="","",VLOOKUP(A31,案件コード!$A$1:$B$31,2,FALSE()))</f>
        <v/>
      </c>
      <c r="C31" s="385"/>
      <c r="D31" s="385"/>
      <c r="E31" s="113" t="str">
        <f t="shared" si="7"/>
        <v/>
      </c>
      <c r="F31" s="285"/>
      <c r="G31" s="284"/>
      <c r="H31" s="286"/>
      <c r="I31" s="322"/>
      <c r="J31" s="312"/>
      <c r="K31" s="385" t="str">
        <f>IF(J31="","",VLOOKUP(J31,案件コード!$A$1:$B$31,2,FALSE()))</f>
        <v/>
      </c>
      <c r="L31" s="385"/>
      <c r="M31" s="385"/>
      <c r="N31" s="113" t="str">
        <f t="shared" si="8"/>
        <v/>
      </c>
      <c r="O31" s="285"/>
      <c r="P31" s="284"/>
      <c r="Q31" s="286"/>
      <c r="R31" s="322"/>
      <c r="S31" s="312"/>
      <c r="T31" s="385" t="str">
        <f>IF(S31="","",VLOOKUP(S31,案件コード!$A$1:$B$31,2,FALSE()))</f>
        <v/>
      </c>
      <c r="U31" s="385"/>
      <c r="V31" s="385"/>
      <c r="W31" s="113" t="str">
        <f t="shared" si="9"/>
        <v/>
      </c>
      <c r="X31" s="285"/>
      <c r="Y31" s="284"/>
      <c r="Z31" s="286"/>
      <c r="AA31" s="322"/>
      <c r="AB31" s="312"/>
      <c r="AC31" s="385" t="str">
        <f>IF(AB31="","",VLOOKUP(AB31,案件コード!$A$1:$B$31,2,FALSE()))</f>
        <v/>
      </c>
      <c r="AD31" s="385"/>
      <c r="AE31" s="385"/>
      <c r="AF31" s="113" t="str">
        <f t="shared" si="10"/>
        <v/>
      </c>
      <c r="AG31" s="285"/>
      <c r="AH31" s="284"/>
      <c r="AI31" s="286"/>
      <c r="AJ31" s="322"/>
      <c r="AK31" s="312"/>
      <c r="AL31" s="385" t="str">
        <f>IF(AK31="","",VLOOKUP(AK31,案件コード!$A$1:$B$31,2,FALSE()))</f>
        <v/>
      </c>
      <c r="AM31" s="385"/>
      <c r="AN31" s="385"/>
      <c r="AO31" s="113" t="str">
        <f t="shared" si="11"/>
        <v/>
      </c>
      <c r="AP31" s="285"/>
      <c r="AQ31" s="284"/>
      <c r="AR31" s="286"/>
      <c r="AS31" s="322"/>
      <c r="AT31" s="312"/>
      <c r="AU31" s="385" t="str">
        <f>IF(AT31="","",VLOOKUP(AT31,案件コード!$A$1:$B$31,2,FALSE()))</f>
        <v/>
      </c>
      <c r="AV31" s="385"/>
      <c r="AW31" s="385"/>
      <c r="AX31" s="113" t="str">
        <f t="shared" si="12"/>
        <v/>
      </c>
      <c r="AY31" s="285"/>
      <c r="AZ31" s="284"/>
      <c r="BA31" s="286"/>
      <c r="BB31" s="322"/>
      <c r="BC31" s="312"/>
      <c r="BD31" s="385" t="str">
        <f>IF(BC31="","",VLOOKUP(BC31,案件コード!$A$1:$B$31,2,FALSE()))</f>
        <v/>
      </c>
      <c r="BE31" s="385"/>
      <c r="BF31" s="385"/>
      <c r="BG31" s="113" t="str">
        <f t="shared" si="13"/>
        <v/>
      </c>
      <c r="BH31" s="285"/>
      <c r="BI31" s="284"/>
      <c r="BJ31" s="286"/>
      <c r="BK31" s="322"/>
    </row>
    <row r="32" spans="1:63">
      <c r="A32" s="312"/>
      <c r="B32" s="385" t="str">
        <f>IF(A32="","",VLOOKUP(A32,案件コード!$A$1:$B$31,2,FALSE()))</f>
        <v/>
      </c>
      <c r="C32" s="385"/>
      <c r="D32" s="385"/>
      <c r="E32" s="113" t="str">
        <f t="shared" si="7"/>
        <v/>
      </c>
      <c r="F32" s="285"/>
      <c r="G32" s="284"/>
      <c r="H32" s="286"/>
      <c r="I32" s="322"/>
      <c r="J32" s="312"/>
      <c r="K32" s="385" t="str">
        <f>IF(J32="","",VLOOKUP(J32,案件コード!$A$1:$B$31,2,FALSE()))</f>
        <v/>
      </c>
      <c r="L32" s="385"/>
      <c r="M32" s="385"/>
      <c r="N32" s="113" t="str">
        <f t="shared" si="8"/>
        <v/>
      </c>
      <c r="O32" s="285"/>
      <c r="P32" s="284"/>
      <c r="Q32" s="286"/>
      <c r="R32" s="322"/>
      <c r="S32" s="312"/>
      <c r="T32" s="385" t="str">
        <f>IF(S32="","",VLOOKUP(S32,案件コード!$A$1:$B$31,2,FALSE()))</f>
        <v/>
      </c>
      <c r="U32" s="385"/>
      <c r="V32" s="385"/>
      <c r="W32" s="113" t="str">
        <f t="shared" si="9"/>
        <v/>
      </c>
      <c r="X32" s="285"/>
      <c r="Y32" s="284"/>
      <c r="Z32" s="286"/>
      <c r="AA32" s="322"/>
      <c r="AB32" s="312"/>
      <c r="AC32" s="385" t="str">
        <f>IF(AB32="","",VLOOKUP(AB32,案件コード!$A$1:$B$31,2,FALSE()))</f>
        <v/>
      </c>
      <c r="AD32" s="385"/>
      <c r="AE32" s="385"/>
      <c r="AF32" s="113" t="str">
        <f t="shared" si="10"/>
        <v/>
      </c>
      <c r="AG32" s="285"/>
      <c r="AH32" s="284"/>
      <c r="AI32" s="286"/>
      <c r="AJ32" s="322"/>
      <c r="AK32" s="312"/>
      <c r="AL32" s="385" t="str">
        <f>IF(AK32="","",VLOOKUP(AK32,案件コード!$A$1:$B$31,2,FALSE()))</f>
        <v/>
      </c>
      <c r="AM32" s="385"/>
      <c r="AN32" s="385"/>
      <c r="AO32" s="113" t="str">
        <f t="shared" si="11"/>
        <v/>
      </c>
      <c r="AP32" s="285"/>
      <c r="AQ32" s="284"/>
      <c r="AR32" s="286"/>
      <c r="AS32" s="322"/>
      <c r="AT32" s="312"/>
      <c r="AU32" s="385" t="str">
        <f>IF(AT32="","",VLOOKUP(AT32,案件コード!$A$1:$B$31,2,FALSE()))</f>
        <v/>
      </c>
      <c r="AV32" s="385"/>
      <c r="AW32" s="385"/>
      <c r="AX32" s="113" t="str">
        <f t="shared" si="12"/>
        <v/>
      </c>
      <c r="AY32" s="285"/>
      <c r="AZ32" s="284"/>
      <c r="BA32" s="286"/>
      <c r="BB32" s="322"/>
      <c r="BC32" s="312"/>
      <c r="BD32" s="385" t="str">
        <f>IF(BC32="","",VLOOKUP(BC32,案件コード!$A$1:$B$31,2,FALSE()))</f>
        <v/>
      </c>
      <c r="BE32" s="385"/>
      <c r="BF32" s="385"/>
      <c r="BG32" s="113" t="str">
        <f t="shared" si="13"/>
        <v/>
      </c>
      <c r="BH32" s="285"/>
      <c r="BI32" s="284"/>
      <c r="BJ32" s="286"/>
      <c r="BK32" s="322"/>
    </row>
    <row r="33" spans="1:63">
      <c r="A33" s="312"/>
      <c r="B33" s="385" t="str">
        <f>IF(A33="","",VLOOKUP(A33,案件コード!$A$1:$B$31,2,FALSE()))</f>
        <v/>
      </c>
      <c r="C33" s="385"/>
      <c r="D33" s="385"/>
      <c r="E33" s="113" t="str">
        <f t="shared" si="7"/>
        <v/>
      </c>
      <c r="F33" s="285"/>
      <c r="G33" s="284"/>
      <c r="H33" s="286"/>
      <c r="I33" s="322"/>
      <c r="J33" s="312"/>
      <c r="K33" s="385" t="str">
        <f>IF(J33="","",VLOOKUP(J33,案件コード!$A$1:$B$31,2,FALSE()))</f>
        <v/>
      </c>
      <c r="L33" s="385"/>
      <c r="M33" s="385"/>
      <c r="N33" s="113" t="str">
        <f t="shared" si="8"/>
        <v/>
      </c>
      <c r="O33" s="285"/>
      <c r="P33" s="284"/>
      <c r="Q33" s="286"/>
      <c r="R33" s="322"/>
      <c r="S33" s="312"/>
      <c r="T33" s="385" t="str">
        <f>IF(S33="","",VLOOKUP(S33,案件コード!$A$1:$B$31,2,FALSE()))</f>
        <v/>
      </c>
      <c r="U33" s="385"/>
      <c r="V33" s="385"/>
      <c r="W33" s="113" t="str">
        <f t="shared" si="9"/>
        <v/>
      </c>
      <c r="X33" s="285"/>
      <c r="Y33" s="284"/>
      <c r="Z33" s="286"/>
      <c r="AA33" s="322"/>
      <c r="AB33" s="312"/>
      <c r="AC33" s="385" t="str">
        <f>IF(AB33="","",VLOOKUP(AB33,案件コード!$A$1:$B$31,2,FALSE()))</f>
        <v/>
      </c>
      <c r="AD33" s="385"/>
      <c r="AE33" s="385"/>
      <c r="AF33" s="113" t="str">
        <f t="shared" si="10"/>
        <v/>
      </c>
      <c r="AG33" s="285"/>
      <c r="AH33" s="284"/>
      <c r="AI33" s="286"/>
      <c r="AJ33" s="322"/>
      <c r="AK33" s="312"/>
      <c r="AL33" s="385" t="str">
        <f>IF(AK33="","",VLOOKUP(AK33,案件コード!$A$1:$B$31,2,FALSE()))</f>
        <v/>
      </c>
      <c r="AM33" s="385"/>
      <c r="AN33" s="385"/>
      <c r="AO33" s="113" t="str">
        <f t="shared" si="11"/>
        <v/>
      </c>
      <c r="AP33" s="285"/>
      <c r="AQ33" s="284"/>
      <c r="AR33" s="286"/>
      <c r="AS33" s="322"/>
      <c r="AT33" s="312"/>
      <c r="AU33" s="385" t="str">
        <f>IF(AT33="","",VLOOKUP(AT33,案件コード!$A$1:$B$31,2,FALSE()))</f>
        <v/>
      </c>
      <c r="AV33" s="385"/>
      <c r="AW33" s="385"/>
      <c r="AX33" s="113" t="str">
        <f t="shared" si="12"/>
        <v/>
      </c>
      <c r="AY33" s="285"/>
      <c r="AZ33" s="284"/>
      <c r="BA33" s="286"/>
      <c r="BB33" s="322"/>
      <c r="BC33" s="312"/>
      <c r="BD33" s="385" t="str">
        <f>IF(BC33="","",VLOOKUP(BC33,案件コード!$A$1:$B$31,2,FALSE()))</f>
        <v/>
      </c>
      <c r="BE33" s="385"/>
      <c r="BF33" s="385"/>
      <c r="BG33" s="113" t="str">
        <f t="shared" si="13"/>
        <v/>
      </c>
      <c r="BH33" s="285"/>
      <c r="BI33" s="284"/>
      <c r="BJ33" s="286"/>
      <c r="BK33" s="322"/>
    </row>
    <row r="34" spans="1:63">
      <c r="A34" s="312"/>
      <c r="B34" s="385" t="str">
        <f>IF(A34="","",VLOOKUP(A34,案件コード!$A$1:$B$31,2,FALSE()))</f>
        <v/>
      </c>
      <c r="C34" s="385"/>
      <c r="D34" s="385"/>
      <c r="E34" s="113" t="str">
        <f t="shared" si="7"/>
        <v/>
      </c>
      <c r="F34" s="285"/>
      <c r="G34" s="284"/>
      <c r="H34" s="286"/>
      <c r="I34" s="322"/>
      <c r="J34" s="312"/>
      <c r="K34" s="385" t="str">
        <f>IF(J34="","",VLOOKUP(J34,案件コード!$A$1:$B$31,2,FALSE()))</f>
        <v/>
      </c>
      <c r="L34" s="385"/>
      <c r="M34" s="385"/>
      <c r="N34" s="113" t="str">
        <f t="shared" si="8"/>
        <v/>
      </c>
      <c r="O34" s="285"/>
      <c r="P34" s="284"/>
      <c r="Q34" s="286"/>
      <c r="R34" s="322"/>
      <c r="S34" s="312"/>
      <c r="T34" s="385" t="str">
        <f>IF(S34="","",VLOOKUP(S34,案件コード!$A$1:$B$31,2,FALSE()))</f>
        <v/>
      </c>
      <c r="U34" s="385"/>
      <c r="V34" s="385"/>
      <c r="W34" s="113" t="str">
        <f t="shared" si="9"/>
        <v/>
      </c>
      <c r="X34" s="285"/>
      <c r="Y34" s="284"/>
      <c r="Z34" s="286"/>
      <c r="AA34" s="322"/>
      <c r="AB34" s="312"/>
      <c r="AC34" s="385" t="str">
        <f>IF(AB34="","",VLOOKUP(AB34,案件コード!$A$1:$B$31,2,FALSE()))</f>
        <v/>
      </c>
      <c r="AD34" s="385"/>
      <c r="AE34" s="385"/>
      <c r="AF34" s="113" t="str">
        <f t="shared" si="10"/>
        <v/>
      </c>
      <c r="AG34" s="285"/>
      <c r="AH34" s="284"/>
      <c r="AI34" s="286"/>
      <c r="AJ34" s="322"/>
      <c r="AK34" s="312"/>
      <c r="AL34" s="385" t="str">
        <f>IF(AK34="","",VLOOKUP(AK34,案件コード!$A$1:$B$31,2,FALSE()))</f>
        <v/>
      </c>
      <c r="AM34" s="385"/>
      <c r="AN34" s="385"/>
      <c r="AO34" s="113" t="str">
        <f t="shared" si="11"/>
        <v/>
      </c>
      <c r="AP34" s="285"/>
      <c r="AQ34" s="284"/>
      <c r="AR34" s="286"/>
      <c r="AS34" s="322"/>
      <c r="AT34" s="312"/>
      <c r="AU34" s="385" t="str">
        <f>IF(AT34="","",VLOOKUP(AT34,案件コード!$A$1:$B$31,2,FALSE()))</f>
        <v/>
      </c>
      <c r="AV34" s="385"/>
      <c r="AW34" s="385"/>
      <c r="AX34" s="113" t="str">
        <f t="shared" si="12"/>
        <v/>
      </c>
      <c r="AY34" s="285"/>
      <c r="AZ34" s="284"/>
      <c r="BA34" s="286"/>
      <c r="BB34" s="322"/>
      <c r="BC34" s="312"/>
      <c r="BD34" s="385" t="str">
        <f>IF(BC34="","",VLOOKUP(BC34,案件コード!$A$1:$B$31,2,FALSE()))</f>
        <v/>
      </c>
      <c r="BE34" s="385"/>
      <c r="BF34" s="385"/>
      <c r="BG34" s="113" t="str">
        <f t="shared" si="13"/>
        <v/>
      </c>
      <c r="BH34" s="285"/>
      <c r="BI34" s="284"/>
      <c r="BJ34" s="286"/>
      <c r="BK34" s="322"/>
    </row>
    <row r="35" spans="1:63">
      <c r="A35" s="312"/>
      <c r="B35" s="385" t="str">
        <f>IF(A35="","",VLOOKUP(A35,案件コード!$A$1:$B$31,2,FALSE()))</f>
        <v/>
      </c>
      <c r="C35" s="385"/>
      <c r="D35" s="385"/>
      <c r="E35" s="113" t="str">
        <f t="shared" si="7"/>
        <v/>
      </c>
      <c r="F35" s="285"/>
      <c r="G35" s="284"/>
      <c r="H35" s="286"/>
      <c r="I35" s="322"/>
      <c r="J35" s="312"/>
      <c r="K35" s="385" t="str">
        <f>IF(J35="","",VLOOKUP(J35,案件コード!$A$1:$B$31,2,FALSE()))</f>
        <v/>
      </c>
      <c r="L35" s="385"/>
      <c r="M35" s="385"/>
      <c r="N35" s="113" t="str">
        <f t="shared" si="8"/>
        <v/>
      </c>
      <c r="O35" s="285"/>
      <c r="P35" s="284"/>
      <c r="Q35" s="286"/>
      <c r="R35" s="322"/>
      <c r="S35" s="312"/>
      <c r="T35" s="385" t="str">
        <f>IF(S35="","",VLOOKUP(S35,案件コード!$A$1:$B$31,2,FALSE()))</f>
        <v/>
      </c>
      <c r="U35" s="385"/>
      <c r="V35" s="385"/>
      <c r="W35" s="113" t="str">
        <f t="shared" si="9"/>
        <v/>
      </c>
      <c r="X35" s="285"/>
      <c r="Y35" s="284"/>
      <c r="Z35" s="286"/>
      <c r="AA35" s="322"/>
      <c r="AB35" s="312"/>
      <c r="AC35" s="385" t="str">
        <f>IF(AB35="","",VLOOKUP(AB35,案件コード!$A$1:$B$31,2,FALSE()))</f>
        <v/>
      </c>
      <c r="AD35" s="385"/>
      <c r="AE35" s="385"/>
      <c r="AF35" s="113" t="str">
        <f t="shared" si="10"/>
        <v/>
      </c>
      <c r="AG35" s="285"/>
      <c r="AH35" s="284"/>
      <c r="AI35" s="286"/>
      <c r="AJ35" s="322"/>
      <c r="AK35" s="312"/>
      <c r="AL35" s="385" t="str">
        <f>IF(AK35="","",VLOOKUP(AK35,案件コード!$A$1:$B$31,2,FALSE()))</f>
        <v/>
      </c>
      <c r="AM35" s="385"/>
      <c r="AN35" s="385"/>
      <c r="AO35" s="113" t="str">
        <f t="shared" si="11"/>
        <v/>
      </c>
      <c r="AP35" s="285"/>
      <c r="AQ35" s="284"/>
      <c r="AR35" s="286"/>
      <c r="AS35" s="322"/>
      <c r="AT35" s="312"/>
      <c r="AU35" s="385" t="str">
        <f>IF(AT35="","",VLOOKUP(AT35,案件コード!$A$1:$B$31,2,FALSE()))</f>
        <v/>
      </c>
      <c r="AV35" s="385"/>
      <c r="AW35" s="385"/>
      <c r="AX35" s="113" t="str">
        <f t="shared" si="12"/>
        <v/>
      </c>
      <c r="AY35" s="285"/>
      <c r="AZ35" s="284"/>
      <c r="BA35" s="286"/>
      <c r="BB35" s="322"/>
      <c r="BC35" s="312"/>
      <c r="BD35" s="385" t="str">
        <f>IF(BC35="","",VLOOKUP(BC35,案件コード!$A$1:$B$31,2,FALSE()))</f>
        <v/>
      </c>
      <c r="BE35" s="385"/>
      <c r="BF35" s="385"/>
      <c r="BG35" s="113" t="str">
        <f t="shared" si="13"/>
        <v/>
      </c>
      <c r="BH35" s="285"/>
      <c r="BI35" s="284"/>
      <c r="BJ35" s="286"/>
      <c r="BK35" s="322"/>
    </row>
    <row r="36" spans="1:63">
      <c r="A36" s="312"/>
      <c r="B36" s="385" t="str">
        <f>IF(A36="","",VLOOKUP(A36,案件コード!$A$1:$B$31,2,FALSE()))</f>
        <v/>
      </c>
      <c r="C36" s="385"/>
      <c r="D36" s="385"/>
      <c r="E36" s="113" t="str">
        <f t="shared" si="7"/>
        <v/>
      </c>
      <c r="F36" s="285"/>
      <c r="G36" s="284"/>
      <c r="H36" s="286"/>
      <c r="I36" s="322"/>
      <c r="J36" s="312"/>
      <c r="K36" s="385" t="str">
        <f>IF(J36="","",VLOOKUP(J36,案件コード!$A$1:$B$31,2,FALSE()))</f>
        <v/>
      </c>
      <c r="L36" s="385"/>
      <c r="M36" s="385"/>
      <c r="N36" s="113" t="str">
        <f t="shared" si="8"/>
        <v/>
      </c>
      <c r="O36" s="285"/>
      <c r="P36" s="284"/>
      <c r="Q36" s="286"/>
      <c r="R36" s="322"/>
      <c r="S36" s="312"/>
      <c r="T36" s="385" t="str">
        <f>IF(S36="","",VLOOKUP(S36,案件コード!$A$1:$B$31,2,FALSE()))</f>
        <v/>
      </c>
      <c r="U36" s="385"/>
      <c r="V36" s="385"/>
      <c r="W36" s="113" t="str">
        <f t="shared" si="9"/>
        <v/>
      </c>
      <c r="X36" s="285"/>
      <c r="Y36" s="284"/>
      <c r="Z36" s="286"/>
      <c r="AA36" s="322"/>
      <c r="AB36" s="312"/>
      <c r="AC36" s="385" t="str">
        <f>IF(AB36="","",VLOOKUP(AB36,案件コード!$A$1:$B$31,2,FALSE()))</f>
        <v/>
      </c>
      <c r="AD36" s="385"/>
      <c r="AE36" s="385"/>
      <c r="AF36" s="113" t="str">
        <f t="shared" si="10"/>
        <v/>
      </c>
      <c r="AG36" s="285"/>
      <c r="AH36" s="284"/>
      <c r="AI36" s="286"/>
      <c r="AJ36" s="322"/>
      <c r="AK36" s="312"/>
      <c r="AL36" s="385" t="str">
        <f>IF(AK36="","",VLOOKUP(AK36,案件コード!$A$1:$B$31,2,FALSE()))</f>
        <v/>
      </c>
      <c r="AM36" s="385"/>
      <c r="AN36" s="385"/>
      <c r="AO36" s="113" t="str">
        <f t="shared" si="11"/>
        <v/>
      </c>
      <c r="AP36" s="285"/>
      <c r="AQ36" s="284"/>
      <c r="AR36" s="286"/>
      <c r="AS36" s="322"/>
      <c r="AT36" s="312"/>
      <c r="AU36" s="385" t="str">
        <f>IF(AT36="","",VLOOKUP(AT36,案件コード!$A$1:$B$31,2,FALSE()))</f>
        <v/>
      </c>
      <c r="AV36" s="385"/>
      <c r="AW36" s="385"/>
      <c r="AX36" s="113" t="str">
        <f t="shared" si="12"/>
        <v/>
      </c>
      <c r="AY36" s="285"/>
      <c r="AZ36" s="284"/>
      <c r="BA36" s="286"/>
      <c r="BB36" s="322"/>
      <c r="BC36" s="312"/>
      <c r="BD36" s="385" t="str">
        <f>IF(BC36="","",VLOOKUP(BC36,案件コード!$A$1:$B$31,2,FALSE()))</f>
        <v/>
      </c>
      <c r="BE36" s="385"/>
      <c r="BF36" s="385"/>
      <c r="BG36" s="113" t="str">
        <f t="shared" si="13"/>
        <v/>
      </c>
      <c r="BH36" s="285"/>
      <c r="BI36" s="284"/>
      <c r="BJ36" s="286"/>
      <c r="BK36" s="322"/>
    </row>
    <row r="37" spans="1:63">
      <c r="A37" s="312"/>
      <c r="B37" s="385" t="str">
        <f>IF(A37="","",VLOOKUP(A37,案件コード!$A$1:$B$31,2,FALSE()))</f>
        <v/>
      </c>
      <c r="C37" s="385"/>
      <c r="D37" s="385"/>
      <c r="E37" s="113" t="str">
        <f t="shared" si="7"/>
        <v/>
      </c>
      <c r="F37" s="285"/>
      <c r="G37" s="284"/>
      <c r="H37" s="286"/>
      <c r="I37" s="322"/>
      <c r="J37" s="312"/>
      <c r="K37" s="385" t="str">
        <f>IF(J37="","",VLOOKUP(J37,案件コード!$A$1:$B$31,2,FALSE()))</f>
        <v/>
      </c>
      <c r="L37" s="385"/>
      <c r="M37" s="385"/>
      <c r="N37" s="113" t="str">
        <f t="shared" si="8"/>
        <v/>
      </c>
      <c r="O37" s="285"/>
      <c r="P37" s="284"/>
      <c r="Q37" s="286"/>
      <c r="R37" s="322"/>
      <c r="S37" s="312"/>
      <c r="T37" s="385" t="str">
        <f>IF(S37="","",VLOOKUP(S37,案件コード!$A$1:$B$31,2,FALSE()))</f>
        <v/>
      </c>
      <c r="U37" s="385"/>
      <c r="V37" s="385"/>
      <c r="W37" s="113" t="str">
        <f t="shared" si="9"/>
        <v/>
      </c>
      <c r="X37" s="285"/>
      <c r="Y37" s="284"/>
      <c r="Z37" s="286"/>
      <c r="AA37" s="322"/>
      <c r="AB37" s="312"/>
      <c r="AC37" s="385" t="str">
        <f>IF(AB37="","",VLOOKUP(AB37,案件コード!$A$1:$B$31,2,FALSE()))</f>
        <v/>
      </c>
      <c r="AD37" s="385"/>
      <c r="AE37" s="385"/>
      <c r="AF37" s="113" t="str">
        <f t="shared" si="10"/>
        <v/>
      </c>
      <c r="AG37" s="285"/>
      <c r="AH37" s="284"/>
      <c r="AI37" s="286"/>
      <c r="AJ37" s="322"/>
      <c r="AK37" s="312"/>
      <c r="AL37" s="385" t="str">
        <f>IF(AK37="","",VLOOKUP(AK37,案件コード!$A$1:$B$31,2,FALSE()))</f>
        <v/>
      </c>
      <c r="AM37" s="385"/>
      <c r="AN37" s="385"/>
      <c r="AO37" s="113" t="str">
        <f t="shared" si="11"/>
        <v/>
      </c>
      <c r="AP37" s="285"/>
      <c r="AQ37" s="284"/>
      <c r="AR37" s="286"/>
      <c r="AS37" s="322"/>
      <c r="AT37" s="312"/>
      <c r="AU37" s="385" t="str">
        <f>IF(AT37="","",VLOOKUP(AT37,案件コード!$A$1:$B$31,2,FALSE()))</f>
        <v/>
      </c>
      <c r="AV37" s="385"/>
      <c r="AW37" s="385"/>
      <c r="AX37" s="113" t="str">
        <f t="shared" si="12"/>
        <v/>
      </c>
      <c r="AY37" s="285"/>
      <c r="AZ37" s="284"/>
      <c r="BA37" s="286"/>
      <c r="BB37" s="322"/>
      <c r="BC37" s="312"/>
      <c r="BD37" s="385" t="str">
        <f>IF(BC37="","",VLOOKUP(BC37,案件コード!$A$1:$B$31,2,FALSE()))</f>
        <v/>
      </c>
      <c r="BE37" s="385"/>
      <c r="BF37" s="385"/>
      <c r="BG37" s="113" t="str">
        <f t="shared" si="13"/>
        <v/>
      </c>
      <c r="BH37" s="285"/>
      <c r="BI37" s="284"/>
      <c r="BJ37" s="286"/>
      <c r="BK37" s="322"/>
    </row>
    <row r="38" spans="1:63">
      <c r="A38" s="312"/>
      <c r="B38" s="385" t="str">
        <f>IF(A38="","",VLOOKUP(A38,案件コード!$A$1:$B$31,2,FALSE()))</f>
        <v/>
      </c>
      <c r="C38" s="385"/>
      <c r="D38" s="385"/>
      <c r="E38" s="113" t="str">
        <f t="shared" si="7"/>
        <v/>
      </c>
      <c r="F38" s="285"/>
      <c r="G38" s="284"/>
      <c r="H38" s="286"/>
      <c r="I38" s="322"/>
      <c r="J38" s="312"/>
      <c r="K38" s="385" t="str">
        <f>IF(J38="","",VLOOKUP(J38,案件コード!$A$1:$B$31,2,FALSE()))</f>
        <v/>
      </c>
      <c r="L38" s="385"/>
      <c r="M38" s="385"/>
      <c r="N38" s="113" t="str">
        <f t="shared" si="8"/>
        <v/>
      </c>
      <c r="O38" s="285"/>
      <c r="P38" s="284"/>
      <c r="Q38" s="286"/>
      <c r="R38" s="322"/>
      <c r="S38" s="312"/>
      <c r="T38" s="385" t="str">
        <f>IF(S38="","",VLOOKUP(S38,案件コード!$A$1:$B$31,2,FALSE()))</f>
        <v/>
      </c>
      <c r="U38" s="385"/>
      <c r="V38" s="385"/>
      <c r="W38" s="113" t="str">
        <f t="shared" si="9"/>
        <v/>
      </c>
      <c r="X38" s="285"/>
      <c r="Y38" s="284"/>
      <c r="Z38" s="286"/>
      <c r="AA38" s="322"/>
      <c r="AB38" s="312"/>
      <c r="AC38" s="385" t="str">
        <f>IF(AB38="","",VLOOKUP(AB38,案件コード!$A$1:$B$31,2,FALSE()))</f>
        <v/>
      </c>
      <c r="AD38" s="385"/>
      <c r="AE38" s="385"/>
      <c r="AF38" s="113" t="str">
        <f t="shared" si="10"/>
        <v/>
      </c>
      <c r="AG38" s="285"/>
      <c r="AH38" s="284"/>
      <c r="AI38" s="286"/>
      <c r="AJ38" s="322"/>
      <c r="AK38" s="312"/>
      <c r="AL38" s="385" t="str">
        <f>IF(AK38="","",VLOOKUP(AK38,案件コード!$A$1:$B$31,2,FALSE()))</f>
        <v/>
      </c>
      <c r="AM38" s="385"/>
      <c r="AN38" s="385"/>
      <c r="AO38" s="113" t="str">
        <f t="shared" si="11"/>
        <v/>
      </c>
      <c r="AP38" s="285"/>
      <c r="AQ38" s="284"/>
      <c r="AR38" s="286"/>
      <c r="AS38" s="322"/>
      <c r="AT38" s="312"/>
      <c r="AU38" s="385" t="str">
        <f>IF(AT38="","",VLOOKUP(AT38,案件コード!$A$1:$B$31,2,FALSE()))</f>
        <v/>
      </c>
      <c r="AV38" s="385"/>
      <c r="AW38" s="385"/>
      <c r="AX38" s="113" t="str">
        <f t="shared" si="12"/>
        <v/>
      </c>
      <c r="AY38" s="285"/>
      <c r="AZ38" s="284"/>
      <c r="BA38" s="286"/>
      <c r="BB38" s="322"/>
      <c r="BC38" s="312"/>
      <c r="BD38" s="385" t="str">
        <f>IF(BC38="","",VLOOKUP(BC38,案件コード!$A$1:$B$31,2,FALSE()))</f>
        <v/>
      </c>
      <c r="BE38" s="385"/>
      <c r="BF38" s="385"/>
      <c r="BG38" s="113" t="str">
        <f t="shared" si="13"/>
        <v/>
      </c>
      <c r="BH38" s="285"/>
      <c r="BI38" s="284"/>
      <c r="BJ38" s="286"/>
      <c r="BK38" s="322"/>
    </row>
    <row r="39" spans="1:63">
      <c r="A39" s="312"/>
      <c r="B39" s="385" t="str">
        <f>IF(A39="","",VLOOKUP(A39,案件コード!$A$1:$B$31,2,FALSE()))</f>
        <v/>
      </c>
      <c r="C39" s="385"/>
      <c r="D39" s="385"/>
      <c r="E39" s="113" t="str">
        <f t="shared" si="7"/>
        <v/>
      </c>
      <c r="F39" s="285"/>
      <c r="G39" s="284"/>
      <c r="H39" s="286"/>
      <c r="I39" s="322"/>
      <c r="J39" s="312"/>
      <c r="K39" s="385" t="str">
        <f>IF(J39="","",VLOOKUP(J39,案件コード!$A$1:$B$31,2,FALSE()))</f>
        <v/>
      </c>
      <c r="L39" s="385"/>
      <c r="M39" s="385"/>
      <c r="N39" s="113" t="str">
        <f t="shared" si="8"/>
        <v/>
      </c>
      <c r="O39" s="285"/>
      <c r="P39" s="284"/>
      <c r="Q39" s="286"/>
      <c r="R39" s="322"/>
      <c r="S39" s="312"/>
      <c r="T39" s="385" t="str">
        <f>IF(S39="","",VLOOKUP(S39,案件コード!$A$1:$B$31,2,FALSE()))</f>
        <v/>
      </c>
      <c r="U39" s="385"/>
      <c r="V39" s="385"/>
      <c r="W39" s="113" t="str">
        <f t="shared" si="9"/>
        <v/>
      </c>
      <c r="X39" s="285"/>
      <c r="Y39" s="284"/>
      <c r="Z39" s="286"/>
      <c r="AA39" s="322"/>
      <c r="AB39" s="312"/>
      <c r="AC39" s="385" t="str">
        <f>IF(AB39="","",VLOOKUP(AB39,案件コード!$A$1:$B$31,2,FALSE()))</f>
        <v/>
      </c>
      <c r="AD39" s="385"/>
      <c r="AE39" s="385"/>
      <c r="AF39" s="113" t="str">
        <f t="shared" si="10"/>
        <v/>
      </c>
      <c r="AG39" s="285"/>
      <c r="AH39" s="284"/>
      <c r="AI39" s="286"/>
      <c r="AJ39" s="322"/>
      <c r="AK39" s="312"/>
      <c r="AL39" s="385" t="str">
        <f>IF(AK39="","",VLOOKUP(AK39,案件コード!$A$1:$B$31,2,FALSE()))</f>
        <v/>
      </c>
      <c r="AM39" s="385"/>
      <c r="AN39" s="385"/>
      <c r="AO39" s="113" t="str">
        <f t="shared" si="11"/>
        <v/>
      </c>
      <c r="AP39" s="285"/>
      <c r="AQ39" s="284"/>
      <c r="AR39" s="286"/>
      <c r="AS39" s="322"/>
      <c r="AT39" s="312"/>
      <c r="AU39" s="385" t="str">
        <f>IF(AT39="","",VLOOKUP(AT39,案件コード!$A$1:$B$31,2,FALSE()))</f>
        <v/>
      </c>
      <c r="AV39" s="385"/>
      <c r="AW39" s="385"/>
      <c r="AX39" s="113" t="str">
        <f t="shared" si="12"/>
        <v/>
      </c>
      <c r="AY39" s="285"/>
      <c r="AZ39" s="284"/>
      <c r="BA39" s="286"/>
      <c r="BB39" s="322"/>
      <c r="BC39" s="312"/>
      <c r="BD39" s="385" t="str">
        <f>IF(BC39="","",VLOOKUP(BC39,案件コード!$A$1:$B$31,2,FALSE()))</f>
        <v/>
      </c>
      <c r="BE39" s="385"/>
      <c r="BF39" s="385"/>
      <c r="BG39" s="113" t="str">
        <f t="shared" si="13"/>
        <v/>
      </c>
      <c r="BH39" s="285"/>
      <c r="BI39" s="284"/>
      <c r="BJ39" s="286"/>
      <c r="BK39" s="322"/>
    </row>
    <row r="40" spans="1:63">
      <c r="A40" s="312"/>
      <c r="B40" s="385" t="str">
        <f>IF(A40="","",VLOOKUP(A40,案件コード!$A$1:$B$31,2,FALSE()))</f>
        <v/>
      </c>
      <c r="C40" s="385"/>
      <c r="D40" s="385"/>
      <c r="E40" s="113" t="str">
        <f t="shared" si="7"/>
        <v/>
      </c>
      <c r="F40" s="285"/>
      <c r="G40" s="284"/>
      <c r="H40" s="286"/>
      <c r="I40" s="322"/>
      <c r="J40" s="312"/>
      <c r="K40" s="385" t="str">
        <f>IF(J40="","",VLOOKUP(J40,案件コード!$A$1:$B$31,2,FALSE()))</f>
        <v/>
      </c>
      <c r="L40" s="385"/>
      <c r="M40" s="385"/>
      <c r="N40" s="113" t="str">
        <f t="shared" si="8"/>
        <v/>
      </c>
      <c r="O40" s="285"/>
      <c r="P40" s="284"/>
      <c r="Q40" s="286"/>
      <c r="R40" s="322"/>
      <c r="S40" s="312"/>
      <c r="T40" s="385" t="str">
        <f>IF(S40="","",VLOOKUP(S40,案件コード!$A$1:$B$31,2,FALSE()))</f>
        <v/>
      </c>
      <c r="U40" s="385"/>
      <c r="V40" s="385"/>
      <c r="W40" s="113" t="str">
        <f t="shared" si="9"/>
        <v/>
      </c>
      <c r="X40" s="285"/>
      <c r="Y40" s="284"/>
      <c r="Z40" s="286"/>
      <c r="AA40" s="322"/>
      <c r="AB40" s="312"/>
      <c r="AC40" s="385" t="str">
        <f>IF(AB40="","",VLOOKUP(AB40,案件コード!$A$1:$B$31,2,FALSE()))</f>
        <v/>
      </c>
      <c r="AD40" s="385"/>
      <c r="AE40" s="385"/>
      <c r="AF40" s="113" t="str">
        <f t="shared" si="10"/>
        <v/>
      </c>
      <c r="AG40" s="285"/>
      <c r="AH40" s="284"/>
      <c r="AI40" s="286"/>
      <c r="AJ40" s="322"/>
      <c r="AK40" s="312"/>
      <c r="AL40" s="385" t="str">
        <f>IF(AK40="","",VLOOKUP(AK40,案件コード!$A$1:$B$31,2,FALSE()))</f>
        <v/>
      </c>
      <c r="AM40" s="385"/>
      <c r="AN40" s="385"/>
      <c r="AO40" s="113" t="str">
        <f t="shared" si="11"/>
        <v/>
      </c>
      <c r="AP40" s="285"/>
      <c r="AQ40" s="284"/>
      <c r="AR40" s="286"/>
      <c r="AS40" s="322"/>
      <c r="AT40" s="312"/>
      <c r="AU40" s="385" t="str">
        <f>IF(AT40="","",VLOOKUP(AT40,案件コード!$A$1:$B$31,2,FALSE()))</f>
        <v/>
      </c>
      <c r="AV40" s="385"/>
      <c r="AW40" s="385"/>
      <c r="AX40" s="113" t="str">
        <f t="shared" si="12"/>
        <v/>
      </c>
      <c r="AY40" s="285"/>
      <c r="AZ40" s="284"/>
      <c r="BA40" s="286"/>
      <c r="BB40" s="322"/>
      <c r="BC40" s="312"/>
      <c r="BD40" s="385" t="str">
        <f>IF(BC40="","",VLOOKUP(BC40,案件コード!$A$1:$B$31,2,FALSE()))</f>
        <v/>
      </c>
      <c r="BE40" s="385"/>
      <c r="BF40" s="385"/>
      <c r="BG40" s="113" t="str">
        <f t="shared" si="13"/>
        <v/>
      </c>
      <c r="BH40" s="285"/>
      <c r="BI40" s="284"/>
      <c r="BJ40" s="286"/>
      <c r="BK40" s="322"/>
    </row>
    <row r="41" spans="1:63">
      <c r="A41" s="312"/>
      <c r="B41" s="385" t="str">
        <f>IF(A41="","",VLOOKUP(A41,案件コード!$A$1:$B$31,2,FALSE()))</f>
        <v/>
      </c>
      <c r="C41" s="385"/>
      <c r="D41" s="385"/>
      <c r="E41" s="113" t="str">
        <f t="shared" si="7"/>
        <v/>
      </c>
      <c r="F41" s="285"/>
      <c r="G41" s="284"/>
      <c r="H41" s="286"/>
      <c r="I41" s="322"/>
      <c r="J41" s="312"/>
      <c r="K41" s="385" t="str">
        <f>IF(J41="","",VLOOKUP(J41,案件コード!$A$1:$B$31,2,FALSE()))</f>
        <v/>
      </c>
      <c r="L41" s="385"/>
      <c r="M41" s="385"/>
      <c r="N41" s="113" t="str">
        <f t="shared" si="8"/>
        <v/>
      </c>
      <c r="O41" s="285"/>
      <c r="P41" s="284"/>
      <c r="Q41" s="286"/>
      <c r="R41" s="322"/>
      <c r="S41" s="312"/>
      <c r="T41" s="385" t="str">
        <f>IF(S41="","",VLOOKUP(S41,案件コード!$A$1:$B$31,2,FALSE()))</f>
        <v/>
      </c>
      <c r="U41" s="385"/>
      <c r="V41" s="385"/>
      <c r="W41" s="113" t="str">
        <f t="shared" si="9"/>
        <v/>
      </c>
      <c r="X41" s="285"/>
      <c r="Y41" s="284"/>
      <c r="Z41" s="286"/>
      <c r="AA41" s="322"/>
      <c r="AB41" s="312"/>
      <c r="AC41" s="385" t="str">
        <f>IF(AB41="","",VLOOKUP(AB41,案件コード!$A$1:$B$31,2,FALSE()))</f>
        <v/>
      </c>
      <c r="AD41" s="385"/>
      <c r="AE41" s="385"/>
      <c r="AF41" s="113" t="str">
        <f t="shared" si="10"/>
        <v/>
      </c>
      <c r="AG41" s="285"/>
      <c r="AH41" s="284"/>
      <c r="AI41" s="286"/>
      <c r="AJ41" s="322"/>
      <c r="AK41" s="312"/>
      <c r="AL41" s="385" t="str">
        <f>IF(AK41="","",VLOOKUP(AK41,案件コード!$A$1:$B$31,2,FALSE()))</f>
        <v/>
      </c>
      <c r="AM41" s="385"/>
      <c r="AN41" s="385"/>
      <c r="AO41" s="113" t="str">
        <f t="shared" si="11"/>
        <v/>
      </c>
      <c r="AP41" s="285"/>
      <c r="AQ41" s="284"/>
      <c r="AR41" s="286"/>
      <c r="AS41" s="322"/>
      <c r="AT41" s="312"/>
      <c r="AU41" s="385" t="str">
        <f>IF(AT41="","",VLOOKUP(AT41,案件コード!$A$1:$B$31,2,FALSE()))</f>
        <v/>
      </c>
      <c r="AV41" s="385"/>
      <c r="AW41" s="385"/>
      <c r="AX41" s="113" t="str">
        <f t="shared" si="12"/>
        <v/>
      </c>
      <c r="AY41" s="285"/>
      <c r="AZ41" s="284"/>
      <c r="BA41" s="286"/>
      <c r="BB41" s="322"/>
      <c r="BC41" s="312"/>
      <c r="BD41" s="385" t="str">
        <f>IF(BC41="","",VLOOKUP(BC41,案件コード!$A$1:$B$31,2,FALSE()))</f>
        <v/>
      </c>
      <c r="BE41" s="385"/>
      <c r="BF41" s="385"/>
      <c r="BG41" s="113" t="str">
        <f t="shared" si="13"/>
        <v/>
      </c>
      <c r="BH41" s="285"/>
      <c r="BI41" s="284"/>
      <c r="BJ41" s="286"/>
      <c r="BK41" s="322"/>
    </row>
    <row r="42" spans="1:63">
      <c r="A42" s="312"/>
      <c r="B42" s="385" t="str">
        <f>IF(A42="","",VLOOKUP(A42,案件コード!$A$1:$B$31,2,FALSE()))</f>
        <v/>
      </c>
      <c r="C42" s="385"/>
      <c r="D42" s="385"/>
      <c r="E42" s="113" t="str">
        <f t="shared" si="7"/>
        <v/>
      </c>
      <c r="F42" s="285"/>
      <c r="G42" s="284"/>
      <c r="H42" s="286"/>
      <c r="I42" s="322"/>
      <c r="J42" s="312"/>
      <c r="K42" s="385" t="str">
        <f>IF(J42="","",VLOOKUP(J42,案件コード!$A$1:$B$31,2,FALSE()))</f>
        <v/>
      </c>
      <c r="L42" s="385"/>
      <c r="M42" s="385"/>
      <c r="N42" s="113" t="str">
        <f t="shared" si="8"/>
        <v/>
      </c>
      <c r="O42" s="285"/>
      <c r="P42" s="284"/>
      <c r="Q42" s="286"/>
      <c r="R42" s="322"/>
      <c r="S42" s="312"/>
      <c r="T42" s="385" t="str">
        <f>IF(S42="","",VLOOKUP(S42,案件コード!$A$1:$B$31,2,FALSE()))</f>
        <v/>
      </c>
      <c r="U42" s="385"/>
      <c r="V42" s="385"/>
      <c r="W42" s="113" t="str">
        <f t="shared" si="9"/>
        <v/>
      </c>
      <c r="X42" s="285"/>
      <c r="Y42" s="284"/>
      <c r="Z42" s="286"/>
      <c r="AA42" s="322"/>
      <c r="AB42" s="312"/>
      <c r="AC42" s="385" t="str">
        <f>IF(AB42="","",VLOOKUP(AB42,案件コード!$A$1:$B$31,2,FALSE()))</f>
        <v/>
      </c>
      <c r="AD42" s="385"/>
      <c r="AE42" s="385"/>
      <c r="AF42" s="113" t="str">
        <f t="shared" si="10"/>
        <v/>
      </c>
      <c r="AG42" s="285"/>
      <c r="AH42" s="284"/>
      <c r="AI42" s="286"/>
      <c r="AJ42" s="322"/>
      <c r="AK42" s="312"/>
      <c r="AL42" s="385" t="str">
        <f>IF(AK42="","",VLOOKUP(AK42,案件コード!$A$1:$B$31,2,FALSE()))</f>
        <v/>
      </c>
      <c r="AM42" s="385"/>
      <c r="AN42" s="385"/>
      <c r="AO42" s="113" t="str">
        <f t="shared" si="11"/>
        <v/>
      </c>
      <c r="AP42" s="285"/>
      <c r="AQ42" s="284"/>
      <c r="AR42" s="286"/>
      <c r="AS42" s="322"/>
      <c r="AT42" s="312"/>
      <c r="AU42" s="385" t="str">
        <f>IF(AT42="","",VLOOKUP(AT42,案件コード!$A$1:$B$31,2,FALSE()))</f>
        <v/>
      </c>
      <c r="AV42" s="385"/>
      <c r="AW42" s="385"/>
      <c r="AX42" s="113" t="str">
        <f t="shared" si="12"/>
        <v/>
      </c>
      <c r="AY42" s="285"/>
      <c r="AZ42" s="284"/>
      <c r="BA42" s="286"/>
      <c r="BB42" s="322"/>
      <c r="BC42" s="312"/>
      <c r="BD42" s="385" t="str">
        <f>IF(BC42="","",VLOOKUP(BC42,案件コード!$A$1:$B$31,2,FALSE()))</f>
        <v/>
      </c>
      <c r="BE42" s="385"/>
      <c r="BF42" s="385"/>
      <c r="BG42" s="113" t="str">
        <f t="shared" si="13"/>
        <v/>
      </c>
      <c r="BH42" s="285"/>
      <c r="BI42" s="284"/>
      <c r="BJ42" s="286"/>
      <c r="BK42" s="322"/>
    </row>
    <row r="43" spans="1:63" ht="18.600000000000001" thickBot="1">
      <c r="A43" s="315"/>
      <c r="B43" s="386" t="str">
        <f>IF(A43="","",VLOOKUP(A43,案件コード!$A$1:$B$31,2,FALSE()))</f>
        <v/>
      </c>
      <c r="C43" s="386"/>
      <c r="D43" s="386"/>
      <c r="E43" s="316" t="str">
        <f t="shared" si="7"/>
        <v/>
      </c>
      <c r="F43" s="317"/>
      <c r="G43" s="318"/>
      <c r="H43" s="319"/>
      <c r="I43" s="323"/>
      <c r="J43" s="315"/>
      <c r="K43" s="386" t="str">
        <f>IF(J43="","",VLOOKUP(J43,案件コード!$A$1:$B$31,2,FALSE()))</f>
        <v/>
      </c>
      <c r="L43" s="386"/>
      <c r="M43" s="386"/>
      <c r="N43" s="316" t="str">
        <f t="shared" si="8"/>
        <v/>
      </c>
      <c r="O43" s="317"/>
      <c r="P43" s="318"/>
      <c r="Q43" s="319"/>
      <c r="R43" s="323"/>
      <c r="S43" s="315"/>
      <c r="T43" s="386" t="str">
        <f>IF(S43="","",VLOOKUP(S43,案件コード!$A$1:$B$31,2,FALSE()))</f>
        <v/>
      </c>
      <c r="U43" s="386"/>
      <c r="V43" s="386"/>
      <c r="W43" s="316" t="str">
        <f t="shared" si="9"/>
        <v/>
      </c>
      <c r="X43" s="317"/>
      <c r="Y43" s="318"/>
      <c r="Z43" s="319"/>
      <c r="AA43" s="323"/>
      <c r="AB43" s="315"/>
      <c r="AC43" s="386" t="str">
        <f>IF(AB43="","",VLOOKUP(AB43,案件コード!$A$1:$B$31,2,FALSE()))</f>
        <v/>
      </c>
      <c r="AD43" s="386"/>
      <c r="AE43" s="386"/>
      <c r="AF43" s="316" t="str">
        <f t="shared" si="10"/>
        <v/>
      </c>
      <c r="AG43" s="317"/>
      <c r="AH43" s="318"/>
      <c r="AI43" s="319"/>
      <c r="AJ43" s="323"/>
      <c r="AK43" s="315"/>
      <c r="AL43" s="386" t="str">
        <f>IF(AK43="","",VLOOKUP(AK43,案件コード!$A$1:$B$31,2,FALSE()))</f>
        <v/>
      </c>
      <c r="AM43" s="386"/>
      <c r="AN43" s="386"/>
      <c r="AO43" s="316" t="str">
        <f t="shared" si="11"/>
        <v/>
      </c>
      <c r="AP43" s="317"/>
      <c r="AQ43" s="318"/>
      <c r="AR43" s="319"/>
      <c r="AS43" s="323"/>
      <c r="AT43" s="315"/>
      <c r="AU43" s="386" t="str">
        <f>IF(AT43="","",VLOOKUP(AT43,案件コード!$A$1:$B$31,2,FALSE()))</f>
        <v/>
      </c>
      <c r="AV43" s="386"/>
      <c r="AW43" s="386"/>
      <c r="AX43" s="316" t="str">
        <f t="shared" si="12"/>
        <v/>
      </c>
      <c r="AY43" s="317"/>
      <c r="AZ43" s="318"/>
      <c r="BA43" s="319"/>
      <c r="BB43" s="323"/>
      <c r="BC43" s="315"/>
      <c r="BD43" s="386" t="str">
        <f>IF(BC43="","",VLOOKUP(BC43,案件コード!$A$1:$B$31,2,FALSE()))</f>
        <v/>
      </c>
      <c r="BE43" s="386"/>
      <c r="BF43" s="386"/>
      <c r="BG43" s="316" t="str">
        <f t="shared" si="13"/>
        <v/>
      </c>
      <c r="BH43" s="317"/>
      <c r="BI43" s="318"/>
      <c r="BJ43" s="319"/>
      <c r="BK43" s="323"/>
    </row>
    <row r="44" spans="1:63" ht="18.600000000000001" thickBot="1">
      <c r="A44" s="41"/>
      <c r="B44" s="41"/>
      <c r="C44" s="41"/>
      <c r="D44" s="41"/>
      <c r="E44" s="41"/>
      <c r="F44" s="41"/>
      <c r="G44" s="41"/>
      <c r="H44" s="307">
        <f>SUM(H29:H43)</f>
        <v>0</v>
      </c>
      <c r="I44" s="41"/>
      <c r="J44" s="41"/>
      <c r="K44" s="41"/>
      <c r="L44" s="41"/>
      <c r="M44" s="41"/>
      <c r="N44" s="41"/>
      <c r="O44" s="41"/>
      <c r="P44" s="41"/>
      <c r="Q44" s="307">
        <f>SUM(Q29:Q43)</f>
        <v>0</v>
      </c>
      <c r="R44" s="41"/>
      <c r="S44" s="41"/>
      <c r="T44" s="41"/>
      <c r="U44" s="41"/>
      <c r="V44" s="41"/>
      <c r="W44" s="41"/>
      <c r="X44" s="41"/>
      <c r="Y44" s="41"/>
      <c r="Z44" s="307">
        <f>SUM(Z29:Z43)</f>
        <v>0</v>
      </c>
      <c r="AA44" s="41"/>
      <c r="AB44" s="41"/>
      <c r="AC44" s="41"/>
      <c r="AD44" s="41"/>
      <c r="AE44" s="41"/>
      <c r="AF44" s="41"/>
      <c r="AG44" s="41"/>
      <c r="AH44" s="41"/>
      <c r="AI44" s="307">
        <f>SUM(AI29:AI43)</f>
        <v>0</v>
      </c>
      <c r="AJ44" s="41"/>
      <c r="AK44" s="41"/>
      <c r="AL44" s="41"/>
      <c r="AM44" s="41"/>
      <c r="AN44" s="41"/>
      <c r="AO44" s="41"/>
      <c r="AP44" s="41"/>
      <c r="AQ44" s="41"/>
      <c r="AR44" s="307">
        <f>SUM(AR29:AR43)</f>
        <v>0</v>
      </c>
      <c r="AS44" s="41"/>
      <c r="AT44" s="41"/>
      <c r="AU44" s="41"/>
      <c r="AV44" s="41"/>
      <c r="AW44" s="41"/>
      <c r="AX44" s="41"/>
      <c r="AY44" s="41"/>
      <c r="AZ44" s="41"/>
      <c r="BA44" s="307">
        <f>SUM(BA29:BA43)</f>
        <v>0</v>
      </c>
      <c r="BB44" s="41"/>
      <c r="BC44" s="41"/>
      <c r="BD44" s="41"/>
      <c r="BE44" s="41"/>
      <c r="BF44" s="41"/>
      <c r="BG44" s="41"/>
      <c r="BH44" s="41"/>
      <c r="BI44" s="41"/>
      <c r="BJ44" s="307">
        <f>SUM(BJ29:BJ43)</f>
        <v>0</v>
      </c>
      <c r="BK44" s="41"/>
    </row>
    <row r="45" spans="1:63">
      <c r="A45" s="390" t="s">
        <v>16</v>
      </c>
      <c r="B45" s="391"/>
      <c r="C45" s="391" t="s">
        <v>17</v>
      </c>
      <c r="D45" s="391"/>
      <c r="E45" s="391" t="s">
        <v>18</v>
      </c>
      <c r="F45" s="392"/>
      <c r="G45" s="41"/>
      <c r="H45" s="41"/>
      <c r="I45" s="41"/>
      <c r="J45" s="390" t="s">
        <v>16</v>
      </c>
      <c r="K45" s="391"/>
      <c r="L45" s="391" t="s">
        <v>17</v>
      </c>
      <c r="M45" s="391"/>
      <c r="N45" s="391" t="s">
        <v>18</v>
      </c>
      <c r="O45" s="392"/>
      <c r="P45" s="41"/>
      <c r="Q45" s="41"/>
      <c r="R45" s="41"/>
      <c r="S45" s="390" t="s">
        <v>16</v>
      </c>
      <c r="T45" s="391"/>
      <c r="U45" s="391" t="s">
        <v>17</v>
      </c>
      <c r="V45" s="391"/>
      <c r="W45" s="391" t="s">
        <v>18</v>
      </c>
      <c r="X45" s="392"/>
      <c r="Y45" s="41"/>
      <c r="Z45" s="41"/>
      <c r="AA45" s="41"/>
      <c r="AB45" s="390" t="s">
        <v>16</v>
      </c>
      <c r="AC45" s="391"/>
      <c r="AD45" s="391" t="s">
        <v>17</v>
      </c>
      <c r="AE45" s="391"/>
      <c r="AF45" s="391" t="s">
        <v>18</v>
      </c>
      <c r="AG45" s="392"/>
      <c r="AH45" s="41"/>
      <c r="AI45" s="41"/>
      <c r="AJ45" s="41"/>
      <c r="AK45" s="390" t="s">
        <v>16</v>
      </c>
      <c r="AL45" s="391"/>
      <c r="AM45" s="391" t="s">
        <v>17</v>
      </c>
      <c r="AN45" s="391"/>
      <c r="AO45" s="391" t="s">
        <v>18</v>
      </c>
      <c r="AP45" s="392"/>
      <c r="AQ45" s="41"/>
      <c r="AR45" s="41"/>
      <c r="AS45" s="41"/>
      <c r="AT45" s="390" t="s">
        <v>16</v>
      </c>
      <c r="AU45" s="391"/>
      <c r="AV45" s="391" t="s">
        <v>17</v>
      </c>
      <c r="AW45" s="391"/>
      <c r="AX45" s="391" t="s">
        <v>18</v>
      </c>
      <c r="AY45" s="392"/>
      <c r="AZ45" s="41"/>
      <c r="BA45" s="41"/>
      <c r="BB45" s="41"/>
      <c r="BC45" s="390" t="s">
        <v>16</v>
      </c>
      <c r="BD45" s="391"/>
      <c r="BE45" s="391" t="s">
        <v>17</v>
      </c>
      <c r="BF45" s="391"/>
      <c r="BG45" s="391" t="s">
        <v>18</v>
      </c>
      <c r="BH45" s="392"/>
      <c r="BI45" s="41"/>
      <c r="BJ45" s="41"/>
      <c r="BK45" s="41"/>
    </row>
    <row r="46" spans="1:63" ht="18.600000000000001" thickBot="1">
      <c r="A46" s="387">
        <f>BC26+1</f>
        <v>45915</v>
      </c>
      <c r="B46" s="388"/>
      <c r="C46" s="289"/>
      <c r="D46" s="289"/>
      <c r="E46" s="290" t="str">
        <f>IF(C46="","",D46-C46-H46)</f>
        <v/>
      </c>
      <c r="F46" s="291" t="str">
        <f>IF(AND(E46=""),"",SUM(E49:E63))</f>
        <v/>
      </c>
      <c r="G46" s="114" t="s">
        <v>19</v>
      </c>
      <c r="H46" s="287">
        <v>4.1666666666666699E-2</v>
      </c>
      <c r="I46" s="41"/>
      <c r="J46" s="387">
        <f>A46+1</f>
        <v>45916</v>
      </c>
      <c r="K46" s="388"/>
      <c r="L46" s="289"/>
      <c r="M46" s="289"/>
      <c r="N46" s="290" t="str">
        <f>IF(L46="","",M46-L46-Q46)</f>
        <v/>
      </c>
      <c r="O46" s="291" t="str">
        <f>IF(AND(N46=""),"",SUM(N49:N63))</f>
        <v/>
      </c>
      <c r="P46" s="114" t="s">
        <v>19</v>
      </c>
      <c r="Q46" s="287">
        <v>4.1666666666666699E-2</v>
      </c>
      <c r="R46" s="41"/>
      <c r="S46" s="387">
        <f>J46+1</f>
        <v>45917</v>
      </c>
      <c r="T46" s="388"/>
      <c r="U46" s="289"/>
      <c r="V46" s="289"/>
      <c r="W46" s="290" t="str">
        <f>IF(U46="","",V46-U46-Z46)</f>
        <v/>
      </c>
      <c r="X46" s="291" t="str">
        <f>IF(AND(W46=""),"",SUM(W49:W63))</f>
        <v/>
      </c>
      <c r="Y46" s="114" t="s">
        <v>19</v>
      </c>
      <c r="Z46" s="287">
        <v>4.1666666666666699E-2</v>
      </c>
      <c r="AA46" s="41"/>
      <c r="AB46" s="387">
        <f>S46+1</f>
        <v>45918</v>
      </c>
      <c r="AC46" s="388"/>
      <c r="AD46" s="289"/>
      <c r="AE46" s="289"/>
      <c r="AF46" s="290" t="str">
        <f>IF(AD46="","",AE46-AD46-AI46)</f>
        <v/>
      </c>
      <c r="AG46" s="291" t="str">
        <f>IF(AND(AF46=""),"",SUM(AF49:AF63))</f>
        <v/>
      </c>
      <c r="AH46" s="114" t="s">
        <v>19</v>
      </c>
      <c r="AI46" s="287">
        <v>4.1666666666666699E-2</v>
      </c>
      <c r="AJ46" s="41"/>
      <c r="AK46" s="387">
        <f>AB46+1</f>
        <v>45919</v>
      </c>
      <c r="AL46" s="388"/>
      <c r="AM46" s="289"/>
      <c r="AN46" s="289"/>
      <c r="AO46" s="290" t="str">
        <f>IF(AM46="","",AN46-AM46-AR46)</f>
        <v/>
      </c>
      <c r="AP46" s="291" t="str">
        <f>IF(AND(AO46=""),"",SUM(AO49:AO63))</f>
        <v/>
      </c>
      <c r="AQ46" s="114" t="s">
        <v>19</v>
      </c>
      <c r="AR46" s="287">
        <v>4.1666666666666699E-2</v>
      </c>
      <c r="AS46" s="41"/>
      <c r="AT46" s="387">
        <f>AK46+1</f>
        <v>45920</v>
      </c>
      <c r="AU46" s="388"/>
      <c r="AV46" s="289"/>
      <c r="AW46" s="289"/>
      <c r="AX46" s="290" t="str">
        <f>IF(AV46="","",AW46-AV46-BA46)</f>
        <v/>
      </c>
      <c r="AY46" s="291" t="str">
        <f>IF(AND(AX46=""),"",SUM(AX49:AX63))</f>
        <v/>
      </c>
      <c r="AZ46" s="114" t="s">
        <v>19</v>
      </c>
      <c r="BA46" s="287">
        <v>4.1666666666666699E-2</v>
      </c>
      <c r="BB46" s="41"/>
      <c r="BC46" s="387">
        <f>AT46+1</f>
        <v>45921</v>
      </c>
      <c r="BD46" s="388"/>
      <c r="BE46" s="289"/>
      <c r="BF46" s="289"/>
      <c r="BG46" s="290" t="str">
        <f>IF(BE46="","",BF46-BE46-BJ46)</f>
        <v/>
      </c>
      <c r="BH46" s="291" t="str">
        <f>IF(AND(BG46=""),"",SUM(BG49:BG63))</f>
        <v/>
      </c>
      <c r="BI46" s="114" t="s">
        <v>19</v>
      </c>
      <c r="BJ46" s="287">
        <v>4.1666666666666699E-2</v>
      </c>
      <c r="BK46" s="41"/>
    </row>
    <row r="47" spans="1:63" ht="18.600000000000001" thickBot="1">
      <c r="A47" s="41" t="s">
        <v>38</v>
      </c>
      <c r="B47" s="115"/>
      <c r="C47" s="115"/>
      <c r="D47" s="115"/>
      <c r="E47" s="116"/>
      <c r="F47" s="117"/>
      <c r="G47" s="117"/>
      <c r="H47" s="185"/>
      <c r="I47" s="41"/>
      <c r="J47" s="41" t="s">
        <v>38</v>
      </c>
      <c r="K47" s="115"/>
      <c r="L47" s="115"/>
      <c r="M47" s="115"/>
      <c r="N47" s="116"/>
      <c r="O47" s="117"/>
      <c r="P47" s="117"/>
      <c r="Q47" s="185"/>
      <c r="R47" s="41"/>
      <c r="S47" s="41" t="s">
        <v>38</v>
      </c>
      <c r="T47" s="115"/>
      <c r="U47" s="115"/>
      <c r="V47" s="115"/>
      <c r="W47" s="116"/>
      <c r="X47" s="117"/>
      <c r="Y47" s="117"/>
      <c r="Z47" s="185"/>
      <c r="AA47" s="41"/>
      <c r="AB47" s="41" t="s">
        <v>38</v>
      </c>
      <c r="AC47" s="115"/>
      <c r="AD47" s="115"/>
      <c r="AE47" s="115"/>
      <c r="AF47" s="116"/>
      <c r="AG47" s="117"/>
      <c r="AH47" s="117"/>
      <c r="AI47" s="185"/>
      <c r="AJ47" s="41"/>
      <c r="AK47" s="41" t="s">
        <v>38</v>
      </c>
      <c r="AL47" s="115"/>
      <c r="AM47" s="115"/>
      <c r="AN47" s="115"/>
      <c r="AO47" s="116"/>
      <c r="AP47" s="117"/>
      <c r="AQ47" s="117"/>
      <c r="AR47" s="185"/>
      <c r="AS47" s="41"/>
      <c r="AT47" s="41" t="s">
        <v>38</v>
      </c>
      <c r="AU47" s="115"/>
      <c r="AV47" s="115"/>
      <c r="AW47" s="115"/>
      <c r="AX47" s="116"/>
      <c r="AY47" s="117"/>
      <c r="AZ47" s="117"/>
      <c r="BA47" s="185"/>
      <c r="BB47" s="41"/>
      <c r="BC47" s="41" t="s">
        <v>38</v>
      </c>
      <c r="BD47" s="115"/>
      <c r="BE47" s="115"/>
      <c r="BF47" s="115"/>
      <c r="BG47" s="116"/>
      <c r="BH47" s="117"/>
      <c r="BI47" s="117"/>
      <c r="BJ47" s="185"/>
      <c r="BK47" s="41"/>
    </row>
    <row r="48" spans="1:63">
      <c r="A48" s="308" t="s">
        <v>20</v>
      </c>
      <c r="B48" s="389" t="s">
        <v>21</v>
      </c>
      <c r="C48" s="389"/>
      <c r="D48" s="389"/>
      <c r="E48" s="309" t="s">
        <v>22</v>
      </c>
      <c r="F48" s="309" t="s">
        <v>0</v>
      </c>
      <c r="G48" s="309" t="s">
        <v>39</v>
      </c>
      <c r="H48" s="310" t="s">
        <v>23</v>
      </c>
      <c r="I48" s="311" t="s">
        <v>24</v>
      </c>
      <c r="J48" s="308" t="s">
        <v>20</v>
      </c>
      <c r="K48" s="389" t="s">
        <v>21</v>
      </c>
      <c r="L48" s="389"/>
      <c r="M48" s="389"/>
      <c r="N48" s="309" t="s">
        <v>22</v>
      </c>
      <c r="O48" s="309" t="s">
        <v>0</v>
      </c>
      <c r="P48" s="309" t="s">
        <v>39</v>
      </c>
      <c r="Q48" s="310" t="s">
        <v>23</v>
      </c>
      <c r="R48" s="311" t="s">
        <v>24</v>
      </c>
      <c r="S48" s="308" t="s">
        <v>20</v>
      </c>
      <c r="T48" s="389" t="s">
        <v>21</v>
      </c>
      <c r="U48" s="389"/>
      <c r="V48" s="389"/>
      <c r="W48" s="309" t="s">
        <v>22</v>
      </c>
      <c r="X48" s="309" t="s">
        <v>0</v>
      </c>
      <c r="Y48" s="309" t="s">
        <v>39</v>
      </c>
      <c r="Z48" s="310" t="s">
        <v>23</v>
      </c>
      <c r="AA48" s="311" t="s">
        <v>24</v>
      </c>
      <c r="AB48" s="308" t="s">
        <v>20</v>
      </c>
      <c r="AC48" s="389" t="s">
        <v>21</v>
      </c>
      <c r="AD48" s="389"/>
      <c r="AE48" s="389"/>
      <c r="AF48" s="309" t="s">
        <v>22</v>
      </c>
      <c r="AG48" s="309" t="s">
        <v>0</v>
      </c>
      <c r="AH48" s="309" t="s">
        <v>39</v>
      </c>
      <c r="AI48" s="310" t="s">
        <v>23</v>
      </c>
      <c r="AJ48" s="311" t="s">
        <v>24</v>
      </c>
      <c r="AK48" s="308" t="s">
        <v>20</v>
      </c>
      <c r="AL48" s="389" t="s">
        <v>21</v>
      </c>
      <c r="AM48" s="389"/>
      <c r="AN48" s="389"/>
      <c r="AO48" s="309" t="s">
        <v>22</v>
      </c>
      <c r="AP48" s="309" t="s">
        <v>0</v>
      </c>
      <c r="AQ48" s="309" t="s">
        <v>39</v>
      </c>
      <c r="AR48" s="310" t="s">
        <v>23</v>
      </c>
      <c r="AS48" s="311" t="s">
        <v>24</v>
      </c>
      <c r="AT48" s="308" t="s">
        <v>20</v>
      </c>
      <c r="AU48" s="389" t="s">
        <v>21</v>
      </c>
      <c r="AV48" s="389"/>
      <c r="AW48" s="389"/>
      <c r="AX48" s="309" t="s">
        <v>22</v>
      </c>
      <c r="AY48" s="309" t="s">
        <v>0</v>
      </c>
      <c r="AZ48" s="309" t="s">
        <v>39</v>
      </c>
      <c r="BA48" s="310" t="s">
        <v>23</v>
      </c>
      <c r="BB48" s="311" t="s">
        <v>24</v>
      </c>
      <c r="BC48" s="308" t="s">
        <v>20</v>
      </c>
      <c r="BD48" s="389" t="s">
        <v>21</v>
      </c>
      <c r="BE48" s="389"/>
      <c r="BF48" s="389"/>
      <c r="BG48" s="309" t="s">
        <v>22</v>
      </c>
      <c r="BH48" s="309" t="s">
        <v>0</v>
      </c>
      <c r="BI48" s="309" t="s">
        <v>39</v>
      </c>
      <c r="BJ48" s="310" t="s">
        <v>23</v>
      </c>
      <c r="BK48" s="311" t="s">
        <v>24</v>
      </c>
    </row>
    <row r="49" spans="1:63">
      <c r="A49" s="312"/>
      <c r="B49" s="385" t="str">
        <f>IF(A49="","",VLOOKUP(A49,案件コード!$A$1:$B$31,2,FALSE()))</f>
        <v/>
      </c>
      <c r="C49" s="385"/>
      <c r="D49" s="385"/>
      <c r="E49" s="113" t="str">
        <f t="shared" ref="E49:E63" si="14">IF(AND(F49="",G49=""),"",SUM(F49:G49))</f>
        <v/>
      </c>
      <c r="F49" s="285"/>
      <c r="G49" s="284"/>
      <c r="H49" s="286"/>
      <c r="I49" s="321"/>
      <c r="J49" s="312"/>
      <c r="K49" s="385" t="str">
        <f>IF(J49="","",VLOOKUP(J49,案件コード!$A$1:$B$31,2,FALSE()))</f>
        <v/>
      </c>
      <c r="L49" s="385"/>
      <c r="M49" s="385"/>
      <c r="N49" s="113" t="str">
        <f t="shared" ref="N49:N63" si="15">IF(AND(O49="",P49=""),"",SUM(O49:P49))</f>
        <v/>
      </c>
      <c r="O49" s="285"/>
      <c r="P49" s="284"/>
      <c r="Q49" s="286"/>
      <c r="R49" s="321"/>
      <c r="S49" s="312"/>
      <c r="T49" s="385" t="str">
        <f>IF(S49="","",VLOOKUP(S49,案件コード!$A$1:$B$31,2,FALSE()))</f>
        <v/>
      </c>
      <c r="U49" s="385"/>
      <c r="V49" s="385"/>
      <c r="W49" s="113" t="str">
        <f t="shared" ref="W49:W63" si="16">IF(AND(X49="",Y49=""),"",SUM(X49:Y49))</f>
        <v/>
      </c>
      <c r="X49" s="285"/>
      <c r="Y49" s="284"/>
      <c r="Z49" s="286"/>
      <c r="AA49" s="321"/>
      <c r="AB49" s="312"/>
      <c r="AC49" s="385" t="str">
        <f>IF(AB49="","",VLOOKUP(AB49,案件コード!$A$1:$B$31,2,FALSE()))</f>
        <v/>
      </c>
      <c r="AD49" s="385"/>
      <c r="AE49" s="385"/>
      <c r="AF49" s="113" t="str">
        <f t="shared" ref="AF49:AF63" si="17">IF(AND(AG49="",AH49=""),"",SUM(AG49:AH49))</f>
        <v/>
      </c>
      <c r="AG49" s="285"/>
      <c r="AH49" s="284"/>
      <c r="AI49" s="286"/>
      <c r="AJ49" s="321"/>
      <c r="AK49" s="312"/>
      <c r="AL49" s="385" t="str">
        <f>IF(AK49="","",VLOOKUP(AK49,案件コード!$A$1:$B$31,2,FALSE()))</f>
        <v/>
      </c>
      <c r="AM49" s="385"/>
      <c r="AN49" s="385"/>
      <c r="AO49" s="113" t="str">
        <f t="shared" ref="AO49:AO63" si="18">IF(AND(AP49="",AQ49=""),"",SUM(AP49:AQ49))</f>
        <v/>
      </c>
      <c r="AP49" s="285"/>
      <c r="AQ49" s="284"/>
      <c r="AR49" s="286"/>
      <c r="AS49" s="321"/>
      <c r="AT49" s="312"/>
      <c r="AU49" s="385" t="str">
        <f>IF(AT49="","",VLOOKUP(AT49,案件コード!$A$1:$B$31,2,FALSE()))</f>
        <v/>
      </c>
      <c r="AV49" s="385"/>
      <c r="AW49" s="385"/>
      <c r="AX49" s="113" t="str">
        <f t="shared" ref="AX49:AX63" si="19">IF(AND(AY49="",AZ49=""),"",SUM(AY49:AZ49))</f>
        <v/>
      </c>
      <c r="AY49" s="285"/>
      <c r="AZ49" s="284"/>
      <c r="BA49" s="286"/>
      <c r="BB49" s="321"/>
      <c r="BC49" s="312"/>
      <c r="BD49" s="385" t="str">
        <f>IF(BC49="","",VLOOKUP(BC49,案件コード!$A$1:$B$31,2,FALSE()))</f>
        <v/>
      </c>
      <c r="BE49" s="385"/>
      <c r="BF49" s="385"/>
      <c r="BG49" s="113" t="str">
        <f t="shared" ref="BG49:BG63" si="20">IF(AND(BH49="",BI49=""),"",SUM(BH49:BI49))</f>
        <v/>
      </c>
      <c r="BH49" s="285"/>
      <c r="BI49" s="284"/>
      <c r="BJ49" s="286"/>
      <c r="BK49" s="321"/>
    </row>
    <row r="50" spans="1:63">
      <c r="A50" s="312"/>
      <c r="B50" s="385" t="str">
        <f>IF(A50="","",VLOOKUP(A50,案件コード!$A$1:$B$31,2,FALSE()))</f>
        <v/>
      </c>
      <c r="C50" s="385"/>
      <c r="D50" s="385"/>
      <c r="E50" s="113" t="str">
        <f t="shared" si="14"/>
        <v/>
      </c>
      <c r="F50" s="285"/>
      <c r="G50" s="284"/>
      <c r="H50" s="286"/>
      <c r="I50" s="322"/>
      <c r="J50" s="312"/>
      <c r="K50" s="385" t="str">
        <f>IF(J50="","",VLOOKUP(J50,案件コード!$A$1:$B$31,2,FALSE()))</f>
        <v/>
      </c>
      <c r="L50" s="385"/>
      <c r="M50" s="385"/>
      <c r="N50" s="113" t="str">
        <f t="shared" si="15"/>
        <v/>
      </c>
      <c r="O50" s="285"/>
      <c r="P50" s="284"/>
      <c r="Q50" s="286"/>
      <c r="R50" s="322"/>
      <c r="S50" s="312"/>
      <c r="T50" s="385" t="str">
        <f>IF(S50="","",VLOOKUP(S50,案件コード!$A$1:$B$31,2,FALSE()))</f>
        <v/>
      </c>
      <c r="U50" s="385"/>
      <c r="V50" s="385"/>
      <c r="W50" s="113" t="str">
        <f t="shared" si="16"/>
        <v/>
      </c>
      <c r="X50" s="285"/>
      <c r="Y50" s="284"/>
      <c r="Z50" s="286"/>
      <c r="AA50" s="322"/>
      <c r="AB50" s="312"/>
      <c r="AC50" s="385" t="str">
        <f>IF(AB50="","",VLOOKUP(AB50,案件コード!$A$1:$B$31,2,FALSE()))</f>
        <v/>
      </c>
      <c r="AD50" s="385"/>
      <c r="AE50" s="385"/>
      <c r="AF50" s="113" t="str">
        <f t="shared" si="17"/>
        <v/>
      </c>
      <c r="AG50" s="285"/>
      <c r="AH50" s="284"/>
      <c r="AI50" s="286"/>
      <c r="AJ50" s="322"/>
      <c r="AK50" s="312"/>
      <c r="AL50" s="385" t="str">
        <f>IF(AK50="","",VLOOKUP(AK50,案件コード!$A$1:$B$31,2,FALSE()))</f>
        <v/>
      </c>
      <c r="AM50" s="385"/>
      <c r="AN50" s="385"/>
      <c r="AO50" s="113" t="str">
        <f t="shared" si="18"/>
        <v/>
      </c>
      <c r="AP50" s="285"/>
      <c r="AQ50" s="284"/>
      <c r="AR50" s="286"/>
      <c r="AS50" s="322"/>
      <c r="AT50" s="312"/>
      <c r="AU50" s="385" t="str">
        <f>IF(AT50="","",VLOOKUP(AT50,案件コード!$A$1:$B$31,2,FALSE()))</f>
        <v/>
      </c>
      <c r="AV50" s="385"/>
      <c r="AW50" s="385"/>
      <c r="AX50" s="113" t="str">
        <f t="shared" si="19"/>
        <v/>
      </c>
      <c r="AY50" s="285"/>
      <c r="AZ50" s="284"/>
      <c r="BA50" s="286"/>
      <c r="BB50" s="322"/>
      <c r="BC50" s="312"/>
      <c r="BD50" s="385" t="str">
        <f>IF(BC50="","",VLOOKUP(BC50,案件コード!$A$1:$B$31,2,FALSE()))</f>
        <v/>
      </c>
      <c r="BE50" s="385"/>
      <c r="BF50" s="385"/>
      <c r="BG50" s="113" t="str">
        <f t="shared" si="20"/>
        <v/>
      </c>
      <c r="BH50" s="285"/>
      <c r="BI50" s="284"/>
      <c r="BJ50" s="286"/>
      <c r="BK50" s="322"/>
    </row>
    <row r="51" spans="1:63">
      <c r="A51" s="312"/>
      <c r="B51" s="385" t="str">
        <f>IF(A51="","",VLOOKUP(A51,案件コード!$A$1:$B$31,2,FALSE()))</f>
        <v/>
      </c>
      <c r="C51" s="385"/>
      <c r="D51" s="385"/>
      <c r="E51" s="113" t="str">
        <f t="shared" si="14"/>
        <v/>
      </c>
      <c r="F51" s="285"/>
      <c r="G51" s="284"/>
      <c r="H51" s="286"/>
      <c r="I51" s="322"/>
      <c r="J51" s="312"/>
      <c r="K51" s="385" t="str">
        <f>IF(J51="","",VLOOKUP(J51,案件コード!$A$1:$B$31,2,FALSE()))</f>
        <v/>
      </c>
      <c r="L51" s="385"/>
      <c r="M51" s="385"/>
      <c r="N51" s="113" t="str">
        <f t="shared" si="15"/>
        <v/>
      </c>
      <c r="O51" s="285"/>
      <c r="P51" s="284"/>
      <c r="Q51" s="286"/>
      <c r="R51" s="322"/>
      <c r="S51" s="312"/>
      <c r="T51" s="385" t="str">
        <f>IF(S51="","",VLOOKUP(S51,案件コード!$A$1:$B$31,2,FALSE()))</f>
        <v/>
      </c>
      <c r="U51" s="385"/>
      <c r="V51" s="385"/>
      <c r="W51" s="113" t="str">
        <f t="shared" si="16"/>
        <v/>
      </c>
      <c r="X51" s="285"/>
      <c r="Y51" s="284"/>
      <c r="Z51" s="286"/>
      <c r="AA51" s="322"/>
      <c r="AB51" s="312"/>
      <c r="AC51" s="385" t="str">
        <f>IF(AB51="","",VLOOKUP(AB51,案件コード!$A$1:$B$31,2,FALSE()))</f>
        <v/>
      </c>
      <c r="AD51" s="385"/>
      <c r="AE51" s="385"/>
      <c r="AF51" s="113" t="str">
        <f t="shared" si="17"/>
        <v/>
      </c>
      <c r="AG51" s="285"/>
      <c r="AH51" s="284"/>
      <c r="AI51" s="286"/>
      <c r="AJ51" s="322"/>
      <c r="AK51" s="312"/>
      <c r="AL51" s="385" t="str">
        <f>IF(AK51="","",VLOOKUP(AK51,案件コード!$A$1:$B$31,2,FALSE()))</f>
        <v/>
      </c>
      <c r="AM51" s="385"/>
      <c r="AN51" s="385"/>
      <c r="AO51" s="113" t="str">
        <f t="shared" si="18"/>
        <v/>
      </c>
      <c r="AP51" s="285"/>
      <c r="AQ51" s="284"/>
      <c r="AR51" s="286"/>
      <c r="AS51" s="322"/>
      <c r="AT51" s="312"/>
      <c r="AU51" s="385" t="str">
        <f>IF(AT51="","",VLOOKUP(AT51,案件コード!$A$1:$B$31,2,FALSE()))</f>
        <v/>
      </c>
      <c r="AV51" s="385"/>
      <c r="AW51" s="385"/>
      <c r="AX51" s="113" t="str">
        <f t="shared" si="19"/>
        <v/>
      </c>
      <c r="AY51" s="285"/>
      <c r="AZ51" s="284"/>
      <c r="BA51" s="286"/>
      <c r="BB51" s="322"/>
      <c r="BC51" s="312"/>
      <c r="BD51" s="385" t="str">
        <f>IF(BC51="","",VLOOKUP(BC51,案件コード!$A$1:$B$31,2,FALSE()))</f>
        <v/>
      </c>
      <c r="BE51" s="385"/>
      <c r="BF51" s="385"/>
      <c r="BG51" s="113" t="str">
        <f t="shared" si="20"/>
        <v/>
      </c>
      <c r="BH51" s="285"/>
      <c r="BI51" s="284"/>
      <c r="BJ51" s="286"/>
      <c r="BK51" s="322"/>
    </row>
    <row r="52" spans="1:63">
      <c r="A52" s="312"/>
      <c r="B52" s="385" t="str">
        <f>IF(A52="","",VLOOKUP(A52,案件コード!$A$1:$B$31,2,FALSE()))</f>
        <v/>
      </c>
      <c r="C52" s="385"/>
      <c r="D52" s="385"/>
      <c r="E52" s="113" t="str">
        <f t="shared" si="14"/>
        <v/>
      </c>
      <c r="F52" s="285"/>
      <c r="G52" s="284"/>
      <c r="H52" s="286"/>
      <c r="I52" s="322"/>
      <c r="J52" s="312"/>
      <c r="K52" s="385" t="str">
        <f>IF(J52="","",VLOOKUP(J52,案件コード!$A$1:$B$31,2,FALSE()))</f>
        <v/>
      </c>
      <c r="L52" s="385"/>
      <c r="M52" s="385"/>
      <c r="N52" s="113" t="str">
        <f t="shared" si="15"/>
        <v/>
      </c>
      <c r="O52" s="285"/>
      <c r="P52" s="284"/>
      <c r="Q52" s="286"/>
      <c r="R52" s="322"/>
      <c r="S52" s="312"/>
      <c r="T52" s="385" t="str">
        <f>IF(S52="","",VLOOKUP(S52,案件コード!$A$1:$B$31,2,FALSE()))</f>
        <v/>
      </c>
      <c r="U52" s="385"/>
      <c r="V52" s="385"/>
      <c r="W52" s="113" t="str">
        <f t="shared" si="16"/>
        <v/>
      </c>
      <c r="X52" s="285"/>
      <c r="Y52" s="284"/>
      <c r="Z52" s="286"/>
      <c r="AA52" s="322"/>
      <c r="AB52" s="312"/>
      <c r="AC52" s="385" t="str">
        <f>IF(AB52="","",VLOOKUP(AB52,案件コード!$A$1:$B$31,2,FALSE()))</f>
        <v/>
      </c>
      <c r="AD52" s="385"/>
      <c r="AE52" s="385"/>
      <c r="AF52" s="113" t="str">
        <f t="shared" si="17"/>
        <v/>
      </c>
      <c r="AG52" s="285"/>
      <c r="AH52" s="284"/>
      <c r="AI52" s="286"/>
      <c r="AJ52" s="322"/>
      <c r="AK52" s="312"/>
      <c r="AL52" s="385" t="str">
        <f>IF(AK52="","",VLOOKUP(AK52,案件コード!$A$1:$B$31,2,FALSE()))</f>
        <v/>
      </c>
      <c r="AM52" s="385"/>
      <c r="AN52" s="385"/>
      <c r="AO52" s="113" t="str">
        <f t="shared" si="18"/>
        <v/>
      </c>
      <c r="AP52" s="285"/>
      <c r="AQ52" s="284"/>
      <c r="AR52" s="286"/>
      <c r="AS52" s="322"/>
      <c r="AT52" s="312"/>
      <c r="AU52" s="385" t="str">
        <f>IF(AT52="","",VLOOKUP(AT52,案件コード!$A$1:$B$31,2,FALSE()))</f>
        <v/>
      </c>
      <c r="AV52" s="385"/>
      <c r="AW52" s="385"/>
      <c r="AX52" s="113" t="str">
        <f t="shared" si="19"/>
        <v/>
      </c>
      <c r="AY52" s="285"/>
      <c r="AZ52" s="284"/>
      <c r="BA52" s="286"/>
      <c r="BB52" s="322"/>
      <c r="BC52" s="312"/>
      <c r="BD52" s="385" t="str">
        <f>IF(BC52="","",VLOOKUP(BC52,案件コード!$A$1:$B$31,2,FALSE()))</f>
        <v/>
      </c>
      <c r="BE52" s="385"/>
      <c r="BF52" s="385"/>
      <c r="BG52" s="113" t="str">
        <f t="shared" si="20"/>
        <v/>
      </c>
      <c r="BH52" s="285"/>
      <c r="BI52" s="284"/>
      <c r="BJ52" s="286"/>
      <c r="BK52" s="322"/>
    </row>
    <row r="53" spans="1:63">
      <c r="A53" s="312"/>
      <c r="B53" s="385" t="str">
        <f>IF(A53="","",VLOOKUP(A53,案件コード!$A$1:$B$31,2,FALSE()))</f>
        <v/>
      </c>
      <c r="C53" s="385"/>
      <c r="D53" s="385"/>
      <c r="E53" s="113" t="str">
        <f t="shared" si="14"/>
        <v/>
      </c>
      <c r="F53" s="285"/>
      <c r="G53" s="284"/>
      <c r="H53" s="286"/>
      <c r="I53" s="322"/>
      <c r="J53" s="312"/>
      <c r="K53" s="385" t="str">
        <f>IF(J53="","",VLOOKUP(J53,案件コード!$A$1:$B$31,2,FALSE()))</f>
        <v/>
      </c>
      <c r="L53" s="385"/>
      <c r="M53" s="385"/>
      <c r="N53" s="113" t="str">
        <f t="shared" si="15"/>
        <v/>
      </c>
      <c r="O53" s="285"/>
      <c r="P53" s="284"/>
      <c r="Q53" s="286"/>
      <c r="R53" s="322"/>
      <c r="S53" s="312"/>
      <c r="T53" s="385" t="str">
        <f>IF(S53="","",VLOOKUP(S53,案件コード!$A$1:$B$31,2,FALSE()))</f>
        <v/>
      </c>
      <c r="U53" s="385"/>
      <c r="V53" s="385"/>
      <c r="W53" s="113" t="str">
        <f t="shared" si="16"/>
        <v/>
      </c>
      <c r="X53" s="285"/>
      <c r="Y53" s="284"/>
      <c r="Z53" s="286"/>
      <c r="AA53" s="322"/>
      <c r="AB53" s="312"/>
      <c r="AC53" s="385" t="str">
        <f>IF(AB53="","",VLOOKUP(AB53,案件コード!$A$1:$B$31,2,FALSE()))</f>
        <v/>
      </c>
      <c r="AD53" s="385"/>
      <c r="AE53" s="385"/>
      <c r="AF53" s="113" t="str">
        <f t="shared" si="17"/>
        <v/>
      </c>
      <c r="AG53" s="285"/>
      <c r="AH53" s="284"/>
      <c r="AI53" s="286"/>
      <c r="AJ53" s="322"/>
      <c r="AK53" s="312"/>
      <c r="AL53" s="385" t="str">
        <f>IF(AK53="","",VLOOKUP(AK53,案件コード!$A$1:$B$31,2,FALSE()))</f>
        <v/>
      </c>
      <c r="AM53" s="385"/>
      <c r="AN53" s="385"/>
      <c r="AO53" s="113" t="str">
        <f t="shared" si="18"/>
        <v/>
      </c>
      <c r="AP53" s="285"/>
      <c r="AQ53" s="284"/>
      <c r="AR53" s="286"/>
      <c r="AS53" s="322"/>
      <c r="AT53" s="312"/>
      <c r="AU53" s="385" t="str">
        <f>IF(AT53="","",VLOOKUP(AT53,案件コード!$A$1:$B$31,2,FALSE()))</f>
        <v/>
      </c>
      <c r="AV53" s="385"/>
      <c r="AW53" s="385"/>
      <c r="AX53" s="113" t="str">
        <f t="shared" si="19"/>
        <v/>
      </c>
      <c r="AY53" s="285"/>
      <c r="AZ53" s="284"/>
      <c r="BA53" s="286"/>
      <c r="BB53" s="322"/>
      <c r="BC53" s="312"/>
      <c r="BD53" s="385" t="str">
        <f>IF(BC53="","",VLOOKUP(BC53,案件コード!$A$1:$B$31,2,FALSE()))</f>
        <v/>
      </c>
      <c r="BE53" s="385"/>
      <c r="BF53" s="385"/>
      <c r="BG53" s="113" t="str">
        <f t="shared" si="20"/>
        <v/>
      </c>
      <c r="BH53" s="285"/>
      <c r="BI53" s="284"/>
      <c r="BJ53" s="286"/>
      <c r="BK53" s="322"/>
    </row>
    <row r="54" spans="1:63">
      <c r="A54" s="312"/>
      <c r="B54" s="385" t="str">
        <f>IF(A54="","",VLOOKUP(A54,案件コード!$A$1:$B$31,2,FALSE()))</f>
        <v/>
      </c>
      <c r="C54" s="385"/>
      <c r="D54" s="385"/>
      <c r="E54" s="113" t="str">
        <f t="shared" si="14"/>
        <v/>
      </c>
      <c r="F54" s="285"/>
      <c r="G54" s="284"/>
      <c r="H54" s="286"/>
      <c r="I54" s="322"/>
      <c r="J54" s="312"/>
      <c r="K54" s="385" t="str">
        <f>IF(J54="","",VLOOKUP(J54,案件コード!$A$1:$B$31,2,FALSE()))</f>
        <v/>
      </c>
      <c r="L54" s="385"/>
      <c r="M54" s="385"/>
      <c r="N54" s="113" t="str">
        <f t="shared" si="15"/>
        <v/>
      </c>
      <c r="O54" s="285"/>
      <c r="P54" s="284"/>
      <c r="Q54" s="286"/>
      <c r="R54" s="322"/>
      <c r="S54" s="312"/>
      <c r="T54" s="385" t="str">
        <f>IF(S54="","",VLOOKUP(S54,案件コード!$A$1:$B$31,2,FALSE()))</f>
        <v/>
      </c>
      <c r="U54" s="385"/>
      <c r="V54" s="385"/>
      <c r="W54" s="113" t="str">
        <f t="shared" si="16"/>
        <v/>
      </c>
      <c r="X54" s="285"/>
      <c r="Y54" s="284"/>
      <c r="Z54" s="286"/>
      <c r="AA54" s="322"/>
      <c r="AB54" s="312"/>
      <c r="AC54" s="385" t="str">
        <f>IF(AB54="","",VLOOKUP(AB54,案件コード!$A$1:$B$31,2,FALSE()))</f>
        <v/>
      </c>
      <c r="AD54" s="385"/>
      <c r="AE54" s="385"/>
      <c r="AF54" s="113" t="str">
        <f t="shared" si="17"/>
        <v/>
      </c>
      <c r="AG54" s="285"/>
      <c r="AH54" s="284"/>
      <c r="AI54" s="286"/>
      <c r="AJ54" s="322"/>
      <c r="AK54" s="312"/>
      <c r="AL54" s="385" t="str">
        <f>IF(AK54="","",VLOOKUP(AK54,案件コード!$A$1:$B$31,2,FALSE()))</f>
        <v/>
      </c>
      <c r="AM54" s="385"/>
      <c r="AN54" s="385"/>
      <c r="AO54" s="113" t="str">
        <f t="shared" si="18"/>
        <v/>
      </c>
      <c r="AP54" s="285"/>
      <c r="AQ54" s="284"/>
      <c r="AR54" s="286"/>
      <c r="AS54" s="322"/>
      <c r="AT54" s="312"/>
      <c r="AU54" s="385" t="str">
        <f>IF(AT54="","",VLOOKUP(AT54,案件コード!$A$1:$B$31,2,FALSE()))</f>
        <v/>
      </c>
      <c r="AV54" s="385"/>
      <c r="AW54" s="385"/>
      <c r="AX54" s="113" t="str">
        <f t="shared" si="19"/>
        <v/>
      </c>
      <c r="AY54" s="285"/>
      <c r="AZ54" s="284"/>
      <c r="BA54" s="286"/>
      <c r="BB54" s="322"/>
      <c r="BC54" s="312"/>
      <c r="BD54" s="385" t="str">
        <f>IF(BC54="","",VLOOKUP(BC54,案件コード!$A$1:$B$31,2,FALSE()))</f>
        <v/>
      </c>
      <c r="BE54" s="385"/>
      <c r="BF54" s="385"/>
      <c r="BG54" s="113" t="str">
        <f t="shared" si="20"/>
        <v/>
      </c>
      <c r="BH54" s="285"/>
      <c r="BI54" s="284"/>
      <c r="BJ54" s="286"/>
      <c r="BK54" s="322"/>
    </row>
    <row r="55" spans="1:63">
      <c r="A55" s="312"/>
      <c r="B55" s="385" t="str">
        <f>IF(A55="","",VLOOKUP(A55,案件コード!$A$1:$B$31,2,FALSE()))</f>
        <v/>
      </c>
      <c r="C55" s="385"/>
      <c r="D55" s="385"/>
      <c r="E55" s="113" t="str">
        <f t="shared" si="14"/>
        <v/>
      </c>
      <c r="F55" s="285"/>
      <c r="G55" s="284"/>
      <c r="H55" s="286"/>
      <c r="I55" s="322"/>
      <c r="J55" s="312"/>
      <c r="K55" s="385" t="str">
        <f>IF(J55="","",VLOOKUP(J55,案件コード!$A$1:$B$31,2,FALSE()))</f>
        <v/>
      </c>
      <c r="L55" s="385"/>
      <c r="M55" s="385"/>
      <c r="N55" s="113" t="str">
        <f t="shared" si="15"/>
        <v/>
      </c>
      <c r="O55" s="285"/>
      <c r="P55" s="284"/>
      <c r="Q55" s="286"/>
      <c r="R55" s="322"/>
      <c r="S55" s="312"/>
      <c r="T55" s="385" t="str">
        <f>IF(S55="","",VLOOKUP(S55,案件コード!$A$1:$B$31,2,FALSE()))</f>
        <v/>
      </c>
      <c r="U55" s="385"/>
      <c r="V55" s="385"/>
      <c r="W55" s="113" t="str">
        <f t="shared" si="16"/>
        <v/>
      </c>
      <c r="X55" s="285"/>
      <c r="Y55" s="284"/>
      <c r="Z55" s="286"/>
      <c r="AA55" s="322"/>
      <c r="AB55" s="312"/>
      <c r="AC55" s="385" t="str">
        <f>IF(AB55="","",VLOOKUP(AB55,案件コード!$A$1:$B$31,2,FALSE()))</f>
        <v/>
      </c>
      <c r="AD55" s="385"/>
      <c r="AE55" s="385"/>
      <c r="AF55" s="113" t="str">
        <f t="shared" si="17"/>
        <v/>
      </c>
      <c r="AG55" s="285"/>
      <c r="AH55" s="284"/>
      <c r="AI55" s="286"/>
      <c r="AJ55" s="322"/>
      <c r="AK55" s="312"/>
      <c r="AL55" s="385" t="str">
        <f>IF(AK55="","",VLOOKUP(AK55,案件コード!$A$1:$B$31,2,FALSE()))</f>
        <v/>
      </c>
      <c r="AM55" s="385"/>
      <c r="AN55" s="385"/>
      <c r="AO55" s="113" t="str">
        <f t="shared" si="18"/>
        <v/>
      </c>
      <c r="AP55" s="285"/>
      <c r="AQ55" s="284"/>
      <c r="AR55" s="286"/>
      <c r="AS55" s="322"/>
      <c r="AT55" s="312"/>
      <c r="AU55" s="385" t="str">
        <f>IF(AT55="","",VLOOKUP(AT55,案件コード!$A$1:$B$31,2,FALSE()))</f>
        <v/>
      </c>
      <c r="AV55" s="385"/>
      <c r="AW55" s="385"/>
      <c r="AX55" s="113" t="str">
        <f t="shared" si="19"/>
        <v/>
      </c>
      <c r="AY55" s="285"/>
      <c r="AZ55" s="284"/>
      <c r="BA55" s="286"/>
      <c r="BB55" s="322"/>
      <c r="BC55" s="312"/>
      <c r="BD55" s="385" t="str">
        <f>IF(BC55="","",VLOOKUP(BC55,案件コード!$A$1:$B$31,2,FALSE()))</f>
        <v/>
      </c>
      <c r="BE55" s="385"/>
      <c r="BF55" s="385"/>
      <c r="BG55" s="113" t="str">
        <f t="shared" si="20"/>
        <v/>
      </c>
      <c r="BH55" s="285"/>
      <c r="BI55" s="284"/>
      <c r="BJ55" s="286"/>
      <c r="BK55" s="322"/>
    </row>
    <row r="56" spans="1:63">
      <c r="A56" s="312"/>
      <c r="B56" s="385" t="str">
        <f>IF(A56="","",VLOOKUP(A56,案件コード!$A$1:$B$31,2,FALSE()))</f>
        <v/>
      </c>
      <c r="C56" s="385"/>
      <c r="D56" s="385"/>
      <c r="E56" s="113" t="str">
        <f t="shared" si="14"/>
        <v/>
      </c>
      <c r="F56" s="285"/>
      <c r="G56" s="284"/>
      <c r="H56" s="286"/>
      <c r="I56" s="322"/>
      <c r="J56" s="312"/>
      <c r="K56" s="385" t="str">
        <f>IF(J56="","",VLOOKUP(J56,案件コード!$A$1:$B$31,2,FALSE()))</f>
        <v/>
      </c>
      <c r="L56" s="385"/>
      <c r="M56" s="385"/>
      <c r="N56" s="113" t="str">
        <f t="shared" si="15"/>
        <v/>
      </c>
      <c r="O56" s="285"/>
      <c r="P56" s="284"/>
      <c r="Q56" s="286"/>
      <c r="R56" s="322"/>
      <c r="S56" s="312"/>
      <c r="T56" s="385" t="str">
        <f>IF(S56="","",VLOOKUP(S56,案件コード!$A$1:$B$31,2,FALSE()))</f>
        <v/>
      </c>
      <c r="U56" s="385"/>
      <c r="V56" s="385"/>
      <c r="W56" s="113" t="str">
        <f t="shared" si="16"/>
        <v/>
      </c>
      <c r="X56" s="285"/>
      <c r="Y56" s="284"/>
      <c r="Z56" s="286"/>
      <c r="AA56" s="322"/>
      <c r="AB56" s="312"/>
      <c r="AC56" s="385" t="str">
        <f>IF(AB56="","",VLOOKUP(AB56,案件コード!$A$1:$B$31,2,FALSE()))</f>
        <v/>
      </c>
      <c r="AD56" s="385"/>
      <c r="AE56" s="385"/>
      <c r="AF56" s="113" t="str">
        <f t="shared" si="17"/>
        <v/>
      </c>
      <c r="AG56" s="285"/>
      <c r="AH56" s="284"/>
      <c r="AI56" s="286"/>
      <c r="AJ56" s="322"/>
      <c r="AK56" s="312"/>
      <c r="AL56" s="385" t="str">
        <f>IF(AK56="","",VLOOKUP(AK56,案件コード!$A$1:$B$31,2,FALSE()))</f>
        <v/>
      </c>
      <c r="AM56" s="385"/>
      <c r="AN56" s="385"/>
      <c r="AO56" s="113" t="str">
        <f t="shared" si="18"/>
        <v/>
      </c>
      <c r="AP56" s="285"/>
      <c r="AQ56" s="284"/>
      <c r="AR56" s="286"/>
      <c r="AS56" s="322"/>
      <c r="AT56" s="312"/>
      <c r="AU56" s="385" t="str">
        <f>IF(AT56="","",VLOOKUP(AT56,案件コード!$A$1:$B$31,2,FALSE()))</f>
        <v/>
      </c>
      <c r="AV56" s="385"/>
      <c r="AW56" s="385"/>
      <c r="AX56" s="113" t="str">
        <f t="shared" si="19"/>
        <v/>
      </c>
      <c r="AY56" s="285"/>
      <c r="AZ56" s="284"/>
      <c r="BA56" s="286"/>
      <c r="BB56" s="322"/>
      <c r="BC56" s="312"/>
      <c r="BD56" s="385" t="str">
        <f>IF(BC56="","",VLOOKUP(BC56,案件コード!$A$1:$B$31,2,FALSE()))</f>
        <v/>
      </c>
      <c r="BE56" s="385"/>
      <c r="BF56" s="385"/>
      <c r="BG56" s="113" t="str">
        <f t="shared" si="20"/>
        <v/>
      </c>
      <c r="BH56" s="285"/>
      <c r="BI56" s="284"/>
      <c r="BJ56" s="286"/>
      <c r="BK56" s="322"/>
    </row>
    <row r="57" spans="1:63">
      <c r="A57" s="312"/>
      <c r="B57" s="385" t="str">
        <f>IF(A57="","",VLOOKUP(A57,案件コード!$A$1:$B$31,2,FALSE()))</f>
        <v/>
      </c>
      <c r="C57" s="385"/>
      <c r="D57" s="385"/>
      <c r="E57" s="113" t="str">
        <f t="shared" si="14"/>
        <v/>
      </c>
      <c r="F57" s="285"/>
      <c r="G57" s="284"/>
      <c r="H57" s="286"/>
      <c r="I57" s="322"/>
      <c r="J57" s="312"/>
      <c r="K57" s="385" t="str">
        <f>IF(J57="","",VLOOKUP(J57,案件コード!$A$1:$B$31,2,FALSE()))</f>
        <v/>
      </c>
      <c r="L57" s="385"/>
      <c r="M57" s="385"/>
      <c r="N57" s="113" t="str">
        <f t="shared" si="15"/>
        <v/>
      </c>
      <c r="O57" s="285"/>
      <c r="P57" s="284"/>
      <c r="Q57" s="286"/>
      <c r="R57" s="322"/>
      <c r="S57" s="312"/>
      <c r="T57" s="385" t="str">
        <f>IF(S57="","",VLOOKUP(S57,案件コード!$A$1:$B$31,2,FALSE()))</f>
        <v/>
      </c>
      <c r="U57" s="385"/>
      <c r="V57" s="385"/>
      <c r="W57" s="113" t="str">
        <f t="shared" si="16"/>
        <v/>
      </c>
      <c r="X57" s="285"/>
      <c r="Y57" s="284"/>
      <c r="Z57" s="286"/>
      <c r="AA57" s="322"/>
      <c r="AB57" s="312"/>
      <c r="AC57" s="385" t="str">
        <f>IF(AB57="","",VLOOKUP(AB57,案件コード!$A$1:$B$31,2,FALSE()))</f>
        <v/>
      </c>
      <c r="AD57" s="385"/>
      <c r="AE57" s="385"/>
      <c r="AF57" s="113" t="str">
        <f t="shared" si="17"/>
        <v/>
      </c>
      <c r="AG57" s="285"/>
      <c r="AH57" s="284"/>
      <c r="AI57" s="286"/>
      <c r="AJ57" s="322"/>
      <c r="AK57" s="312"/>
      <c r="AL57" s="385" t="str">
        <f>IF(AK57="","",VLOOKUP(AK57,案件コード!$A$1:$B$31,2,FALSE()))</f>
        <v/>
      </c>
      <c r="AM57" s="385"/>
      <c r="AN57" s="385"/>
      <c r="AO57" s="113" t="str">
        <f t="shared" si="18"/>
        <v/>
      </c>
      <c r="AP57" s="285"/>
      <c r="AQ57" s="284"/>
      <c r="AR57" s="286"/>
      <c r="AS57" s="322"/>
      <c r="AT57" s="312"/>
      <c r="AU57" s="385" t="str">
        <f>IF(AT57="","",VLOOKUP(AT57,案件コード!$A$1:$B$31,2,FALSE()))</f>
        <v/>
      </c>
      <c r="AV57" s="385"/>
      <c r="AW57" s="385"/>
      <c r="AX57" s="113" t="str">
        <f t="shared" si="19"/>
        <v/>
      </c>
      <c r="AY57" s="285"/>
      <c r="AZ57" s="284"/>
      <c r="BA57" s="286"/>
      <c r="BB57" s="322"/>
      <c r="BC57" s="312"/>
      <c r="BD57" s="385" t="str">
        <f>IF(BC57="","",VLOOKUP(BC57,案件コード!$A$1:$B$31,2,FALSE()))</f>
        <v/>
      </c>
      <c r="BE57" s="385"/>
      <c r="BF57" s="385"/>
      <c r="BG57" s="113" t="str">
        <f t="shared" si="20"/>
        <v/>
      </c>
      <c r="BH57" s="285"/>
      <c r="BI57" s="284"/>
      <c r="BJ57" s="286"/>
      <c r="BK57" s="322"/>
    </row>
    <row r="58" spans="1:63">
      <c r="A58" s="312"/>
      <c r="B58" s="385" t="str">
        <f>IF(A58="","",VLOOKUP(A58,案件コード!$A$1:$B$31,2,FALSE()))</f>
        <v/>
      </c>
      <c r="C58" s="385"/>
      <c r="D58" s="385"/>
      <c r="E58" s="113" t="str">
        <f t="shared" si="14"/>
        <v/>
      </c>
      <c r="F58" s="285"/>
      <c r="G58" s="284"/>
      <c r="H58" s="286"/>
      <c r="I58" s="322"/>
      <c r="J58" s="312"/>
      <c r="K58" s="385" t="str">
        <f>IF(J58="","",VLOOKUP(J58,案件コード!$A$1:$B$31,2,FALSE()))</f>
        <v/>
      </c>
      <c r="L58" s="385"/>
      <c r="M58" s="385"/>
      <c r="N58" s="113" t="str">
        <f t="shared" si="15"/>
        <v/>
      </c>
      <c r="O58" s="285"/>
      <c r="P58" s="284"/>
      <c r="Q58" s="286"/>
      <c r="R58" s="322"/>
      <c r="S58" s="312"/>
      <c r="T58" s="385" t="str">
        <f>IF(S58="","",VLOOKUP(S58,案件コード!$A$1:$B$31,2,FALSE()))</f>
        <v/>
      </c>
      <c r="U58" s="385"/>
      <c r="V58" s="385"/>
      <c r="W58" s="113" t="str">
        <f t="shared" si="16"/>
        <v/>
      </c>
      <c r="X58" s="285"/>
      <c r="Y58" s="284"/>
      <c r="Z58" s="286"/>
      <c r="AA58" s="322"/>
      <c r="AB58" s="312"/>
      <c r="AC58" s="385" t="str">
        <f>IF(AB58="","",VLOOKUP(AB58,案件コード!$A$1:$B$31,2,FALSE()))</f>
        <v/>
      </c>
      <c r="AD58" s="385"/>
      <c r="AE58" s="385"/>
      <c r="AF58" s="113" t="str">
        <f t="shared" si="17"/>
        <v/>
      </c>
      <c r="AG58" s="285"/>
      <c r="AH58" s="284"/>
      <c r="AI58" s="286"/>
      <c r="AJ58" s="322"/>
      <c r="AK58" s="312"/>
      <c r="AL58" s="385" t="str">
        <f>IF(AK58="","",VLOOKUP(AK58,案件コード!$A$1:$B$31,2,FALSE()))</f>
        <v/>
      </c>
      <c r="AM58" s="385"/>
      <c r="AN58" s="385"/>
      <c r="AO58" s="113" t="str">
        <f t="shared" si="18"/>
        <v/>
      </c>
      <c r="AP58" s="285"/>
      <c r="AQ58" s="284"/>
      <c r="AR58" s="286"/>
      <c r="AS58" s="322"/>
      <c r="AT58" s="312"/>
      <c r="AU58" s="385" t="str">
        <f>IF(AT58="","",VLOOKUP(AT58,案件コード!$A$1:$B$31,2,FALSE()))</f>
        <v/>
      </c>
      <c r="AV58" s="385"/>
      <c r="AW58" s="385"/>
      <c r="AX58" s="113" t="str">
        <f t="shared" si="19"/>
        <v/>
      </c>
      <c r="AY58" s="285"/>
      <c r="AZ58" s="284"/>
      <c r="BA58" s="286"/>
      <c r="BB58" s="322"/>
      <c r="BC58" s="312"/>
      <c r="BD58" s="385" t="str">
        <f>IF(BC58="","",VLOOKUP(BC58,案件コード!$A$1:$B$31,2,FALSE()))</f>
        <v/>
      </c>
      <c r="BE58" s="385"/>
      <c r="BF58" s="385"/>
      <c r="BG58" s="113" t="str">
        <f t="shared" si="20"/>
        <v/>
      </c>
      <c r="BH58" s="285"/>
      <c r="BI58" s="284"/>
      <c r="BJ58" s="286"/>
      <c r="BK58" s="322"/>
    </row>
    <row r="59" spans="1:63">
      <c r="A59" s="312"/>
      <c r="B59" s="385" t="str">
        <f>IF(A59="","",VLOOKUP(A59,案件コード!$A$1:$B$31,2,FALSE()))</f>
        <v/>
      </c>
      <c r="C59" s="385"/>
      <c r="D59" s="385"/>
      <c r="E59" s="113" t="str">
        <f t="shared" si="14"/>
        <v/>
      </c>
      <c r="F59" s="285"/>
      <c r="G59" s="284"/>
      <c r="H59" s="286"/>
      <c r="I59" s="322"/>
      <c r="J59" s="312"/>
      <c r="K59" s="385" t="str">
        <f>IF(J59="","",VLOOKUP(J59,案件コード!$A$1:$B$31,2,FALSE()))</f>
        <v/>
      </c>
      <c r="L59" s="385"/>
      <c r="M59" s="385"/>
      <c r="N59" s="113" t="str">
        <f t="shared" si="15"/>
        <v/>
      </c>
      <c r="O59" s="285"/>
      <c r="P59" s="284"/>
      <c r="Q59" s="286"/>
      <c r="R59" s="322"/>
      <c r="S59" s="312"/>
      <c r="T59" s="385" t="str">
        <f>IF(S59="","",VLOOKUP(S59,案件コード!$A$1:$B$31,2,FALSE()))</f>
        <v/>
      </c>
      <c r="U59" s="385"/>
      <c r="V59" s="385"/>
      <c r="W59" s="113" t="str">
        <f t="shared" si="16"/>
        <v/>
      </c>
      <c r="X59" s="285"/>
      <c r="Y59" s="284"/>
      <c r="Z59" s="286"/>
      <c r="AA59" s="322"/>
      <c r="AB59" s="312"/>
      <c r="AC59" s="385" t="str">
        <f>IF(AB59="","",VLOOKUP(AB59,案件コード!$A$1:$B$31,2,FALSE()))</f>
        <v/>
      </c>
      <c r="AD59" s="385"/>
      <c r="AE59" s="385"/>
      <c r="AF59" s="113" t="str">
        <f t="shared" si="17"/>
        <v/>
      </c>
      <c r="AG59" s="285"/>
      <c r="AH59" s="284"/>
      <c r="AI59" s="286"/>
      <c r="AJ59" s="322"/>
      <c r="AK59" s="312"/>
      <c r="AL59" s="385" t="str">
        <f>IF(AK59="","",VLOOKUP(AK59,案件コード!$A$1:$B$31,2,FALSE()))</f>
        <v/>
      </c>
      <c r="AM59" s="385"/>
      <c r="AN59" s="385"/>
      <c r="AO59" s="113" t="str">
        <f t="shared" si="18"/>
        <v/>
      </c>
      <c r="AP59" s="285"/>
      <c r="AQ59" s="284"/>
      <c r="AR59" s="286"/>
      <c r="AS59" s="322"/>
      <c r="AT59" s="312"/>
      <c r="AU59" s="385" t="str">
        <f>IF(AT59="","",VLOOKUP(AT59,案件コード!$A$1:$B$31,2,FALSE()))</f>
        <v/>
      </c>
      <c r="AV59" s="385"/>
      <c r="AW59" s="385"/>
      <c r="AX59" s="113" t="str">
        <f t="shared" si="19"/>
        <v/>
      </c>
      <c r="AY59" s="285"/>
      <c r="AZ59" s="284"/>
      <c r="BA59" s="286"/>
      <c r="BB59" s="322"/>
      <c r="BC59" s="312"/>
      <c r="BD59" s="385" t="str">
        <f>IF(BC59="","",VLOOKUP(BC59,案件コード!$A$1:$B$31,2,FALSE()))</f>
        <v/>
      </c>
      <c r="BE59" s="385"/>
      <c r="BF59" s="385"/>
      <c r="BG59" s="113" t="str">
        <f t="shared" si="20"/>
        <v/>
      </c>
      <c r="BH59" s="285"/>
      <c r="BI59" s="284"/>
      <c r="BJ59" s="286"/>
      <c r="BK59" s="322"/>
    </row>
    <row r="60" spans="1:63">
      <c r="A60" s="312"/>
      <c r="B60" s="385" t="str">
        <f>IF(A60="","",VLOOKUP(A60,案件コード!$A$1:$B$31,2,FALSE()))</f>
        <v/>
      </c>
      <c r="C60" s="385"/>
      <c r="D60" s="385"/>
      <c r="E60" s="113" t="str">
        <f t="shared" si="14"/>
        <v/>
      </c>
      <c r="F60" s="285"/>
      <c r="G60" s="284"/>
      <c r="H60" s="286"/>
      <c r="I60" s="322"/>
      <c r="J60" s="312"/>
      <c r="K60" s="385" t="str">
        <f>IF(J60="","",VLOOKUP(J60,案件コード!$A$1:$B$31,2,FALSE()))</f>
        <v/>
      </c>
      <c r="L60" s="385"/>
      <c r="M60" s="385"/>
      <c r="N60" s="113" t="str">
        <f t="shared" si="15"/>
        <v/>
      </c>
      <c r="O60" s="285"/>
      <c r="P60" s="284"/>
      <c r="Q60" s="286"/>
      <c r="R60" s="322"/>
      <c r="S60" s="312"/>
      <c r="T60" s="385" t="str">
        <f>IF(S60="","",VLOOKUP(S60,案件コード!$A$1:$B$31,2,FALSE()))</f>
        <v/>
      </c>
      <c r="U60" s="385"/>
      <c r="V60" s="385"/>
      <c r="W60" s="113" t="str">
        <f t="shared" si="16"/>
        <v/>
      </c>
      <c r="X60" s="285"/>
      <c r="Y60" s="284"/>
      <c r="Z60" s="286"/>
      <c r="AA60" s="322"/>
      <c r="AB60" s="312"/>
      <c r="AC60" s="385" t="str">
        <f>IF(AB60="","",VLOOKUP(AB60,案件コード!$A$1:$B$31,2,FALSE()))</f>
        <v/>
      </c>
      <c r="AD60" s="385"/>
      <c r="AE60" s="385"/>
      <c r="AF60" s="113" t="str">
        <f t="shared" si="17"/>
        <v/>
      </c>
      <c r="AG60" s="285"/>
      <c r="AH60" s="284"/>
      <c r="AI60" s="286"/>
      <c r="AJ60" s="322"/>
      <c r="AK60" s="312"/>
      <c r="AL60" s="385" t="str">
        <f>IF(AK60="","",VLOOKUP(AK60,案件コード!$A$1:$B$31,2,FALSE()))</f>
        <v/>
      </c>
      <c r="AM60" s="385"/>
      <c r="AN60" s="385"/>
      <c r="AO60" s="113" t="str">
        <f t="shared" si="18"/>
        <v/>
      </c>
      <c r="AP60" s="285"/>
      <c r="AQ60" s="284"/>
      <c r="AR60" s="286"/>
      <c r="AS60" s="322"/>
      <c r="AT60" s="312"/>
      <c r="AU60" s="385" t="str">
        <f>IF(AT60="","",VLOOKUP(AT60,案件コード!$A$1:$B$31,2,FALSE()))</f>
        <v/>
      </c>
      <c r="AV60" s="385"/>
      <c r="AW60" s="385"/>
      <c r="AX60" s="113" t="str">
        <f t="shared" si="19"/>
        <v/>
      </c>
      <c r="AY60" s="285"/>
      <c r="AZ60" s="284"/>
      <c r="BA60" s="286"/>
      <c r="BB60" s="322"/>
      <c r="BC60" s="312"/>
      <c r="BD60" s="385" t="str">
        <f>IF(BC60="","",VLOOKUP(BC60,案件コード!$A$1:$B$31,2,FALSE()))</f>
        <v/>
      </c>
      <c r="BE60" s="385"/>
      <c r="BF60" s="385"/>
      <c r="BG60" s="113" t="str">
        <f t="shared" si="20"/>
        <v/>
      </c>
      <c r="BH60" s="285"/>
      <c r="BI60" s="284"/>
      <c r="BJ60" s="286"/>
      <c r="BK60" s="322"/>
    </row>
    <row r="61" spans="1:63">
      <c r="A61" s="312"/>
      <c r="B61" s="385" t="str">
        <f>IF(A61="","",VLOOKUP(A61,案件コード!$A$1:$B$31,2,FALSE()))</f>
        <v/>
      </c>
      <c r="C61" s="385"/>
      <c r="D61" s="385"/>
      <c r="E61" s="113" t="str">
        <f t="shared" si="14"/>
        <v/>
      </c>
      <c r="F61" s="285"/>
      <c r="G61" s="284"/>
      <c r="H61" s="286"/>
      <c r="I61" s="322"/>
      <c r="J61" s="312"/>
      <c r="K61" s="385" t="str">
        <f>IF(J61="","",VLOOKUP(J61,案件コード!$A$1:$B$31,2,FALSE()))</f>
        <v/>
      </c>
      <c r="L61" s="385"/>
      <c r="M61" s="385"/>
      <c r="N61" s="113" t="str">
        <f t="shared" si="15"/>
        <v/>
      </c>
      <c r="O61" s="285"/>
      <c r="P61" s="284"/>
      <c r="Q61" s="286"/>
      <c r="R61" s="322"/>
      <c r="S61" s="312"/>
      <c r="T61" s="385" t="str">
        <f>IF(S61="","",VLOOKUP(S61,案件コード!$A$1:$B$31,2,FALSE()))</f>
        <v/>
      </c>
      <c r="U61" s="385"/>
      <c r="V61" s="385"/>
      <c r="W61" s="113" t="str">
        <f t="shared" si="16"/>
        <v/>
      </c>
      <c r="X61" s="285"/>
      <c r="Y61" s="284"/>
      <c r="Z61" s="286"/>
      <c r="AA61" s="322"/>
      <c r="AB61" s="312"/>
      <c r="AC61" s="385" t="str">
        <f>IF(AB61="","",VLOOKUP(AB61,案件コード!$A$1:$B$31,2,FALSE()))</f>
        <v/>
      </c>
      <c r="AD61" s="385"/>
      <c r="AE61" s="385"/>
      <c r="AF61" s="113" t="str">
        <f t="shared" si="17"/>
        <v/>
      </c>
      <c r="AG61" s="285"/>
      <c r="AH61" s="284"/>
      <c r="AI61" s="286"/>
      <c r="AJ61" s="322"/>
      <c r="AK61" s="312"/>
      <c r="AL61" s="385" t="str">
        <f>IF(AK61="","",VLOOKUP(AK61,案件コード!$A$1:$B$31,2,FALSE()))</f>
        <v/>
      </c>
      <c r="AM61" s="385"/>
      <c r="AN61" s="385"/>
      <c r="AO61" s="113" t="str">
        <f t="shared" si="18"/>
        <v/>
      </c>
      <c r="AP61" s="285"/>
      <c r="AQ61" s="284"/>
      <c r="AR61" s="286"/>
      <c r="AS61" s="322"/>
      <c r="AT61" s="312"/>
      <c r="AU61" s="385" t="str">
        <f>IF(AT61="","",VLOOKUP(AT61,案件コード!$A$1:$B$31,2,FALSE()))</f>
        <v/>
      </c>
      <c r="AV61" s="385"/>
      <c r="AW61" s="385"/>
      <c r="AX61" s="113" t="str">
        <f t="shared" si="19"/>
        <v/>
      </c>
      <c r="AY61" s="285"/>
      <c r="AZ61" s="284"/>
      <c r="BA61" s="286"/>
      <c r="BB61" s="322"/>
      <c r="BC61" s="312"/>
      <c r="BD61" s="385" t="str">
        <f>IF(BC61="","",VLOOKUP(BC61,案件コード!$A$1:$B$31,2,FALSE()))</f>
        <v/>
      </c>
      <c r="BE61" s="385"/>
      <c r="BF61" s="385"/>
      <c r="BG61" s="113" t="str">
        <f t="shared" si="20"/>
        <v/>
      </c>
      <c r="BH61" s="285"/>
      <c r="BI61" s="284"/>
      <c r="BJ61" s="286"/>
      <c r="BK61" s="322"/>
    </row>
    <row r="62" spans="1:63">
      <c r="A62" s="312"/>
      <c r="B62" s="385" t="str">
        <f>IF(A62="","",VLOOKUP(A62,案件コード!$A$1:$B$31,2,FALSE()))</f>
        <v/>
      </c>
      <c r="C62" s="385"/>
      <c r="D62" s="385"/>
      <c r="E62" s="113" t="str">
        <f t="shared" si="14"/>
        <v/>
      </c>
      <c r="F62" s="285"/>
      <c r="G62" s="284"/>
      <c r="H62" s="286"/>
      <c r="I62" s="322"/>
      <c r="J62" s="312"/>
      <c r="K62" s="385" t="str">
        <f>IF(J62="","",VLOOKUP(J62,案件コード!$A$1:$B$31,2,FALSE()))</f>
        <v/>
      </c>
      <c r="L62" s="385"/>
      <c r="M62" s="385"/>
      <c r="N62" s="113" t="str">
        <f t="shared" si="15"/>
        <v/>
      </c>
      <c r="O62" s="285"/>
      <c r="P62" s="284"/>
      <c r="Q62" s="286"/>
      <c r="R62" s="322"/>
      <c r="S62" s="312"/>
      <c r="T62" s="385" t="str">
        <f>IF(S62="","",VLOOKUP(S62,案件コード!$A$1:$B$31,2,FALSE()))</f>
        <v/>
      </c>
      <c r="U62" s="385"/>
      <c r="V62" s="385"/>
      <c r="W62" s="113" t="str">
        <f t="shared" si="16"/>
        <v/>
      </c>
      <c r="X62" s="285"/>
      <c r="Y62" s="284"/>
      <c r="Z62" s="286"/>
      <c r="AA62" s="322"/>
      <c r="AB62" s="312"/>
      <c r="AC62" s="385" t="str">
        <f>IF(AB62="","",VLOOKUP(AB62,案件コード!$A$1:$B$31,2,FALSE()))</f>
        <v/>
      </c>
      <c r="AD62" s="385"/>
      <c r="AE62" s="385"/>
      <c r="AF62" s="113" t="str">
        <f t="shared" si="17"/>
        <v/>
      </c>
      <c r="AG62" s="285"/>
      <c r="AH62" s="284"/>
      <c r="AI62" s="286"/>
      <c r="AJ62" s="322"/>
      <c r="AK62" s="312"/>
      <c r="AL62" s="385" t="str">
        <f>IF(AK62="","",VLOOKUP(AK62,案件コード!$A$1:$B$31,2,FALSE()))</f>
        <v/>
      </c>
      <c r="AM62" s="385"/>
      <c r="AN62" s="385"/>
      <c r="AO62" s="113" t="str">
        <f t="shared" si="18"/>
        <v/>
      </c>
      <c r="AP62" s="285"/>
      <c r="AQ62" s="284"/>
      <c r="AR62" s="286"/>
      <c r="AS62" s="322"/>
      <c r="AT62" s="312"/>
      <c r="AU62" s="385" t="str">
        <f>IF(AT62="","",VLOOKUP(AT62,案件コード!$A$1:$B$31,2,FALSE()))</f>
        <v/>
      </c>
      <c r="AV62" s="385"/>
      <c r="AW62" s="385"/>
      <c r="AX62" s="113" t="str">
        <f t="shared" si="19"/>
        <v/>
      </c>
      <c r="AY62" s="285"/>
      <c r="AZ62" s="284"/>
      <c r="BA62" s="286"/>
      <c r="BB62" s="322"/>
      <c r="BC62" s="312"/>
      <c r="BD62" s="385" t="str">
        <f>IF(BC62="","",VLOOKUP(BC62,案件コード!$A$1:$B$31,2,FALSE()))</f>
        <v/>
      </c>
      <c r="BE62" s="385"/>
      <c r="BF62" s="385"/>
      <c r="BG62" s="113" t="str">
        <f t="shared" si="20"/>
        <v/>
      </c>
      <c r="BH62" s="285"/>
      <c r="BI62" s="284"/>
      <c r="BJ62" s="286"/>
      <c r="BK62" s="322"/>
    </row>
    <row r="63" spans="1:63" ht="18.600000000000001" thickBot="1">
      <c r="A63" s="315"/>
      <c r="B63" s="386" t="str">
        <f>IF(A63="","",VLOOKUP(A63,案件コード!$A$1:$B$31,2,FALSE()))</f>
        <v/>
      </c>
      <c r="C63" s="386"/>
      <c r="D63" s="386"/>
      <c r="E63" s="316" t="str">
        <f t="shared" si="14"/>
        <v/>
      </c>
      <c r="F63" s="317"/>
      <c r="G63" s="318"/>
      <c r="H63" s="319"/>
      <c r="I63" s="323"/>
      <c r="J63" s="315"/>
      <c r="K63" s="386" t="str">
        <f>IF(J63="","",VLOOKUP(J63,案件コード!$A$1:$B$31,2,FALSE()))</f>
        <v/>
      </c>
      <c r="L63" s="386"/>
      <c r="M63" s="386"/>
      <c r="N63" s="316" t="str">
        <f t="shared" si="15"/>
        <v/>
      </c>
      <c r="O63" s="317"/>
      <c r="P63" s="318"/>
      <c r="Q63" s="319"/>
      <c r="R63" s="323"/>
      <c r="S63" s="315"/>
      <c r="T63" s="386" t="str">
        <f>IF(S63="","",VLOOKUP(S63,案件コード!$A$1:$B$31,2,FALSE()))</f>
        <v/>
      </c>
      <c r="U63" s="386"/>
      <c r="V63" s="386"/>
      <c r="W63" s="316" t="str">
        <f t="shared" si="16"/>
        <v/>
      </c>
      <c r="X63" s="317"/>
      <c r="Y63" s="318"/>
      <c r="Z63" s="319"/>
      <c r="AA63" s="323"/>
      <c r="AB63" s="315"/>
      <c r="AC63" s="386" t="str">
        <f>IF(AB63="","",VLOOKUP(AB63,案件コード!$A$1:$B$31,2,FALSE()))</f>
        <v/>
      </c>
      <c r="AD63" s="386"/>
      <c r="AE63" s="386"/>
      <c r="AF63" s="316" t="str">
        <f t="shared" si="17"/>
        <v/>
      </c>
      <c r="AG63" s="317"/>
      <c r="AH63" s="318"/>
      <c r="AI63" s="319"/>
      <c r="AJ63" s="323"/>
      <c r="AK63" s="315"/>
      <c r="AL63" s="386" t="str">
        <f>IF(AK63="","",VLOOKUP(AK63,案件コード!$A$1:$B$31,2,FALSE()))</f>
        <v/>
      </c>
      <c r="AM63" s="386"/>
      <c r="AN63" s="386"/>
      <c r="AO63" s="316" t="str">
        <f t="shared" si="18"/>
        <v/>
      </c>
      <c r="AP63" s="317"/>
      <c r="AQ63" s="318"/>
      <c r="AR63" s="319"/>
      <c r="AS63" s="323"/>
      <c r="AT63" s="315"/>
      <c r="AU63" s="386" t="str">
        <f>IF(AT63="","",VLOOKUP(AT63,案件コード!$A$1:$B$31,2,FALSE()))</f>
        <v/>
      </c>
      <c r="AV63" s="386"/>
      <c r="AW63" s="386"/>
      <c r="AX63" s="316" t="str">
        <f t="shared" si="19"/>
        <v/>
      </c>
      <c r="AY63" s="317"/>
      <c r="AZ63" s="318"/>
      <c r="BA63" s="319"/>
      <c r="BB63" s="323"/>
      <c r="BC63" s="315"/>
      <c r="BD63" s="386" t="str">
        <f>IF(BC63="","",VLOOKUP(BC63,案件コード!$A$1:$B$31,2,FALSE()))</f>
        <v/>
      </c>
      <c r="BE63" s="386"/>
      <c r="BF63" s="386"/>
      <c r="BG63" s="316" t="str">
        <f t="shared" si="20"/>
        <v/>
      </c>
      <c r="BH63" s="317"/>
      <c r="BI63" s="318"/>
      <c r="BJ63" s="319"/>
      <c r="BK63" s="323"/>
    </row>
    <row r="64" spans="1:63" ht="18.600000000000001" thickBot="1">
      <c r="A64" s="41"/>
      <c r="B64" s="41"/>
      <c r="C64" s="41"/>
      <c r="D64" s="41"/>
      <c r="E64" s="41"/>
      <c r="F64" s="41"/>
      <c r="G64" s="41"/>
      <c r="H64" s="307">
        <f>SUM(H49:H63)</f>
        <v>0</v>
      </c>
      <c r="I64" s="41"/>
      <c r="J64" s="41"/>
      <c r="K64" s="41"/>
      <c r="L64" s="41"/>
      <c r="M64" s="41"/>
      <c r="N64" s="41"/>
      <c r="O64" s="41"/>
      <c r="P64" s="41"/>
      <c r="Q64" s="307">
        <f>SUM(Q49:Q63)</f>
        <v>0</v>
      </c>
      <c r="R64" s="41"/>
      <c r="S64" s="41"/>
      <c r="T64" s="41"/>
      <c r="U64" s="41"/>
      <c r="V64" s="41"/>
      <c r="W64" s="41"/>
      <c r="X64" s="41"/>
      <c r="Y64" s="41"/>
      <c r="Z64" s="307">
        <f>SUM(Z49:Z63)</f>
        <v>0</v>
      </c>
      <c r="AA64" s="41"/>
      <c r="AB64" s="41"/>
      <c r="AC64" s="41"/>
      <c r="AD64" s="41"/>
      <c r="AE64" s="41"/>
      <c r="AF64" s="41"/>
      <c r="AG64" s="41"/>
      <c r="AH64" s="41"/>
      <c r="AI64" s="307">
        <f>SUM(AI49:AI63)</f>
        <v>0</v>
      </c>
      <c r="AJ64" s="41"/>
      <c r="AK64" s="41"/>
      <c r="AL64" s="41"/>
      <c r="AM64" s="41"/>
      <c r="AN64" s="41"/>
      <c r="AO64" s="41"/>
      <c r="AP64" s="41"/>
      <c r="AQ64" s="41"/>
      <c r="AR64" s="307">
        <f>SUM(AR49:AR63)</f>
        <v>0</v>
      </c>
      <c r="AS64" s="41"/>
      <c r="AT64" s="41"/>
      <c r="AU64" s="41"/>
      <c r="AV64" s="41"/>
      <c r="AW64" s="41"/>
      <c r="AX64" s="41"/>
      <c r="AY64" s="41"/>
      <c r="AZ64" s="41"/>
      <c r="BA64" s="307">
        <f>SUM(BA49:BA63)</f>
        <v>0</v>
      </c>
      <c r="BB64" s="41"/>
      <c r="BC64" s="41"/>
      <c r="BD64" s="41"/>
      <c r="BE64" s="41"/>
      <c r="BF64" s="41"/>
      <c r="BG64" s="41"/>
      <c r="BH64" s="41"/>
      <c r="BI64" s="41"/>
      <c r="BJ64" s="307">
        <f>SUM(BJ49:BJ63)</f>
        <v>0</v>
      </c>
      <c r="BK64" s="41"/>
    </row>
    <row r="65" spans="1:63">
      <c r="A65" s="390" t="s">
        <v>16</v>
      </c>
      <c r="B65" s="391"/>
      <c r="C65" s="391" t="s">
        <v>17</v>
      </c>
      <c r="D65" s="391"/>
      <c r="E65" s="391" t="s">
        <v>18</v>
      </c>
      <c r="F65" s="392"/>
      <c r="G65" s="41"/>
      <c r="H65" s="41"/>
      <c r="I65" s="41"/>
      <c r="J65" s="390" t="s">
        <v>16</v>
      </c>
      <c r="K65" s="391"/>
      <c r="L65" s="391" t="s">
        <v>17</v>
      </c>
      <c r="M65" s="391"/>
      <c r="N65" s="391" t="s">
        <v>18</v>
      </c>
      <c r="O65" s="392"/>
      <c r="P65" s="41"/>
      <c r="Q65" s="41"/>
      <c r="R65" s="41"/>
      <c r="S65" s="390" t="s">
        <v>16</v>
      </c>
      <c r="T65" s="391"/>
      <c r="U65" s="391" t="s">
        <v>17</v>
      </c>
      <c r="V65" s="391"/>
      <c r="W65" s="391" t="s">
        <v>18</v>
      </c>
      <c r="X65" s="392"/>
      <c r="Y65" s="41"/>
      <c r="Z65" s="41"/>
      <c r="AA65" s="41"/>
      <c r="AB65" s="390" t="s">
        <v>16</v>
      </c>
      <c r="AC65" s="391"/>
      <c r="AD65" s="391" t="s">
        <v>17</v>
      </c>
      <c r="AE65" s="391"/>
      <c r="AF65" s="391" t="s">
        <v>18</v>
      </c>
      <c r="AG65" s="392"/>
      <c r="AH65" s="41"/>
      <c r="AI65" s="41"/>
      <c r="AJ65" s="41"/>
      <c r="AK65" s="390" t="s">
        <v>16</v>
      </c>
      <c r="AL65" s="391"/>
      <c r="AM65" s="391" t="s">
        <v>17</v>
      </c>
      <c r="AN65" s="391"/>
      <c r="AO65" s="391" t="s">
        <v>18</v>
      </c>
      <c r="AP65" s="392"/>
      <c r="AQ65" s="41"/>
      <c r="AR65" s="41"/>
      <c r="AS65" s="41"/>
      <c r="AT65" s="390" t="s">
        <v>16</v>
      </c>
      <c r="AU65" s="391"/>
      <c r="AV65" s="391" t="s">
        <v>17</v>
      </c>
      <c r="AW65" s="391"/>
      <c r="AX65" s="391" t="s">
        <v>18</v>
      </c>
      <c r="AY65" s="392"/>
      <c r="AZ65" s="41"/>
      <c r="BA65" s="41"/>
      <c r="BB65" s="41"/>
      <c r="BC65" s="390" t="s">
        <v>16</v>
      </c>
      <c r="BD65" s="391"/>
      <c r="BE65" s="391" t="s">
        <v>17</v>
      </c>
      <c r="BF65" s="391"/>
      <c r="BG65" s="391" t="s">
        <v>18</v>
      </c>
      <c r="BH65" s="392"/>
      <c r="BI65" s="41"/>
      <c r="BJ65" s="41"/>
      <c r="BK65" s="41"/>
    </row>
    <row r="66" spans="1:63" ht="18.600000000000001" thickBot="1">
      <c r="A66" s="387">
        <f>BC46+1</f>
        <v>45922</v>
      </c>
      <c r="B66" s="388"/>
      <c r="C66" s="289"/>
      <c r="D66" s="289"/>
      <c r="E66" s="290" t="str">
        <f>IF(C66="","",D66-C66-H66)</f>
        <v/>
      </c>
      <c r="F66" s="291" t="str">
        <f>IF(AND(E66=""),"",SUM(E69:E83))</f>
        <v/>
      </c>
      <c r="G66" s="114" t="s">
        <v>19</v>
      </c>
      <c r="H66" s="287">
        <v>4.1666666666666699E-2</v>
      </c>
      <c r="I66" s="41"/>
      <c r="J66" s="387">
        <f>A66+1</f>
        <v>45923</v>
      </c>
      <c r="K66" s="388"/>
      <c r="L66" s="289"/>
      <c r="M66" s="289"/>
      <c r="N66" s="290" t="str">
        <f>IF(L66="","",M66-L66-Q66)</f>
        <v/>
      </c>
      <c r="O66" s="291" t="str">
        <f>IF(AND(N66=""),"",SUM(N69:N83))</f>
        <v/>
      </c>
      <c r="P66" s="114" t="s">
        <v>19</v>
      </c>
      <c r="Q66" s="287">
        <v>4.1666666666666699E-2</v>
      </c>
      <c r="R66" s="41"/>
      <c r="S66" s="387">
        <f>J66+1</f>
        <v>45924</v>
      </c>
      <c r="T66" s="388"/>
      <c r="U66" s="289"/>
      <c r="V66" s="289"/>
      <c r="W66" s="290" t="str">
        <f>IF(U66="","",V66-U66-Z66)</f>
        <v/>
      </c>
      <c r="X66" s="291" t="str">
        <f>IF(AND(W66=""),"",SUM(W69:W83))</f>
        <v/>
      </c>
      <c r="Y66" s="114" t="s">
        <v>19</v>
      </c>
      <c r="Z66" s="287">
        <v>4.1666666666666699E-2</v>
      </c>
      <c r="AA66" s="41"/>
      <c r="AB66" s="387">
        <f>S66+1</f>
        <v>45925</v>
      </c>
      <c r="AC66" s="388"/>
      <c r="AD66" s="289"/>
      <c r="AE66" s="289"/>
      <c r="AF66" s="290" t="str">
        <f>IF(AD66="","",AE66-AD66-AI66)</f>
        <v/>
      </c>
      <c r="AG66" s="291" t="str">
        <f>IF(AND(AF66=""),"",SUM(AF69:AF83))</f>
        <v/>
      </c>
      <c r="AH66" s="114" t="s">
        <v>19</v>
      </c>
      <c r="AI66" s="287">
        <v>4.1666666666666699E-2</v>
      </c>
      <c r="AJ66" s="41"/>
      <c r="AK66" s="387">
        <f>AB66+1</f>
        <v>45926</v>
      </c>
      <c r="AL66" s="388"/>
      <c r="AM66" s="289"/>
      <c r="AN66" s="289"/>
      <c r="AO66" s="290" t="str">
        <f>IF(AM66="","",AN66-AM66-AR66)</f>
        <v/>
      </c>
      <c r="AP66" s="291" t="str">
        <f>IF(AND(AO66=""),"",SUM(AO69:AO83))</f>
        <v/>
      </c>
      <c r="AQ66" s="114" t="s">
        <v>19</v>
      </c>
      <c r="AR66" s="287">
        <v>4.1666666666666699E-2</v>
      </c>
      <c r="AS66" s="41"/>
      <c r="AT66" s="387">
        <f>AK66+1</f>
        <v>45927</v>
      </c>
      <c r="AU66" s="388"/>
      <c r="AV66" s="289"/>
      <c r="AW66" s="289"/>
      <c r="AX66" s="290" t="str">
        <f>IF(AV66="","",AW66-AV66-BA66)</f>
        <v/>
      </c>
      <c r="AY66" s="291" t="str">
        <f>IF(AND(AX66=""),"",SUM(AX69:AX83))</f>
        <v/>
      </c>
      <c r="AZ66" s="114" t="s">
        <v>19</v>
      </c>
      <c r="BA66" s="287">
        <v>4.1666666666666699E-2</v>
      </c>
      <c r="BB66" s="41"/>
      <c r="BC66" s="387">
        <f>AT66+1</f>
        <v>45928</v>
      </c>
      <c r="BD66" s="388"/>
      <c r="BE66" s="289"/>
      <c r="BF66" s="289"/>
      <c r="BG66" s="290" t="str">
        <f>IF(BE66="","",BF66-BE66-BJ66)</f>
        <v/>
      </c>
      <c r="BH66" s="291" t="str">
        <f>IF(AND(BG66=""),"",SUM(BG69:BG83))</f>
        <v/>
      </c>
      <c r="BI66" s="114" t="s">
        <v>19</v>
      </c>
      <c r="BJ66" s="287">
        <v>4.1666666666666699E-2</v>
      </c>
      <c r="BK66" s="41"/>
    </row>
    <row r="67" spans="1:63" ht="18.600000000000001" thickBot="1">
      <c r="A67" s="41" t="s">
        <v>38</v>
      </c>
      <c r="B67" s="115"/>
      <c r="C67" s="115"/>
      <c r="D67" s="115"/>
      <c r="E67" s="116"/>
      <c r="F67" s="117"/>
      <c r="G67" s="117"/>
      <c r="H67" s="185"/>
      <c r="I67" s="41"/>
      <c r="J67" s="41" t="s">
        <v>38</v>
      </c>
      <c r="K67" s="115"/>
      <c r="L67" s="115"/>
      <c r="M67" s="115"/>
      <c r="N67" s="116"/>
      <c r="O67" s="117"/>
      <c r="P67" s="117"/>
      <c r="Q67" s="185"/>
      <c r="R67" s="41"/>
      <c r="S67" s="41" t="s">
        <v>38</v>
      </c>
      <c r="T67" s="115"/>
      <c r="U67" s="115"/>
      <c r="V67" s="115"/>
      <c r="W67" s="116"/>
      <c r="X67" s="117"/>
      <c r="Y67" s="117"/>
      <c r="Z67" s="185"/>
      <c r="AA67" s="41"/>
      <c r="AB67" s="41" t="s">
        <v>38</v>
      </c>
      <c r="AC67" s="115"/>
      <c r="AD67" s="115"/>
      <c r="AE67" s="115"/>
      <c r="AF67" s="116"/>
      <c r="AG67" s="117"/>
      <c r="AH67" s="117"/>
      <c r="AI67" s="185"/>
      <c r="AJ67" s="41"/>
      <c r="AK67" s="41" t="s">
        <v>38</v>
      </c>
      <c r="AL67" s="115"/>
      <c r="AM67" s="115"/>
      <c r="AN67" s="115"/>
      <c r="AO67" s="116"/>
      <c r="AP67" s="117"/>
      <c r="AQ67" s="117"/>
      <c r="AR67" s="185"/>
      <c r="AS67" s="41"/>
      <c r="AT67" s="41" t="s">
        <v>38</v>
      </c>
      <c r="AU67" s="115"/>
      <c r="AV67" s="115"/>
      <c r="AW67" s="115"/>
      <c r="AX67" s="116"/>
      <c r="AY67" s="117"/>
      <c r="AZ67" s="117"/>
      <c r="BA67" s="185"/>
      <c r="BB67" s="41"/>
      <c r="BC67" s="41" t="s">
        <v>38</v>
      </c>
      <c r="BD67" s="115"/>
      <c r="BE67" s="115"/>
      <c r="BF67" s="115"/>
      <c r="BG67" s="116"/>
      <c r="BH67" s="117"/>
      <c r="BI67" s="117"/>
      <c r="BJ67" s="185"/>
      <c r="BK67" s="41"/>
    </row>
    <row r="68" spans="1:63">
      <c r="A68" s="308" t="s">
        <v>20</v>
      </c>
      <c r="B68" s="389" t="s">
        <v>21</v>
      </c>
      <c r="C68" s="389"/>
      <c r="D68" s="389"/>
      <c r="E68" s="309" t="s">
        <v>22</v>
      </c>
      <c r="F68" s="309" t="s">
        <v>0</v>
      </c>
      <c r="G68" s="309" t="s">
        <v>39</v>
      </c>
      <c r="H68" s="310" t="s">
        <v>23</v>
      </c>
      <c r="I68" s="311" t="s">
        <v>24</v>
      </c>
      <c r="J68" s="308" t="s">
        <v>20</v>
      </c>
      <c r="K68" s="389" t="s">
        <v>21</v>
      </c>
      <c r="L68" s="389"/>
      <c r="M68" s="389"/>
      <c r="N68" s="309" t="s">
        <v>22</v>
      </c>
      <c r="O68" s="309" t="s">
        <v>0</v>
      </c>
      <c r="P68" s="309" t="s">
        <v>39</v>
      </c>
      <c r="Q68" s="310" t="s">
        <v>23</v>
      </c>
      <c r="R68" s="311" t="s">
        <v>24</v>
      </c>
      <c r="S68" s="308" t="s">
        <v>20</v>
      </c>
      <c r="T68" s="389" t="s">
        <v>21</v>
      </c>
      <c r="U68" s="389"/>
      <c r="V68" s="389"/>
      <c r="W68" s="309" t="s">
        <v>22</v>
      </c>
      <c r="X68" s="309" t="s">
        <v>0</v>
      </c>
      <c r="Y68" s="309" t="s">
        <v>39</v>
      </c>
      <c r="Z68" s="310" t="s">
        <v>23</v>
      </c>
      <c r="AA68" s="311" t="s">
        <v>24</v>
      </c>
      <c r="AB68" s="308" t="s">
        <v>20</v>
      </c>
      <c r="AC68" s="389" t="s">
        <v>21</v>
      </c>
      <c r="AD68" s="389"/>
      <c r="AE68" s="389"/>
      <c r="AF68" s="309" t="s">
        <v>22</v>
      </c>
      <c r="AG68" s="309" t="s">
        <v>0</v>
      </c>
      <c r="AH68" s="309" t="s">
        <v>39</v>
      </c>
      <c r="AI68" s="310" t="s">
        <v>23</v>
      </c>
      <c r="AJ68" s="311" t="s">
        <v>24</v>
      </c>
      <c r="AK68" s="308" t="s">
        <v>20</v>
      </c>
      <c r="AL68" s="389" t="s">
        <v>21</v>
      </c>
      <c r="AM68" s="389"/>
      <c r="AN68" s="389"/>
      <c r="AO68" s="309" t="s">
        <v>22</v>
      </c>
      <c r="AP68" s="309" t="s">
        <v>0</v>
      </c>
      <c r="AQ68" s="309" t="s">
        <v>39</v>
      </c>
      <c r="AR68" s="310" t="s">
        <v>23</v>
      </c>
      <c r="AS68" s="311" t="s">
        <v>24</v>
      </c>
      <c r="AT68" s="308" t="s">
        <v>20</v>
      </c>
      <c r="AU68" s="389" t="s">
        <v>21</v>
      </c>
      <c r="AV68" s="389"/>
      <c r="AW68" s="389"/>
      <c r="AX68" s="309" t="s">
        <v>22</v>
      </c>
      <c r="AY68" s="309" t="s">
        <v>0</v>
      </c>
      <c r="AZ68" s="309" t="s">
        <v>39</v>
      </c>
      <c r="BA68" s="310" t="s">
        <v>23</v>
      </c>
      <c r="BB68" s="311" t="s">
        <v>24</v>
      </c>
      <c r="BC68" s="308" t="s">
        <v>20</v>
      </c>
      <c r="BD68" s="389" t="s">
        <v>21</v>
      </c>
      <c r="BE68" s="389"/>
      <c r="BF68" s="389"/>
      <c r="BG68" s="309" t="s">
        <v>22</v>
      </c>
      <c r="BH68" s="309" t="s">
        <v>0</v>
      </c>
      <c r="BI68" s="309" t="s">
        <v>39</v>
      </c>
      <c r="BJ68" s="310" t="s">
        <v>23</v>
      </c>
      <c r="BK68" s="311" t="s">
        <v>24</v>
      </c>
    </row>
    <row r="69" spans="1:63">
      <c r="A69" s="312"/>
      <c r="B69" s="385" t="str">
        <f>IF(A69="","",VLOOKUP(A69,案件コード!$A$1:$B$31,2,FALSE()))</f>
        <v/>
      </c>
      <c r="C69" s="385"/>
      <c r="D69" s="385"/>
      <c r="E69" s="113" t="str">
        <f t="shared" ref="E69:E83" si="21">IF(AND(F69="",G69=""),"",SUM(F69:G69))</f>
        <v/>
      </c>
      <c r="F69" s="285"/>
      <c r="G69" s="284"/>
      <c r="H69" s="286"/>
      <c r="I69" s="321"/>
      <c r="J69" s="312"/>
      <c r="K69" s="385" t="str">
        <f>IF(J69="","",VLOOKUP(J69,案件コード!$A$1:$B$31,2,FALSE()))</f>
        <v/>
      </c>
      <c r="L69" s="385"/>
      <c r="M69" s="385"/>
      <c r="N69" s="113" t="str">
        <f t="shared" ref="N69:N83" si="22">IF(AND(O69="",P69=""),"",SUM(O69:P69))</f>
        <v/>
      </c>
      <c r="O69" s="285"/>
      <c r="P69" s="284"/>
      <c r="Q69" s="286"/>
      <c r="R69" s="321"/>
      <c r="S69" s="312"/>
      <c r="T69" s="385" t="str">
        <f>IF(S69="","",VLOOKUP(S69,案件コード!$A$1:$B$31,2,FALSE()))</f>
        <v/>
      </c>
      <c r="U69" s="385"/>
      <c r="V69" s="385"/>
      <c r="W69" s="113" t="str">
        <f t="shared" ref="W69:W83" si="23">IF(AND(X69="",Y69=""),"",SUM(X69:Y69))</f>
        <v/>
      </c>
      <c r="X69" s="285"/>
      <c r="Y69" s="284"/>
      <c r="Z69" s="286"/>
      <c r="AA69" s="321"/>
      <c r="AB69" s="312"/>
      <c r="AC69" s="385" t="str">
        <f>IF(AB69="","",VLOOKUP(AB69,案件コード!$A$1:$B$31,2,FALSE()))</f>
        <v/>
      </c>
      <c r="AD69" s="385"/>
      <c r="AE69" s="385"/>
      <c r="AF69" s="113" t="str">
        <f t="shared" ref="AF69:AF83" si="24">IF(AND(AG69="",AH69=""),"",SUM(AG69:AH69))</f>
        <v/>
      </c>
      <c r="AG69" s="285"/>
      <c r="AH69" s="284"/>
      <c r="AI69" s="286"/>
      <c r="AJ69" s="321"/>
      <c r="AK69" s="312"/>
      <c r="AL69" s="385" t="str">
        <f>IF(AK69="","",VLOOKUP(AK69,案件コード!$A$1:$B$31,2,FALSE()))</f>
        <v/>
      </c>
      <c r="AM69" s="385"/>
      <c r="AN69" s="385"/>
      <c r="AO69" s="113" t="str">
        <f t="shared" ref="AO69:AO83" si="25">IF(AND(AP69="",AQ69=""),"",SUM(AP69:AQ69))</f>
        <v/>
      </c>
      <c r="AP69" s="285"/>
      <c r="AQ69" s="284"/>
      <c r="AR69" s="286"/>
      <c r="AS69" s="321"/>
      <c r="AT69" s="312"/>
      <c r="AU69" s="385" t="str">
        <f>IF(AT69="","",VLOOKUP(AT69,案件コード!$A$1:$B$31,2,FALSE()))</f>
        <v/>
      </c>
      <c r="AV69" s="385"/>
      <c r="AW69" s="385"/>
      <c r="AX69" s="113" t="str">
        <f t="shared" ref="AX69:AX83" si="26">IF(AND(AY69="",AZ69=""),"",SUM(AY69:AZ69))</f>
        <v/>
      </c>
      <c r="AY69" s="285"/>
      <c r="AZ69" s="284"/>
      <c r="BA69" s="286"/>
      <c r="BB69" s="321"/>
      <c r="BC69" s="312"/>
      <c r="BD69" s="385" t="str">
        <f>IF(BC69="","",VLOOKUP(BC69,案件コード!$A$1:$B$31,2,FALSE()))</f>
        <v/>
      </c>
      <c r="BE69" s="385"/>
      <c r="BF69" s="385"/>
      <c r="BG69" s="113" t="str">
        <f t="shared" ref="BG69:BG83" si="27">IF(AND(BH69="",BI69=""),"",SUM(BH69:BI69))</f>
        <v/>
      </c>
      <c r="BH69" s="285"/>
      <c r="BI69" s="284"/>
      <c r="BJ69" s="286"/>
      <c r="BK69" s="321"/>
    </row>
    <row r="70" spans="1:63">
      <c r="A70" s="312"/>
      <c r="B70" s="385" t="str">
        <f>IF(A70="","",VLOOKUP(A70,案件コード!$A$1:$B$31,2,FALSE()))</f>
        <v/>
      </c>
      <c r="C70" s="385"/>
      <c r="D70" s="385"/>
      <c r="E70" s="113" t="str">
        <f t="shared" si="21"/>
        <v/>
      </c>
      <c r="F70" s="285"/>
      <c r="G70" s="284"/>
      <c r="H70" s="286"/>
      <c r="I70" s="322"/>
      <c r="J70" s="312"/>
      <c r="K70" s="385" t="str">
        <f>IF(J70="","",VLOOKUP(J70,案件コード!$A$1:$B$31,2,FALSE()))</f>
        <v/>
      </c>
      <c r="L70" s="385"/>
      <c r="M70" s="385"/>
      <c r="N70" s="113" t="str">
        <f t="shared" si="22"/>
        <v/>
      </c>
      <c r="O70" s="285"/>
      <c r="P70" s="284"/>
      <c r="Q70" s="286"/>
      <c r="R70" s="322"/>
      <c r="S70" s="312"/>
      <c r="T70" s="385" t="str">
        <f>IF(S70="","",VLOOKUP(S70,案件コード!$A$1:$B$31,2,FALSE()))</f>
        <v/>
      </c>
      <c r="U70" s="385"/>
      <c r="V70" s="385"/>
      <c r="W70" s="113" t="str">
        <f t="shared" si="23"/>
        <v/>
      </c>
      <c r="X70" s="285"/>
      <c r="Y70" s="284"/>
      <c r="Z70" s="286"/>
      <c r="AA70" s="322"/>
      <c r="AB70" s="312"/>
      <c r="AC70" s="385" t="str">
        <f>IF(AB70="","",VLOOKUP(AB70,案件コード!$A$1:$B$31,2,FALSE()))</f>
        <v/>
      </c>
      <c r="AD70" s="385"/>
      <c r="AE70" s="385"/>
      <c r="AF70" s="113" t="str">
        <f t="shared" si="24"/>
        <v/>
      </c>
      <c r="AG70" s="285"/>
      <c r="AH70" s="284"/>
      <c r="AI70" s="286"/>
      <c r="AJ70" s="322"/>
      <c r="AK70" s="312"/>
      <c r="AL70" s="385" t="str">
        <f>IF(AK70="","",VLOOKUP(AK70,案件コード!$A$1:$B$31,2,FALSE()))</f>
        <v/>
      </c>
      <c r="AM70" s="385"/>
      <c r="AN70" s="385"/>
      <c r="AO70" s="113" t="str">
        <f t="shared" si="25"/>
        <v/>
      </c>
      <c r="AP70" s="285"/>
      <c r="AQ70" s="284"/>
      <c r="AR70" s="286"/>
      <c r="AS70" s="322"/>
      <c r="AT70" s="312"/>
      <c r="AU70" s="385" t="str">
        <f>IF(AT70="","",VLOOKUP(AT70,案件コード!$A$1:$B$31,2,FALSE()))</f>
        <v/>
      </c>
      <c r="AV70" s="385"/>
      <c r="AW70" s="385"/>
      <c r="AX70" s="113" t="str">
        <f t="shared" si="26"/>
        <v/>
      </c>
      <c r="AY70" s="285"/>
      <c r="AZ70" s="284"/>
      <c r="BA70" s="286"/>
      <c r="BB70" s="322"/>
      <c r="BC70" s="312"/>
      <c r="BD70" s="385" t="str">
        <f>IF(BC70="","",VLOOKUP(BC70,案件コード!$A$1:$B$31,2,FALSE()))</f>
        <v/>
      </c>
      <c r="BE70" s="385"/>
      <c r="BF70" s="385"/>
      <c r="BG70" s="113" t="str">
        <f t="shared" si="27"/>
        <v/>
      </c>
      <c r="BH70" s="285"/>
      <c r="BI70" s="284"/>
      <c r="BJ70" s="286"/>
      <c r="BK70" s="322"/>
    </row>
    <row r="71" spans="1:63">
      <c r="A71" s="312"/>
      <c r="B71" s="385" t="str">
        <f>IF(A71="","",VLOOKUP(A71,案件コード!$A$1:$B$31,2,FALSE()))</f>
        <v/>
      </c>
      <c r="C71" s="385"/>
      <c r="D71" s="385"/>
      <c r="E71" s="113" t="str">
        <f t="shared" si="21"/>
        <v/>
      </c>
      <c r="F71" s="285"/>
      <c r="G71" s="284"/>
      <c r="H71" s="286"/>
      <c r="I71" s="322"/>
      <c r="J71" s="312"/>
      <c r="K71" s="385" t="str">
        <f>IF(J71="","",VLOOKUP(J71,案件コード!$A$1:$B$31,2,FALSE()))</f>
        <v/>
      </c>
      <c r="L71" s="385"/>
      <c r="M71" s="385"/>
      <c r="N71" s="113" t="str">
        <f t="shared" si="22"/>
        <v/>
      </c>
      <c r="O71" s="285"/>
      <c r="P71" s="284"/>
      <c r="Q71" s="286"/>
      <c r="R71" s="322"/>
      <c r="S71" s="312"/>
      <c r="T71" s="385" t="str">
        <f>IF(S71="","",VLOOKUP(S71,案件コード!$A$1:$B$31,2,FALSE()))</f>
        <v/>
      </c>
      <c r="U71" s="385"/>
      <c r="V71" s="385"/>
      <c r="W71" s="113" t="str">
        <f t="shared" si="23"/>
        <v/>
      </c>
      <c r="X71" s="285"/>
      <c r="Y71" s="284"/>
      <c r="Z71" s="286"/>
      <c r="AA71" s="322"/>
      <c r="AB71" s="312"/>
      <c r="AC71" s="385" t="str">
        <f>IF(AB71="","",VLOOKUP(AB71,案件コード!$A$1:$B$31,2,FALSE()))</f>
        <v/>
      </c>
      <c r="AD71" s="385"/>
      <c r="AE71" s="385"/>
      <c r="AF71" s="113" t="str">
        <f t="shared" si="24"/>
        <v/>
      </c>
      <c r="AG71" s="285"/>
      <c r="AH71" s="284"/>
      <c r="AI71" s="286"/>
      <c r="AJ71" s="322"/>
      <c r="AK71" s="312"/>
      <c r="AL71" s="385" t="str">
        <f>IF(AK71="","",VLOOKUP(AK71,案件コード!$A$1:$B$31,2,FALSE()))</f>
        <v/>
      </c>
      <c r="AM71" s="385"/>
      <c r="AN71" s="385"/>
      <c r="AO71" s="113" t="str">
        <f t="shared" si="25"/>
        <v/>
      </c>
      <c r="AP71" s="285"/>
      <c r="AQ71" s="284"/>
      <c r="AR71" s="286"/>
      <c r="AS71" s="322"/>
      <c r="AT71" s="312"/>
      <c r="AU71" s="385" t="str">
        <f>IF(AT71="","",VLOOKUP(AT71,案件コード!$A$1:$B$31,2,FALSE()))</f>
        <v/>
      </c>
      <c r="AV71" s="385"/>
      <c r="AW71" s="385"/>
      <c r="AX71" s="113" t="str">
        <f t="shared" si="26"/>
        <v/>
      </c>
      <c r="AY71" s="285"/>
      <c r="AZ71" s="284"/>
      <c r="BA71" s="286"/>
      <c r="BB71" s="322"/>
      <c r="BC71" s="312"/>
      <c r="BD71" s="385" t="str">
        <f>IF(BC71="","",VLOOKUP(BC71,案件コード!$A$1:$B$31,2,FALSE()))</f>
        <v/>
      </c>
      <c r="BE71" s="385"/>
      <c r="BF71" s="385"/>
      <c r="BG71" s="113" t="str">
        <f t="shared" si="27"/>
        <v/>
      </c>
      <c r="BH71" s="285"/>
      <c r="BI71" s="284"/>
      <c r="BJ71" s="286"/>
      <c r="BK71" s="322"/>
    </row>
    <row r="72" spans="1:63">
      <c r="A72" s="312"/>
      <c r="B72" s="385" t="str">
        <f>IF(A72="","",VLOOKUP(A72,案件コード!$A$1:$B$31,2,FALSE()))</f>
        <v/>
      </c>
      <c r="C72" s="385"/>
      <c r="D72" s="385"/>
      <c r="E72" s="113" t="str">
        <f t="shared" si="21"/>
        <v/>
      </c>
      <c r="F72" s="285"/>
      <c r="G72" s="284"/>
      <c r="H72" s="286"/>
      <c r="I72" s="322"/>
      <c r="J72" s="312"/>
      <c r="K72" s="385" t="str">
        <f>IF(J72="","",VLOOKUP(J72,案件コード!$A$1:$B$31,2,FALSE()))</f>
        <v/>
      </c>
      <c r="L72" s="385"/>
      <c r="M72" s="385"/>
      <c r="N72" s="113" t="str">
        <f t="shared" si="22"/>
        <v/>
      </c>
      <c r="O72" s="285"/>
      <c r="P72" s="284"/>
      <c r="Q72" s="286"/>
      <c r="R72" s="322"/>
      <c r="S72" s="312"/>
      <c r="T72" s="385" t="str">
        <f>IF(S72="","",VLOOKUP(S72,案件コード!$A$1:$B$31,2,FALSE()))</f>
        <v/>
      </c>
      <c r="U72" s="385"/>
      <c r="V72" s="385"/>
      <c r="W72" s="113" t="str">
        <f t="shared" si="23"/>
        <v/>
      </c>
      <c r="X72" s="285"/>
      <c r="Y72" s="284"/>
      <c r="Z72" s="286"/>
      <c r="AA72" s="322"/>
      <c r="AB72" s="312"/>
      <c r="AC72" s="385" t="str">
        <f>IF(AB72="","",VLOOKUP(AB72,案件コード!$A$1:$B$31,2,FALSE()))</f>
        <v/>
      </c>
      <c r="AD72" s="385"/>
      <c r="AE72" s="385"/>
      <c r="AF72" s="113" t="str">
        <f t="shared" si="24"/>
        <v/>
      </c>
      <c r="AG72" s="285"/>
      <c r="AH72" s="284"/>
      <c r="AI72" s="286"/>
      <c r="AJ72" s="322"/>
      <c r="AK72" s="312"/>
      <c r="AL72" s="385" t="str">
        <f>IF(AK72="","",VLOOKUP(AK72,案件コード!$A$1:$B$31,2,FALSE()))</f>
        <v/>
      </c>
      <c r="AM72" s="385"/>
      <c r="AN72" s="385"/>
      <c r="AO72" s="113" t="str">
        <f t="shared" si="25"/>
        <v/>
      </c>
      <c r="AP72" s="285"/>
      <c r="AQ72" s="284"/>
      <c r="AR72" s="286"/>
      <c r="AS72" s="322"/>
      <c r="AT72" s="312"/>
      <c r="AU72" s="385" t="str">
        <f>IF(AT72="","",VLOOKUP(AT72,案件コード!$A$1:$B$31,2,FALSE()))</f>
        <v/>
      </c>
      <c r="AV72" s="385"/>
      <c r="AW72" s="385"/>
      <c r="AX72" s="113" t="str">
        <f t="shared" si="26"/>
        <v/>
      </c>
      <c r="AY72" s="285"/>
      <c r="AZ72" s="284"/>
      <c r="BA72" s="286"/>
      <c r="BB72" s="322"/>
      <c r="BC72" s="312"/>
      <c r="BD72" s="385" t="str">
        <f>IF(BC72="","",VLOOKUP(BC72,案件コード!$A$1:$B$31,2,FALSE()))</f>
        <v/>
      </c>
      <c r="BE72" s="385"/>
      <c r="BF72" s="385"/>
      <c r="BG72" s="113" t="str">
        <f t="shared" si="27"/>
        <v/>
      </c>
      <c r="BH72" s="285"/>
      <c r="BI72" s="284"/>
      <c r="BJ72" s="286"/>
      <c r="BK72" s="322"/>
    </row>
    <row r="73" spans="1:63">
      <c r="A73" s="312"/>
      <c r="B73" s="385" t="str">
        <f>IF(A73="","",VLOOKUP(A73,案件コード!$A$1:$B$31,2,FALSE()))</f>
        <v/>
      </c>
      <c r="C73" s="385"/>
      <c r="D73" s="385"/>
      <c r="E73" s="113" t="str">
        <f t="shared" si="21"/>
        <v/>
      </c>
      <c r="F73" s="285"/>
      <c r="G73" s="284"/>
      <c r="H73" s="286"/>
      <c r="I73" s="322"/>
      <c r="J73" s="312"/>
      <c r="K73" s="385" t="str">
        <f>IF(J73="","",VLOOKUP(J73,案件コード!$A$1:$B$31,2,FALSE()))</f>
        <v/>
      </c>
      <c r="L73" s="385"/>
      <c r="M73" s="385"/>
      <c r="N73" s="113" t="str">
        <f t="shared" si="22"/>
        <v/>
      </c>
      <c r="O73" s="285"/>
      <c r="P73" s="284"/>
      <c r="Q73" s="286"/>
      <c r="R73" s="322"/>
      <c r="S73" s="312"/>
      <c r="T73" s="385" t="str">
        <f>IF(S73="","",VLOOKUP(S73,案件コード!$A$1:$B$31,2,FALSE()))</f>
        <v/>
      </c>
      <c r="U73" s="385"/>
      <c r="V73" s="385"/>
      <c r="W73" s="113" t="str">
        <f t="shared" si="23"/>
        <v/>
      </c>
      <c r="X73" s="285"/>
      <c r="Y73" s="284"/>
      <c r="Z73" s="286"/>
      <c r="AA73" s="322"/>
      <c r="AB73" s="312"/>
      <c r="AC73" s="385" t="str">
        <f>IF(AB73="","",VLOOKUP(AB73,案件コード!$A$1:$B$31,2,FALSE()))</f>
        <v/>
      </c>
      <c r="AD73" s="385"/>
      <c r="AE73" s="385"/>
      <c r="AF73" s="113" t="str">
        <f t="shared" si="24"/>
        <v/>
      </c>
      <c r="AG73" s="285"/>
      <c r="AH73" s="284"/>
      <c r="AI73" s="286"/>
      <c r="AJ73" s="322"/>
      <c r="AK73" s="312"/>
      <c r="AL73" s="385" t="str">
        <f>IF(AK73="","",VLOOKUP(AK73,案件コード!$A$1:$B$31,2,FALSE()))</f>
        <v/>
      </c>
      <c r="AM73" s="385"/>
      <c r="AN73" s="385"/>
      <c r="AO73" s="113" t="str">
        <f t="shared" si="25"/>
        <v/>
      </c>
      <c r="AP73" s="285"/>
      <c r="AQ73" s="284"/>
      <c r="AR73" s="286"/>
      <c r="AS73" s="322"/>
      <c r="AT73" s="312"/>
      <c r="AU73" s="385" t="str">
        <f>IF(AT73="","",VLOOKUP(AT73,案件コード!$A$1:$B$31,2,FALSE()))</f>
        <v/>
      </c>
      <c r="AV73" s="385"/>
      <c r="AW73" s="385"/>
      <c r="AX73" s="113" t="str">
        <f t="shared" si="26"/>
        <v/>
      </c>
      <c r="AY73" s="285"/>
      <c r="AZ73" s="284"/>
      <c r="BA73" s="286"/>
      <c r="BB73" s="322"/>
      <c r="BC73" s="312"/>
      <c r="BD73" s="385" t="str">
        <f>IF(BC73="","",VLOOKUP(BC73,案件コード!$A$1:$B$31,2,FALSE()))</f>
        <v/>
      </c>
      <c r="BE73" s="385"/>
      <c r="BF73" s="385"/>
      <c r="BG73" s="113" t="str">
        <f t="shared" si="27"/>
        <v/>
      </c>
      <c r="BH73" s="285"/>
      <c r="BI73" s="284"/>
      <c r="BJ73" s="286"/>
      <c r="BK73" s="322"/>
    </row>
    <row r="74" spans="1:63">
      <c r="A74" s="312"/>
      <c r="B74" s="385" t="str">
        <f>IF(A74="","",VLOOKUP(A74,案件コード!$A$1:$B$31,2,FALSE()))</f>
        <v/>
      </c>
      <c r="C74" s="385"/>
      <c r="D74" s="385"/>
      <c r="E74" s="113" t="str">
        <f t="shared" si="21"/>
        <v/>
      </c>
      <c r="F74" s="285"/>
      <c r="G74" s="284"/>
      <c r="H74" s="286"/>
      <c r="I74" s="322"/>
      <c r="J74" s="312"/>
      <c r="K74" s="385" t="str">
        <f>IF(J74="","",VLOOKUP(J74,案件コード!$A$1:$B$31,2,FALSE()))</f>
        <v/>
      </c>
      <c r="L74" s="385"/>
      <c r="M74" s="385"/>
      <c r="N74" s="113" t="str">
        <f t="shared" si="22"/>
        <v/>
      </c>
      <c r="O74" s="285"/>
      <c r="P74" s="284"/>
      <c r="Q74" s="286"/>
      <c r="R74" s="322"/>
      <c r="S74" s="312"/>
      <c r="T74" s="385" t="str">
        <f>IF(S74="","",VLOOKUP(S74,案件コード!$A$1:$B$31,2,FALSE()))</f>
        <v/>
      </c>
      <c r="U74" s="385"/>
      <c r="V74" s="385"/>
      <c r="W74" s="113" t="str">
        <f t="shared" si="23"/>
        <v/>
      </c>
      <c r="X74" s="285"/>
      <c r="Y74" s="284"/>
      <c r="Z74" s="286"/>
      <c r="AA74" s="322"/>
      <c r="AB74" s="312"/>
      <c r="AC74" s="385" t="str">
        <f>IF(AB74="","",VLOOKUP(AB74,案件コード!$A$1:$B$31,2,FALSE()))</f>
        <v/>
      </c>
      <c r="AD74" s="385"/>
      <c r="AE74" s="385"/>
      <c r="AF74" s="113" t="str">
        <f t="shared" si="24"/>
        <v/>
      </c>
      <c r="AG74" s="285"/>
      <c r="AH74" s="284"/>
      <c r="AI74" s="286"/>
      <c r="AJ74" s="322"/>
      <c r="AK74" s="312"/>
      <c r="AL74" s="385" t="str">
        <f>IF(AK74="","",VLOOKUP(AK74,案件コード!$A$1:$B$31,2,FALSE()))</f>
        <v/>
      </c>
      <c r="AM74" s="385"/>
      <c r="AN74" s="385"/>
      <c r="AO74" s="113" t="str">
        <f t="shared" si="25"/>
        <v/>
      </c>
      <c r="AP74" s="285"/>
      <c r="AQ74" s="284"/>
      <c r="AR74" s="286"/>
      <c r="AS74" s="322"/>
      <c r="AT74" s="312"/>
      <c r="AU74" s="385" t="str">
        <f>IF(AT74="","",VLOOKUP(AT74,案件コード!$A$1:$B$31,2,FALSE()))</f>
        <v/>
      </c>
      <c r="AV74" s="385"/>
      <c r="AW74" s="385"/>
      <c r="AX74" s="113" t="str">
        <f t="shared" si="26"/>
        <v/>
      </c>
      <c r="AY74" s="285"/>
      <c r="AZ74" s="284"/>
      <c r="BA74" s="286"/>
      <c r="BB74" s="322"/>
      <c r="BC74" s="312"/>
      <c r="BD74" s="385" t="str">
        <f>IF(BC74="","",VLOOKUP(BC74,案件コード!$A$1:$B$31,2,FALSE()))</f>
        <v/>
      </c>
      <c r="BE74" s="385"/>
      <c r="BF74" s="385"/>
      <c r="BG74" s="113" t="str">
        <f t="shared" si="27"/>
        <v/>
      </c>
      <c r="BH74" s="285"/>
      <c r="BI74" s="284"/>
      <c r="BJ74" s="286"/>
      <c r="BK74" s="322"/>
    </row>
    <row r="75" spans="1:63">
      <c r="A75" s="312"/>
      <c r="B75" s="385" t="str">
        <f>IF(A75="","",VLOOKUP(A75,案件コード!$A$1:$B$31,2,FALSE()))</f>
        <v/>
      </c>
      <c r="C75" s="385"/>
      <c r="D75" s="385"/>
      <c r="E75" s="113" t="str">
        <f t="shared" si="21"/>
        <v/>
      </c>
      <c r="F75" s="285"/>
      <c r="G75" s="284"/>
      <c r="H75" s="286"/>
      <c r="I75" s="322"/>
      <c r="J75" s="312"/>
      <c r="K75" s="385" t="str">
        <f>IF(J75="","",VLOOKUP(J75,案件コード!$A$1:$B$31,2,FALSE()))</f>
        <v/>
      </c>
      <c r="L75" s="385"/>
      <c r="M75" s="385"/>
      <c r="N75" s="113" t="str">
        <f t="shared" si="22"/>
        <v/>
      </c>
      <c r="O75" s="285"/>
      <c r="P75" s="284"/>
      <c r="Q75" s="286"/>
      <c r="R75" s="322"/>
      <c r="S75" s="312"/>
      <c r="T75" s="385" t="str">
        <f>IF(S75="","",VLOOKUP(S75,案件コード!$A$1:$B$31,2,FALSE()))</f>
        <v/>
      </c>
      <c r="U75" s="385"/>
      <c r="V75" s="385"/>
      <c r="W75" s="113" t="str">
        <f t="shared" si="23"/>
        <v/>
      </c>
      <c r="X75" s="285"/>
      <c r="Y75" s="284"/>
      <c r="Z75" s="286"/>
      <c r="AA75" s="322"/>
      <c r="AB75" s="312"/>
      <c r="AC75" s="385" t="str">
        <f>IF(AB75="","",VLOOKUP(AB75,案件コード!$A$1:$B$31,2,FALSE()))</f>
        <v/>
      </c>
      <c r="AD75" s="385"/>
      <c r="AE75" s="385"/>
      <c r="AF75" s="113" t="str">
        <f t="shared" si="24"/>
        <v/>
      </c>
      <c r="AG75" s="285"/>
      <c r="AH75" s="284"/>
      <c r="AI75" s="286"/>
      <c r="AJ75" s="322"/>
      <c r="AK75" s="312"/>
      <c r="AL75" s="385" t="str">
        <f>IF(AK75="","",VLOOKUP(AK75,案件コード!$A$1:$B$31,2,FALSE()))</f>
        <v/>
      </c>
      <c r="AM75" s="385"/>
      <c r="AN75" s="385"/>
      <c r="AO75" s="113" t="str">
        <f t="shared" si="25"/>
        <v/>
      </c>
      <c r="AP75" s="285"/>
      <c r="AQ75" s="284"/>
      <c r="AR75" s="286"/>
      <c r="AS75" s="322"/>
      <c r="AT75" s="312"/>
      <c r="AU75" s="385" t="str">
        <f>IF(AT75="","",VLOOKUP(AT75,案件コード!$A$1:$B$31,2,FALSE()))</f>
        <v/>
      </c>
      <c r="AV75" s="385"/>
      <c r="AW75" s="385"/>
      <c r="AX75" s="113" t="str">
        <f t="shared" si="26"/>
        <v/>
      </c>
      <c r="AY75" s="285"/>
      <c r="AZ75" s="284"/>
      <c r="BA75" s="286"/>
      <c r="BB75" s="322"/>
      <c r="BC75" s="312"/>
      <c r="BD75" s="385" t="str">
        <f>IF(BC75="","",VLOOKUP(BC75,案件コード!$A$1:$B$31,2,FALSE()))</f>
        <v/>
      </c>
      <c r="BE75" s="385"/>
      <c r="BF75" s="385"/>
      <c r="BG75" s="113" t="str">
        <f t="shared" si="27"/>
        <v/>
      </c>
      <c r="BH75" s="285"/>
      <c r="BI75" s="284"/>
      <c r="BJ75" s="286"/>
      <c r="BK75" s="322"/>
    </row>
    <row r="76" spans="1:63">
      <c r="A76" s="312"/>
      <c r="B76" s="385" t="str">
        <f>IF(A76="","",VLOOKUP(A76,案件コード!$A$1:$B$31,2,FALSE()))</f>
        <v/>
      </c>
      <c r="C76" s="385"/>
      <c r="D76" s="385"/>
      <c r="E76" s="113" t="str">
        <f t="shared" si="21"/>
        <v/>
      </c>
      <c r="F76" s="285"/>
      <c r="G76" s="284"/>
      <c r="H76" s="286"/>
      <c r="I76" s="322"/>
      <c r="J76" s="312"/>
      <c r="K76" s="385" t="str">
        <f>IF(J76="","",VLOOKUP(J76,案件コード!$A$1:$B$31,2,FALSE()))</f>
        <v/>
      </c>
      <c r="L76" s="385"/>
      <c r="M76" s="385"/>
      <c r="N76" s="113" t="str">
        <f t="shared" si="22"/>
        <v/>
      </c>
      <c r="O76" s="285"/>
      <c r="P76" s="284"/>
      <c r="Q76" s="286"/>
      <c r="R76" s="322"/>
      <c r="S76" s="312"/>
      <c r="T76" s="385" t="str">
        <f>IF(S76="","",VLOOKUP(S76,案件コード!$A$1:$B$31,2,FALSE()))</f>
        <v/>
      </c>
      <c r="U76" s="385"/>
      <c r="V76" s="385"/>
      <c r="W76" s="113" t="str">
        <f t="shared" si="23"/>
        <v/>
      </c>
      <c r="X76" s="285"/>
      <c r="Y76" s="284"/>
      <c r="Z76" s="286"/>
      <c r="AA76" s="322"/>
      <c r="AB76" s="312"/>
      <c r="AC76" s="385" t="str">
        <f>IF(AB76="","",VLOOKUP(AB76,案件コード!$A$1:$B$31,2,FALSE()))</f>
        <v/>
      </c>
      <c r="AD76" s="385"/>
      <c r="AE76" s="385"/>
      <c r="AF76" s="113" t="str">
        <f t="shared" si="24"/>
        <v/>
      </c>
      <c r="AG76" s="285"/>
      <c r="AH76" s="284"/>
      <c r="AI76" s="286"/>
      <c r="AJ76" s="322"/>
      <c r="AK76" s="312"/>
      <c r="AL76" s="385" t="str">
        <f>IF(AK76="","",VLOOKUP(AK76,案件コード!$A$1:$B$31,2,FALSE()))</f>
        <v/>
      </c>
      <c r="AM76" s="385"/>
      <c r="AN76" s="385"/>
      <c r="AO76" s="113" t="str">
        <f t="shared" si="25"/>
        <v/>
      </c>
      <c r="AP76" s="285"/>
      <c r="AQ76" s="284"/>
      <c r="AR76" s="286"/>
      <c r="AS76" s="322"/>
      <c r="AT76" s="312"/>
      <c r="AU76" s="385" t="str">
        <f>IF(AT76="","",VLOOKUP(AT76,案件コード!$A$1:$B$31,2,FALSE()))</f>
        <v/>
      </c>
      <c r="AV76" s="385"/>
      <c r="AW76" s="385"/>
      <c r="AX76" s="113" t="str">
        <f t="shared" si="26"/>
        <v/>
      </c>
      <c r="AY76" s="285"/>
      <c r="AZ76" s="284"/>
      <c r="BA76" s="286"/>
      <c r="BB76" s="322"/>
      <c r="BC76" s="312"/>
      <c r="BD76" s="385" t="str">
        <f>IF(BC76="","",VLOOKUP(BC76,案件コード!$A$1:$B$31,2,FALSE()))</f>
        <v/>
      </c>
      <c r="BE76" s="385"/>
      <c r="BF76" s="385"/>
      <c r="BG76" s="113" t="str">
        <f t="shared" si="27"/>
        <v/>
      </c>
      <c r="BH76" s="285"/>
      <c r="BI76" s="284"/>
      <c r="BJ76" s="286"/>
      <c r="BK76" s="322"/>
    </row>
    <row r="77" spans="1:63">
      <c r="A77" s="312"/>
      <c r="B77" s="385" t="str">
        <f>IF(A77="","",VLOOKUP(A77,案件コード!$A$1:$B$31,2,FALSE()))</f>
        <v/>
      </c>
      <c r="C77" s="385"/>
      <c r="D77" s="385"/>
      <c r="E77" s="113" t="str">
        <f t="shared" si="21"/>
        <v/>
      </c>
      <c r="F77" s="285"/>
      <c r="G77" s="284"/>
      <c r="H77" s="286"/>
      <c r="I77" s="322"/>
      <c r="J77" s="312"/>
      <c r="K77" s="385" t="str">
        <f>IF(J77="","",VLOOKUP(J77,案件コード!$A$1:$B$31,2,FALSE()))</f>
        <v/>
      </c>
      <c r="L77" s="385"/>
      <c r="M77" s="385"/>
      <c r="N77" s="113" t="str">
        <f t="shared" si="22"/>
        <v/>
      </c>
      <c r="O77" s="285"/>
      <c r="P77" s="284"/>
      <c r="Q77" s="286"/>
      <c r="R77" s="322"/>
      <c r="S77" s="312"/>
      <c r="T77" s="385" t="str">
        <f>IF(S77="","",VLOOKUP(S77,案件コード!$A$1:$B$31,2,FALSE()))</f>
        <v/>
      </c>
      <c r="U77" s="385"/>
      <c r="V77" s="385"/>
      <c r="W77" s="113" t="str">
        <f t="shared" si="23"/>
        <v/>
      </c>
      <c r="X77" s="285"/>
      <c r="Y77" s="284"/>
      <c r="Z77" s="286"/>
      <c r="AA77" s="322"/>
      <c r="AB77" s="312"/>
      <c r="AC77" s="385" t="str">
        <f>IF(AB77="","",VLOOKUP(AB77,案件コード!$A$1:$B$31,2,FALSE()))</f>
        <v/>
      </c>
      <c r="AD77" s="385"/>
      <c r="AE77" s="385"/>
      <c r="AF77" s="113" t="str">
        <f t="shared" si="24"/>
        <v/>
      </c>
      <c r="AG77" s="285"/>
      <c r="AH77" s="284"/>
      <c r="AI77" s="286"/>
      <c r="AJ77" s="322"/>
      <c r="AK77" s="312"/>
      <c r="AL77" s="385" t="str">
        <f>IF(AK77="","",VLOOKUP(AK77,案件コード!$A$1:$B$31,2,FALSE()))</f>
        <v/>
      </c>
      <c r="AM77" s="385"/>
      <c r="AN77" s="385"/>
      <c r="AO77" s="113" t="str">
        <f t="shared" si="25"/>
        <v/>
      </c>
      <c r="AP77" s="285"/>
      <c r="AQ77" s="284"/>
      <c r="AR77" s="286"/>
      <c r="AS77" s="322"/>
      <c r="AT77" s="312"/>
      <c r="AU77" s="385" t="str">
        <f>IF(AT77="","",VLOOKUP(AT77,案件コード!$A$1:$B$31,2,FALSE()))</f>
        <v/>
      </c>
      <c r="AV77" s="385"/>
      <c r="AW77" s="385"/>
      <c r="AX77" s="113" t="str">
        <f t="shared" si="26"/>
        <v/>
      </c>
      <c r="AY77" s="285"/>
      <c r="AZ77" s="284"/>
      <c r="BA77" s="286"/>
      <c r="BB77" s="322"/>
      <c r="BC77" s="312"/>
      <c r="BD77" s="385" t="str">
        <f>IF(BC77="","",VLOOKUP(BC77,案件コード!$A$1:$B$31,2,FALSE()))</f>
        <v/>
      </c>
      <c r="BE77" s="385"/>
      <c r="BF77" s="385"/>
      <c r="BG77" s="113" t="str">
        <f t="shared" si="27"/>
        <v/>
      </c>
      <c r="BH77" s="285"/>
      <c r="BI77" s="284"/>
      <c r="BJ77" s="286"/>
      <c r="BK77" s="322"/>
    </row>
    <row r="78" spans="1:63">
      <c r="A78" s="312"/>
      <c r="B78" s="385" t="str">
        <f>IF(A78="","",VLOOKUP(A78,案件コード!$A$1:$B$31,2,FALSE()))</f>
        <v/>
      </c>
      <c r="C78" s="385"/>
      <c r="D78" s="385"/>
      <c r="E78" s="113" t="str">
        <f t="shared" si="21"/>
        <v/>
      </c>
      <c r="F78" s="285"/>
      <c r="G78" s="284"/>
      <c r="H78" s="286"/>
      <c r="I78" s="322"/>
      <c r="J78" s="312"/>
      <c r="K78" s="385" t="str">
        <f>IF(J78="","",VLOOKUP(J78,案件コード!$A$1:$B$31,2,FALSE()))</f>
        <v/>
      </c>
      <c r="L78" s="385"/>
      <c r="M78" s="385"/>
      <c r="N78" s="113" t="str">
        <f t="shared" si="22"/>
        <v/>
      </c>
      <c r="O78" s="285"/>
      <c r="P78" s="284"/>
      <c r="Q78" s="286"/>
      <c r="R78" s="322"/>
      <c r="S78" s="312"/>
      <c r="T78" s="385" t="str">
        <f>IF(S78="","",VLOOKUP(S78,案件コード!$A$1:$B$31,2,FALSE()))</f>
        <v/>
      </c>
      <c r="U78" s="385"/>
      <c r="V78" s="385"/>
      <c r="W78" s="113" t="str">
        <f t="shared" si="23"/>
        <v/>
      </c>
      <c r="X78" s="285"/>
      <c r="Y78" s="284"/>
      <c r="Z78" s="286"/>
      <c r="AA78" s="322"/>
      <c r="AB78" s="312"/>
      <c r="AC78" s="385" t="str">
        <f>IF(AB78="","",VLOOKUP(AB78,案件コード!$A$1:$B$31,2,FALSE()))</f>
        <v/>
      </c>
      <c r="AD78" s="385"/>
      <c r="AE78" s="385"/>
      <c r="AF78" s="113" t="str">
        <f t="shared" si="24"/>
        <v/>
      </c>
      <c r="AG78" s="285"/>
      <c r="AH78" s="284"/>
      <c r="AI78" s="286"/>
      <c r="AJ78" s="322"/>
      <c r="AK78" s="312"/>
      <c r="AL78" s="385" t="str">
        <f>IF(AK78="","",VLOOKUP(AK78,案件コード!$A$1:$B$31,2,FALSE()))</f>
        <v/>
      </c>
      <c r="AM78" s="385"/>
      <c r="AN78" s="385"/>
      <c r="AO78" s="113" t="str">
        <f t="shared" si="25"/>
        <v/>
      </c>
      <c r="AP78" s="285"/>
      <c r="AQ78" s="284"/>
      <c r="AR78" s="286"/>
      <c r="AS78" s="322"/>
      <c r="AT78" s="312"/>
      <c r="AU78" s="385" t="str">
        <f>IF(AT78="","",VLOOKUP(AT78,案件コード!$A$1:$B$31,2,FALSE()))</f>
        <v/>
      </c>
      <c r="AV78" s="385"/>
      <c r="AW78" s="385"/>
      <c r="AX78" s="113" t="str">
        <f t="shared" si="26"/>
        <v/>
      </c>
      <c r="AY78" s="285"/>
      <c r="AZ78" s="284"/>
      <c r="BA78" s="286"/>
      <c r="BB78" s="322"/>
      <c r="BC78" s="312"/>
      <c r="BD78" s="385" t="str">
        <f>IF(BC78="","",VLOOKUP(BC78,案件コード!$A$1:$B$31,2,FALSE()))</f>
        <v/>
      </c>
      <c r="BE78" s="385"/>
      <c r="BF78" s="385"/>
      <c r="BG78" s="113" t="str">
        <f t="shared" si="27"/>
        <v/>
      </c>
      <c r="BH78" s="285"/>
      <c r="BI78" s="284"/>
      <c r="BJ78" s="286"/>
      <c r="BK78" s="322"/>
    </row>
    <row r="79" spans="1:63">
      <c r="A79" s="312"/>
      <c r="B79" s="385" t="str">
        <f>IF(A79="","",VLOOKUP(A79,案件コード!$A$1:$B$31,2,FALSE()))</f>
        <v/>
      </c>
      <c r="C79" s="385"/>
      <c r="D79" s="385"/>
      <c r="E79" s="113" t="str">
        <f t="shared" si="21"/>
        <v/>
      </c>
      <c r="F79" s="285"/>
      <c r="G79" s="284"/>
      <c r="H79" s="286"/>
      <c r="I79" s="322"/>
      <c r="J79" s="312"/>
      <c r="K79" s="385" t="str">
        <f>IF(J79="","",VLOOKUP(J79,案件コード!$A$1:$B$31,2,FALSE()))</f>
        <v/>
      </c>
      <c r="L79" s="385"/>
      <c r="M79" s="385"/>
      <c r="N79" s="113" t="str">
        <f t="shared" si="22"/>
        <v/>
      </c>
      <c r="O79" s="285"/>
      <c r="P79" s="284"/>
      <c r="Q79" s="286"/>
      <c r="R79" s="322"/>
      <c r="S79" s="312"/>
      <c r="T79" s="385" t="str">
        <f>IF(S79="","",VLOOKUP(S79,案件コード!$A$1:$B$31,2,FALSE()))</f>
        <v/>
      </c>
      <c r="U79" s="385"/>
      <c r="V79" s="385"/>
      <c r="W79" s="113" t="str">
        <f t="shared" si="23"/>
        <v/>
      </c>
      <c r="X79" s="285"/>
      <c r="Y79" s="284"/>
      <c r="Z79" s="286"/>
      <c r="AA79" s="322"/>
      <c r="AB79" s="312"/>
      <c r="AC79" s="385" t="str">
        <f>IF(AB79="","",VLOOKUP(AB79,案件コード!$A$1:$B$31,2,FALSE()))</f>
        <v/>
      </c>
      <c r="AD79" s="385"/>
      <c r="AE79" s="385"/>
      <c r="AF79" s="113" t="str">
        <f t="shared" si="24"/>
        <v/>
      </c>
      <c r="AG79" s="285"/>
      <c r="AH79" s="284"/>
      <c r="AI79" s="286"/>
      <c r="AJ79" s="322"/>
      <c r="AK79" s="312"/>
      <c r="AL79" s="385" t="str">
        <f>IF(AK79="","",VLOOKUP(AK79,案件コード!$A$1:$B$31,2,FALSE()))</f>
        <v/>
      </c>
      <c r="AM79" s="385"/>
      <c r="AN79" s="385"/>
      <c r="AO79" s="113" t="str">
        <f t="shared" si="25"/>
        <v/>
      </c>
      <c r="AP79" s="285"/>
      <c r="AQ79" s="284"/>
      <c r="AR79" s="286"/>
      <c r="AS79" s="322"/>
      <c r="AT79" s="312"/>
      <c r="AU79" s="385" t="str">
        <f>IF(AT79="","",VLOOKUP(AT79,案件コード!$A$1:$B$31,2,FALSE()))</f>
        <v/>
      </c>
      <c r="AV79" s="385"/>
      <c r="AW79" s="385"/>
      <c r="AX79" s="113" t="str">
        <f t="shared" si="26"/>
        <v/>
      </c>
      <c r="AY79" s="285"/>
      <c r="AZ79" s="284"/>
      <c r="BA79" s="286"/>
      <c r="BB79" s="322"/>
      <c r="BC79" s="312"/>
      <c r="BD79" s="385" t="str">
        <f>IF(BC79="","",VLOOKUP(BC79,案件コード!$A$1:$B$31,2,FALSE()))</f>
        <v/>
      </c>
      <c r="BE79" s="385"/>
      <c r="BF79" s="385"/>
      <c r="BG79" s="113" t="str">
        <f t="shared" si="27"/>
        <v/>
      </c>
      <c r="BH79" s="285"/>
      <c r="BI79" s="284"/>
      <c r="BJ79" s="286"/>
      <c r="BK79" s="322"/>
    </row>
    <row r="80" spans="1:63">
      <c r="A80" s="312"/>
      <c r="B80" s="385" t="str">
        <f>IF(A80="","",VLOOKUP(A80,案件コード!$A$1:$B$31,2,FALSE()))</f>
        <v/>
      </c>
      <c r="C80" s="385"/>
      <c r="D80" s="385"/>
      <c r="E80" s="113" t="str">
        <f t="shared" si="21"/>
        <v/>
      </c>
      <c r="F80" s="285"/>
      <c r="G80" s="284"/>
      <c r="H80" s="286"/>
      <c r="I80" s="322"/>
      <c r="J80" s="312"/>
      <c r="K80" s="385" t="str">
        <f>IF(J80="","",VLOOKUP(J80,案件コード!$A$1:$B$31,2,FALSE()))</f>
        <v/>
      </c>
      <c r="L80" s="385"/>
      <c r="M80" s="385"/>
      <c r="N80" s="113" t="str">
        <f t="shared" si="22"/>
        <v/>
      </c>
      <c r="O80" s="285"/>
      <c r="P80" s="284"/>
      <c r="Q80" s="286"/>
      <c r="R80" s="322"/>
      <c r="S80" s="312"/>
      <c r="T80" s="385" t="str">
        <f>IF(S80="","",VLOOKUP(S80,案件コード!$A$1:$B$31,2,FALSE()))</f>
        <v/>
      </c>
      <c r="U80" s="385"/>
      <c r="V80" s="385"/>
      <c r="W80" s="113" t="str">
        <f t="shared" si="23"/>
        <v/>
      </c>
      <c r="X80" s="285"/>
      <c r="Y80" s="284"/>
      <c r="Z80" s="286"/>
      <c r="AA80" s="322"/>
      <c r="AB80" s="312"/>
      <c r="AC80" s="385" t="str">
        <f>IF(AB80="","",VLOOKUP(AB80,案件コード!$A$1:$B$31,2,FALSE()))</f>
        <v/>
      </c>
      <c r="AD80" s="385"/>
      <c r="AE80" s="385"/>
      <c r="AF80" s="113" t="str">
        <f t="shared" si="24"/>
        <v/>
      </c>
      <c r="AG80" s="285"/>
      <c r="AH80" s="284"/>
      <c r="AI80" s="286"/>
      <c r="AJ80" s="322"/>
      <c r="AK80" s="312"/>
      <c r="AL80" s="385" t="str">
        <f>IF(AK80="","",VLOOKUP(AK80,案件コード!$A$1:$B$31,2,FALSE()))</f>
        <v/>
      </c>
      <c r="AM80" s="385"/>
      <c r="AN80" s="385"/>
      <c r="AO80" s="113" t="str">
        <f t="shared" si="25"/>
        <v/>
      </c>
      <c r="AP80" s="285"/>
      <c r="AQ80" s="284"/>
      <c r="AR80" s="286"/>
      <c r="AS80" s="322"/>
      <c r="AT80" s="312"/>
      <c r="AU80" s="385" t="str">
        <f>IF(AT80="","",VLOOKUP(AT80,案件コード!$A$1:$B$31,2,FALSE()))</f>
        <v/>
      </c>
      <c r="AV80" s="385"/>
      <c r="AW80" s="385"/>
      <c r="AX80" s="113" t="str">
        <f t="shared" si="26"/>
        <v/>
      </c>
      <c r="AY80" s="285"/>
      <c r="AZ80" s="284"/>
      <c r="BA80" s="286"/>
      <c r="BB80" s="322"/>
      <c r="BC80" s="312"/>
      <c r="BD80" s="385" t="str">
        <f>IF(BC80="","",VLOOKUP(BC80,案件コード!$A$1:$B$31,2,FALSE()))</f>
        <v/>
      </c>
      <c r="BE80" s="385"/>
      <c r="BF80" s="385"/>
      <c r="BG80" s="113" t="str">
        <f t="shared" si="27"/>
        <v/>
      </c>
      <c r="BH80" s="285"/>
      <c r="BI80" s="284"/>
      <c r="BJ80" s="286"/>
      <c r="BK80" s="322"/>
    </row>
    <row r="81" spans="1:63">
      <c r="A81" s="312"/>
      <c r="B81" s="385" t="str">
        <f>IF(A81="","",VLOOKUP(A81,案件コード!$A$1:$B$31,2,FALSE()))</f>
        <v/>
      </c>
      <c r="C81" s="385"/>
      <c r="D81" s="385"/>
      <c r="E81" s="113" t="str">
        <f t="shared" si="21"/>
        <v/>
      </c>
      <c r="F81" s="285"/>
      <c r="G81" s="284"/>
      <c r="H81" s="286"/>
      <c r="I81" s="322"/>
      <c r="J81" s="312"/>
      <c r="K81" s="385" t="str">
        <f>IF(J81="","",VLOOKUP(J81,案件コード!$A$1:$B$31,2,FALSE()))</f>
        <v/>
      </c>
      <c r="L81" s="385"/>
      <c r="M81" s="385"/>
      <c r="N81" s="113" t="str">
        <f t="shared" si="22"/>
        <v/>
      </c>
      <c r="O81" s="285"/>
      <c r="P81" s="284"/>
      <c r="Q81" s="286"/>
      <c r="R81" s="322"/>
      <c r="S81" s="312"/>
      <c r="T81" s="385" t="str">
        <f>IF(S81="","",VLOOKUP(S81,案件コード!$A$1:$B$31,2,FALSE()))</f>
        <v/>
      </c>
      <c r="U81" s="385"/>
      <c r="V81" s="385"/>
      <c r="W81" s="113" t="str">
        <f t="shared" si="23"/>
        <v/>
      </c>
      <c r="X81" s="285"/>
      <c r="Y81" s="284"/>
      <c r="Z81" s="286"/>
      <c r="AA81" s="322"/>
      <c r="AB81" s="312"/>
      <c r="AC81" s="385" t="str">
        <f>IF(AB81="","",VLOOKUP(AB81,案件コード!$A$1:$B$31,2,FALSE()))</f>
        <v/>
      </c>
      <c r="AD81" s="385"/>
      <c r="AE81" s="385"/>
      <c r="AF81" s="113" t="str">
        <f t="shared" si="24"/>
        <v/>
      </c>
      <c r="AG81" s="285"/>
      <c r="AH81" s="284"/>
      <c r="AI81" s="286"/>
      <c r="AJ81" s="322"/>
      <c r="AK81" s="312"/>
      <c r="AL81" s="385" t="str">
        <f>IF(AK81="","",VLOOKUP(AK81,案件コード!$A$1:$B$31,2,FALSE()))</f>
        <v/>
      </c>
      <c r="AM81" s="385"/>
      <c r="AN81" s="385"/>
      <c r="AO81" s="113" t="str">
        <f t="shared" si="25"/>
        <v/>
      </c>
      <c r="AP81" s="285"/>
      <c r="AQ81" s="284"/>
      <c r="AR81" s="286"/>
      <c r="AS81" s="322"/>
      <c r="AT81" s="312"/>
      <c r="AU81" s="385" t="str">
        <f>IF(AT81="","",VLOOKUP(AT81,案件コード!$A$1:$B$31,2,FALSE()))</f>
        <v/>
      </c>
      <c r="AV81" s="385"/>
      <c r="AW81" s="385"/>
      <c r="AX81" s="113" t="str">
        <f t="shared" si="26"/>
        <v/>
      </c>
      <c r="AY81" s="285"/>
      <c r="AZ81" s="284"/>
      <c r="BA81" s="286"/>
      <c r="BB81" s="322"/>
      <c r="BC81" s="312"/>
      <c r="BD81" s="385" t="str">
        <f>IF(BC81="","",VLOOKUP(BC81,案件コード!$A$1:$B$31,2,FALSE()))</f>
        <v/>
      </c>
      <c r="BE81" s="385"/>
      <c r="BF81" s="385"/>
      <c r="BG81" s="113" t="str">
        <f t="shared" si="27"/>
        <v/>
      </c>
      <c r="BH81" s="285"/>
      <c r="BI81" s="284"/>
      <c r="BJ81" s="286"/>
      <c r="BK81" s="322"/>
    </row>
    <row r="82" spans="1:63">
      <c r="A82" s="312"/>
      <c r="B82" s="385" t="str">
        <f>IF(A82="","",VLOOKUP(A82,案件コード!$A$1:$B$31,2,FALSE()))</f>
        <v/>
      </c>
      <c r="C82" s="385"/>
      <c r="D82" s="385"/>
      <c r="E82" s="113" t="str">
        <f t="shared" si="21"/>
        <v/>
      </c>
      <c r="F82" s="285"/>
      <c r="G82" s="284"/>
      <c r="H82" s="286"/>
      <c r="I82" s="322"/>
      <c r="J82" s="312"/>
      <c r="K82" s="385" t="str">
        <f>IF(J82="","",VLOOKUP(J82,案件コード!$A$1:$B$31,2,FALSE()))</f>
        <v/>
      </c>
      <c r="L82" s="385"/>
      <c r="M82" s="385"/>
      <c r="N82" s="113" t="str">
        <f t="shared" si="22"/>
        <v/>
      </c>
      <c r="O82" s="285"/>
      <c r="P82" s="284"/>
      <c r="Q82" s="286"/>
      <c r="R82" s="322"/>
      <c r="S82" s="312"/>
      <c r="T82" s="385" t="str">
        <f>IF(S82="","",VLOOKUP(S82,案件コード!$A$1:$B$31,2,FALSE()))</f>
        <v/>
      </c>
      <c r="U82" s="385"/>
      <c r="V82" s="385"/>
      <c r="W82" s="113" t="str">
        <f t="shared" si="23"/>
        <v/>
      </c>
      <c r="X82" s="285"/>
      <c r="Y82" s="284"/>
      <c r="Z82" s="286"/>
      <c r="AA82" s="322"/>
      <c r="AB82" s="312"/>
      <c r="AC82" s="385" t="str">
        <f>IF(AB82="","",VLOOKUP(AB82,案件コード!$A$1:$B$31,2,FALSE()))</f>
        <v/>
      </c>
      <c r="AD82" s="385"/>
      <c r="AE82" s="385"/>
      <c r="AF82" s="113" t="str">
        <f t="shared" si="24"/>
        <v/>
      </c>
      <c r="AG82" s="285"/>
      <c r="AH82" s="284"/>
      <c r="AI82" s="286"/>
      <c r="AJ82" s="322"/>
      <c r="AK82" s="312"/>
      <c r="AL82" s="385" t="str">
        <f>IF(AK82="","",VLOOKUP(AK82,案件コード!$A$1:$B$31,2,FALSE()))</f>
        <v/>
      </c>
      <c r="AM82" s="385"/>
      <c r="AN82" s="385"/>
      <c r="AO82" s="113" t="str">
        <f t="shared" si="25"/>
        <v/>
      </c>
      <c r="AP82" s="285"/>
      <c r="AQ82" s="284"/>
      <c r="AR82" s="286"/>
      <c r="AS82" s="322"/>
      <c r="AT82" s="312"/>
      <c r="AU82" s="385" t="str">
        <f>IF(AT82="","",VLOOKUP(AT82,案件コード!$A$1:$B$31,2,FALSE()))</f>
        <v/>
      </c>
      <c r="AV82" s="385"/>
      <c r="AW82" s="385"/>
      <c r="AX82" s="113" t="str">
        <f t="shared" si="26"/>
        <v/>
      </c>
      <c r="AY82" s="285"/>
      <c r="AZ82" s="284"/>
      <c r="BA82" s="286"/>
      <c r="BB82" s="322"/>
      <c r="BC82" s="312"/>
      <c r="BD82" s="385" t="str">
        <f>IF(BC82="","",VLOOKUP(BC82,案件コード!$A$1:$B$31,2,FALSE()))</f>
        <v/>
      </c>
      <c r="BE82" s="385"/>
      <c r="BF82" s="385"/>
      <c r="BG82" s="113" t="str">
        <f t="shared" si="27"/>
        <v/>
      </c>
      <c r="BH82" s="285"/>
      <c r="BI82" s="284"/>
      <c r="BJ82" s="286"/>
      <c r="BK82" s="322"/>
    </row>
    <row r="83" spans="1:63" ht="18.600000000000001" thickBot="1">
      <c r="A83" s="315"/>
      <c r="B83" s="386" t="str">
        <f>IF(A83="","",VLOOKUP(A83,案件コード!$A$1:$B$31,2,FALSE()))</f>
        <v/>
      </c>
      <c r="C83" s="386"/>
      <c r="D83" s="386"/>
      <c r="E83" s="316" t="str">
        <f t="shared" si="21"/>
        <v/>
      </c>
      <c r="F83" s="317"/>
      <c r="G83" s="318"/>
      <c r="H83" s="319"/>
      <c r="I83" s="323"/>
      <c r="J83" s="315"/>
      <c r="K83" s="386" t="str">
        <f>IF(J83="","",VLOOKUP(J83,案件コード!$A$1:$B$31,2,FALSE()))</f>
        <v/>
      </c>
      <c r="L83" s="386"/>
      <c r="M83" s="386"/>
      <c r="N83" s="316" t="str">
        <f t="shared" si="22"/>
        <v/>
      </c>
      <c r="O83" s="317"/>
      <c r="P83" s="318"/>
      <c r="Q83" s="319"/>
      <c r="R83" s="323"/>
      <c r="S83" s="315"/>
      <c r="T83" s="386" t="str">
        <f>IF(S83="","",VLOOKUP(S83,案件コード!$A$1:$B$31,2,FALSE()))</f>
        <v/>
      </c>
      <c r="U83" s="386"/>
      <c r="V83" s="386"/>
      <c r="W83" s="316" t="str">
        <f t="shared" si="23"/>
        <v/>
      </c>
      <c r="X83" s="317"/>
      <c r="Y83" s="318"/>
      <c r="Z83" s="319"/>
      <c r="AA83" s="323"/>
      <c r="AB83" s="315"/>
      <c r="AC83" s="386" t="str">
        <f>IF(AB83="","",VLOOKUP(AB83,案件コード!$A$1:$B$31,2,FALSE()))</f>
        <v/>
      </c>
      <c r="AD83" s="386"/>
      <c r="AE83" s="386"/>
      <c r="AF83" s="316" t="str">
        <f t="shared" si="24"/>
        <v/>
      </c>
      <c r="AG83" s="317"/>
      <c r="AH83" s="318"/>
      <c r="AI83" s="319"/>
      <c r="AJ83" s="323"/>
      <c r="AK83" s="315"/>
      <c r="AL83" s="386" t="str">
        <f>IF(AK83="","",VLOOKUP(AK83,案件コード!$A$1:$B$31,2,FALSE()))</f>
        <v/>
      </c>
      <c r="AM83" s="386"/>
      <c r="AN83" s="386"/>
      <c r="AO83" s="316" t="str">
        <f t="shared" si="25"/>
        <v/>
      </c>
      <c r="AP83" s="317"/>
      <c r="AQ83" s="318"/>
      <c r="AR83" s="319"/>
      <c r="AS83" s="323"/>
      <c r="AT83" s="315"/>
      <c r="AU83" s="386" t="str">
        <f>IF(AT83="","",VLOOKUP(AT83,案件コード!$A$1:$B$31,2,FALSE()))</f>
        <v/>
      </c>
      <c r="AV83" s="386"/>
      <c r="AW83" s="386"/>
      <c r="AX83" s="316" t="str">
        <f t="shared" si="26"/>
        <v/>
      </c>
      <c r="AY83" s="317"/>
      <c r="AZ83" s="318"/>
      <c r="BA83" s="319"/>
      <c r="BB83" s="323"/>
      <c r="BC83" s="315"/>
      <c r="BD83" s="386" t="str">
        <f>IF(BC83="","",VLOOKUP(BC83,案件コード!$A$1:$B$31,2,FALSE()))</f>
        <v/>
      </c>
      <c r="BE83" s="386"/>
      <c r="BF83" s="386"/>
      <c r="BG83" s="316" t="str">
        <f t="shared" si="27"/>
        <v/>
      </c>
      <c r="BH83" s="317"/>
      <c r="BI83" s="318"/>
      <c r="BJ83" s="319"/>
      <c r="BK83" s="323"/>
    </row>
    <row r="84" spans="1:63" ht="18.600000000000001" thickBot="1">
      <c r="A84" s="41"/>
      <c r="B84" s="41"/>
      <c r="C84" s="41"/>
      <c r="D84" s="41"/>
      <c r="E84" s="41"/>
      <c r="F84" s="41"/>
      <c r="G84" s="41"/>
      <c r="H84" s="307">
        <f>SUM(H69:H83)</f>
        <v>0</v>
      </c>
      <c r="I84" s="41"/>
      <c r="J84" s="41"/>
      <c r="K84" s="41"/>
      <c r="L84" s="41"/>
      <c r="M84" s="41"/>
      <c r="N84" s="41"/>
      <c r="O84" s="41"/>
      <c r="P84" s="41"/>
      <c r="Q84" s="307">
        <f>SUM(Q69:Q83)</f>
        <v>0</v>
      </c>
      <c r="R84" s="41"/>
      <c r="S84" s="41"/>
      <c r="T84" s="41"/>
      <c r="U84" s="41"/>
      <c r="V84" s="41"/>
      <c r="W84" s="41"/>
      <c r="X84" s="41"/>
      <c r="Y84" s="41"/>
      <c r="Z84" s="307">
        <f>SUM(Z69:Z83)</f>
        <v>0</v>
      </c>
      <c r="AA84" s="41"/>
      <c r="AB84" s="41"/>
      <c r="AC84" s="41"/>
      <c r="AD84" s="41"/>
      <c r="AE84" s="41"/>
      <c r="AF84" s="41"/>
      <c r="AG84" s="41"/>
      <c r="AH84" s="41"/>
      <c r="AI84" s="307">
        <f>SUM(AI69:AI83)</f>
        <v>0</v>
      </c>
      <c r="AJ84" s="41"/>
      <c r="AK84" s="41"/>
      <c r="AL84" s="41"/>
      <c r="AM84" s="41"/>
      <c r="AN84" s="41"/>
      <c r="AO84" s="41"/>
      <c r="AP84" s="41"/>
      <c r="AQ84" s="41"/>
      <c r="AR84" s="307">
        <f>SUM(AR69:AR83)</f>
        <v>0</v>
      </c>
      <c r="AS84" s="41"/>
      <c r="AT84" s="41"/>
      <c r="AU84" s="41"/>
      <c r="AV84" s="41"/>
      <c r="AW84" s="41"/>
      <c r="AX84" s="41"/>
      <c r="AY84" s="41"/>
      <c r="AZ84" s="41"/>
      <c r="BA84" s="307">
        <f>SUM(BA69:BA83)</f>
        <v>0</v>
      </c>
      <c r="BB84" s="41"/>
      <c r="BC84" s="41"/>
      <c r="BD84" s="41"/>
      <c r="BE84" s="41"/>
      <c r="BF84" s="41"/>
      <c r="BG84" s="41"/>
      <c r="BH84" s="41"/>
      <c r="BI84" s="41"/>
      <c r="BJ84" s="307">
        <f>SUM(BJ69:BJ83)</f>
        <v>0</v>
      </c>
      <c r="BK84" s="41"/>
    </row>
    <row r="85" spans="1:63">
      <c r="A85" s="390" t="s">
        <v>16</v>
      </c>
      <c r="B85" s="391"/>
      <c r="C85" s="391" t="s">
        <v>17</v>
      </c>
      <c r="D85" s="391"/>
      <c r="E85" s="391" t="s">
        <v>18</v>
      </c>
      <c r="F85" s="392"/>
      <c r="G85" s="41"/>
      <c r="H85" s="41"/>
      <c r="I85" s="41"/>
      <c r="J85" s="390" t="s">
        <v>16</v>
      </c>
      <c r="K85" s="391"/>
      <c r="L85" s="391" t="s">
        <v>17</v>
      </c>
      <c r="M85" s="391"/>
      <c r="N85" s="391" t="s">
        <v>18</v>
      </c>
      <c r="O85" s="392"/>
      <c r="P85" s="41"/>
      <c r="Q85" s="41"/>
      <c r="R85" s="41"/>
      <c r="S85" s="390" t="s">
        <v>16</v>
      </c>
      <c r="T85" s="391"/>
      <c r="U85" s="391" t="s">
        <v>17</v>
      </c>
      <c r="V85" s="391"/>
      <c r="W85" s="391" t="s">
        <v>18</v>
      </c>
      <c r="X85" s="392"/>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c r="BJ85" s="41"/>
      <c r="BK85" s="41"/>
    </row>
    <row r="86" spans="1:63" ht="18.600000000000001" thickBot="1">
      <c r="A86" s="387">
        <f>IF(DAY(DATE($A$1,$B$1,29))=29,BC66+1,"")</f>
        <v>45929</v>
      </c>
      <c r="B86" s="388"/>
      <c r="C86" s="289"/>
      <c r="D86" s="289"/>
      <c r="E86" s="290" t="str">
        <f>IF(C86="","",D86-C86-H86)</f>
        <v/>
      </c>
      <c r="F86" s="291" t="str">
        <f>IF(AND(E86=""),"",SUM(E89:E103))</f>
        <v/>
      </c>
      <c r="G86" s="114" t="s">
        <v>19</v>
      </c>
      <c r="H86" s="287">
        <v>4.1666666666666699E-2</v>
      </c>
      <c r="I86" s="41"/>
      <c r="J86" s="387">
        <f>IF(DAY(DATE($A$1,$B$1,30))=30,A86+1,"")</f>
        <v>45930</v>
      </c>
      <c r="K86" s="388"/>
      <c r="L86" s="289"/>
      <c r="M86" s="289"/>
      <c r="N86" s="290" t="str">
        <f>IF(L86="","",M86-L86-Q86)</f>
        <v/>
      </c>
      <c r="O86" s="291" t="str">
        <f>IF(AND(N86=""),"",SUM(N89:N103))</f>
        <v/>
      </c>
      <c r="P86" s="114" t="s">
        <v>19</v>
      </c>
      <c r="Q86" s="287">
        <v>4.1666666666666699E-2</v>
      </c>
      <c r="R86" s="41"/>
      <c r="S86" s="387" t="str">
        <f>IF(DAY(DATE($A$1,$B$1,31))=31,J86+1,"")</f>
        <v/>
      </c>
      <c r="T86" s="388"/>
      <c r="U86" s="289"/>
      <c r="V86" s="289"/>
      <c r="W86" s="290" t="str">
        <f>IF(U86="","",V86-U86-Z86)</f>
        <v/>
      </c>
      <c r="X86" s="291" t="str">
        <f>IF(AND(W86=""),"",SUM(W89:W103))</f>
        <v/>
      </c>
      <c r="Y86" s="114" t="s">
        <v>19</v>
      </c>
      <c r="Z86" s="287">
        <v>4.1666666666666699E-2</v>
      </c>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c r="BF86" s="41"/>
      <c r="BG86" s="41"/>
      <c r="BH86" s="41"/>
      <c r="BI86" s="41"/>
      <c r="BJ86" s="41"/>
      <c r="BK86" s="41"/>
    </row>
    <row r="87" spans="1:63" ht="18.600000000000001" thickBot="1">
      <c r="A87" s="41" t="s">
        <v>38</v>
      </c>
      <c r="B87" s="115"/>
      <c r="C87" s="115"/>
      <c r="D87" s="115"/>
      <c r="E87" s="116"/>
      <c r="F87" s="117"/>
      <c r="G87" s="117"/>
      <c r="H87" s="185"/>
      <c r="I87" s="41"/>
      <c r="J87" s="41" t="s">
        <v>38</v>
      </c>
      <c r="K87" s="115"/>
      <c r="L87" s="115"/>
      <c r="M87" s="115"/>
      <c r="N87" s="116"/>
      <c r="O87" s="117"/>
      <c r="P87" s="117"/>
      <c r="Q87" s="185"/>
      <c r="R87" s="41"/>
      <c r="S87" s="41" t="s">
        <v>38</v>
      </c>
      <c r="T87" s="115"/>
      <c r="U87" s="115"/>
      <c r="V87" s="115"/>
      <c r="W87" s="116"/>
      <c r="X87" s="117"/>
      <c r="Y87" s="117"/>
      <c r="Z87" s="185"/>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c r="BF87" s="41"/>
      <c r="BG87" s="41"/>
      <c r="BH87" s="41"/>
      <c r="BI87" s="41"/>
      <c r="BJ87" s="41"/>
      <c r="BK87" s="41"/>
    </row>
    <row r="88" spans="1:63">
      <c r="A88" s="308" t="s">
        <v>20</v>
      </c>
      <c r="B88" s="389" t="s">
        <v>21</v>
      </c>
      <c r="C88" s="389"/>
      <c r="D88" s="389"/>
      <c r="E88" s="309" t="s">
        <v>22</v>
      </c>
      <c r="F88" s="309" t="s">
        <v>0</v>
      </c>
      <c r="G88" s="309" t="s">
        <v>39</v>
      </c>
      <c r="H88" s="310" t="s">
        <v>23</v>
      </c>
      <c r="I88" s="311" t="s">
        <v>24</v>
      </c>
      <c r="J88" s="308" t="s">
        <v>20</v>
      </c>
      <c r="K88" s="389" t="s">
        <v>21</v>
      </c>
      <c r="L88" s="389"/>
      <c r="M88" s="389"/>
      <c r="N88" s="309" t="s">
        <v>22</v>
      </c>
      <c r="O88" s="309" t="s">
        <v>0</v>
      </c>
      <c r="P88" s="309" t="s">
        <v>39</v>
      </c>
      <c r="Q88" s="310" t="s">
        <v>23</v>
      </c>
      <c r="R88" s="311" t="s">
        <v>24</v>
      </c>
      <c r="S88" s="308" t="s">
        <v>20</v>
      </c>
      <c r="T88" s="389" t="s">
        <v>21</v>
      </c>
      <c r="U88" s="389"/>
      <c r="V88" s="389"/>
      <c r="W88" s="309" t="s">
        <v>22</v>
      </c>
      <c r="X88" s="309" t="s">
        <v>0</v>
      </c>
      <c r="Y88" s="309" t="s">
        <v>39</v>
      </c>
      <c r="Z88" s="310" t="s">
        <v>23</v>
      </c>
      <c r="AA88" s="311" t="s">
        <v>24</v>
      </c>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c r="BF88" s="41"/>
      <c r="BG88" s="41"/>
      <c r="BH88" s="41"/>
      <c r="BI88" s="41"/>
      <c r="BJ88" s="41"/>
      <c r="BK88" s="41"/>
    </row>
    <row r="89" spans="1:63">
      <c r="A89" s="312"/>
      <c r="B89" s="385" t="str">
        <f>IF(A89="","",VLOOKUP(A89,案件コード!$A$1:$B$31,2,FALSE()))</f>
        <v/>
      </c>
      <c r="C89" s="385"/>
      <c r="D89" s="385"/>
      <c r="E89" s="113" t="str">
        <f t="shared" ref="E89:E103" si="28">IF(AND(F89="",G89=""),"",SUM(F89:G89))</f>
        <v/>
      </c>
      <c r="F89" s="285"/>
      <c r="G89" s="284"/>
      <c r="H89" s="286"/>
      <c r="I89" s="321"/>
      <c r="J89" s="312"/>
      <c r="K89" s="385" t="str">
        <f>IF(J89="","",VLOOKUP(J89,案件コード!$A$1:$B$31,2,FALSE()))</f>
        <v/>
      </c>
      <c r="L89" s="385"/>
      <c r="M89" s="385"/>
      <c r="N89" s="113" t="str">
        <f t="shared" ref="N89:N103" si="29">IF(AND(O89="",P89=""),"",SUM(O89:P89))</f>
        <v/>
      </c>
      <c r="O89" s="285"/>
      <c r="P89" s="284"/>
      <c r="Q89" s="286"/>
      <c r="R89" s="321"/>
      <c r="S89" s="312"/>
      <c r="T89" s="385" t="str">
        <f>IF(S89="","",VLOOKUP(S89,案件コード!$A$1:$B$31,2,FALSE()))</f>
        <v/>
      </c>
      <c r="U89" s="385"/>
      <c r="V89" s="385"/>
      <c r="W89" s="113" t="str">
        <f t="shared" ref="W89:W103" si="30">IF(AND(X89="",Y89=""),"",SUM(X89:Y89))</f>
        <v/>
      </c>
      <c r="X89" s="285"/>
      <c r="Y89" s="284"/>
      <c r="Z89" s="286"/>
      <c r="AA89" s="32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c r="BF89" s="41"/>
      <c r="BG89" s="41"/>
      <c r="BH89" s="41"/>
      <c r="BI89" s="41"/>
      <c r="BJ89" s="41"/>
      <c r="BK89" s="41"/>
    </row>
    <row r="90" spans="1:63">
      <c r="A90" s="312"/>
      <c r="B90" s="385" t="str">
        <f>IF(A90="","",VLOOKUP(A90,案件コード!$A$1:$B$31,2,FALSE()))</f>
        <v/>
      </c>
      <c r="C90" s="385"/>
      <c r="D90" s="385"/>
      <c r="E90" s="113" t="str">
        <f t="shared" si="28"/>
        <v/>
      </c>
      <c r="F90" s="285"/>
      <c r="G90" s="284"/>
      <c r="H90" s="286"/>
      <c r="I90" s="322"/>
      <c r="J90" s="312"/>
      <c r="K90" s="385" t="str">
        <f>IF(J90="","",VLOOKUP(J90,案件コード!$A$1:$B$31,2,FALSE()))</f>
        <v/>
      </c>
      <c r="L90" s="385"/>
      <c r="M90" s="385"/>
      <c r="N90" s="113" t="str">
        <f t="shared" si="29"/>
        <v/>
      </c>
      <c r="O90" s="285"/>
      <c r="P90" s="284"/>
      <c r="Q90" s="286"/>
      <c r="R90" s="322"/>
      <c r="S90" s="312"/>
      <c r="T90" s="385" t="str">
        <f>IF(S90="","",VLOOKUP(S90,案件コード!$A$1:$B$31,2,FALSE()))</f>
        <v/>
      </c>
      <c r="U90" s="385"/>
      <c r="V90" s="385"/>
      <c r="W90" s="113" t="str">
        <f t="shared" si="30"/>
        <v/>
      </c>
      <c r="X90" s="285"/>
      <c r="Y90" s="284"/>
      <c r="Z90" s="286"/>
      <c r="AA90" s="322"/>
      <c r="AB90" s="41"/>
      <c r="AC90" s="41"/>
      <c r="AD90" s="41"/>
      <c r="AE90" s="41"/>
      <c r="AF90" s="41"/>
      <c r="AG90" s="41"/>
      <c r="AH90" s="41"/>
      <c r="AI90" s="41"/>
      <c r="AJ90" s="41"/>
      <c r="AK90" s="41"/>
      <c r="AL90" s="41"/>
      <c r="AM90" s="41"/>
      <c r="AN90" s="41"/>
      <c r="AO90" s="41"/>
      <c r="AP90" s="41"/>
      <c r="AQ90" s="41"/>
      <c r="AR90" s="41"/>
      <c r="AS90" s="41"/>
      <c r="AT90" s="41"/>
      <c r="AU90" s="41"/>
      <c r="AV90" s="41"/>
      <c r="AW90" s="41"/>
      <c r="AX90" s="41"/>
      <c r="AY90" s="41"/>
      <c r="AZ90" s="41"/>
      <c r="BA90" s="41"/>
      <c r="BB90" s="41"/>
      <c r="BC90" s="41"/>
      <c r="BD90" s="41"/>
      <c r="BE90" s="41"/>
      <c r="BF90" s="41"/>
      <c r="BG90" s="41"/>
      <c r="BH90" s="41"/>
      <c r="BI90" s="41"/>
      <c r="BJ90" s="41"/>
      <c r="BK90" s="41"/>
    </row>
    <row r="91" spans="1:63">
      <c r="A91" s="312"/>
      <c r="B91" s="385" t="str">
        <f>IF(A91="","",VLOOKUP(A91,案件コード!$A$1:$B$31,2,FALSE()))</f>
        <v/>
      </c>
      <c r="C91" s="385"/>
      <c r="D91" s="385"/>
      <c r="E91" s="113" t="str">
        <f t="shared" si="28"/>
        <v/>
      </c>
      <c r="F91" s="285"/>
      <c r="G91" s="284"/>
      <c r="H91" s="286"/>
      <c r="I91" s="322"/>
      <c r="J91" s="312"/>
      <c r="K91" s="385" t="str">
        <f>IF(J91="","",VLOOKUP(J91,案件コード!$A$1:$B$31,2,FALSE()))</f>
        <v/>
      </c>
      <c r="L91" s="385"/>
      <c r="M91" s="385"/>
      <c r="N91" s="113" t="str">
        <f t="shared" si="29"/>
        <v/>
      </c>
      <c r="O91" s="285"/>
      <c r="P91" s="284"/>
      <c r="Q91" s="286"/>
      <c r="R91" s="322"/>
      <c r="S91" s="312"/>
      <c r="T91" s="385" t="str">
        <f>IF(S91="","",VLOOKUP(S91,案件コード!$A$1:$B$31,2,FALSE()))</f>
        <v/>
      </c>
      <c r="U91" s="385"/>
      <c r="V91" s="385"/>
      <c r="W91" s="113" t="str">
        <f t="shared" si="30"/>
        <v/>
      </c>
      <c r="X91" s="285"/>
      <c r="Y91" s="284"/>
      <c r="Z91" s="286"/>
      <c r="AA91" s="322"/>
      <c r="AB91" s="41"/>
      <c r="AC91" s="41"/>
      <c r="AD91" s="41"/>
      <c r="AE91" s="41"/>
      <c r="AF91" s="41"/>
      <c r="AG91" s="41"/>
      <c r="AH91" s="41"/>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c r="BJ91" s="41"/>
      <c r="BK91" s="41"/>
    </row>
    <row r="92" spans="1:63">
      <c r="A92" s="312"/>
      <c r="B92" s="385" t="str">
        <f>IF(A92="","",VLOOKUP(A92,案件コード!$A$1:$B$31,2,FALSE()))</f>
        <v/>
      </c>
      <c r="C92" s="385"/>
      <c r="D92" s="385"/>
      <c r="E92" s="113" t="str">
        <f t="shared" si="28"/>
        <v/>
      </c>
      <c r="F92" s="285"/>
      <c r="G92" s="284"/>
      <c r="H92" s="286"/>
      <c r="I92" s="322"/>
      <c r="J92" s="312"/>
      <c r="K92" s="385" t="str">
        <f>IF(J92="","",VLOOKUP(J92,案件コード!$A$1:$B$31,2,FALSE()))</f>
        <v/>
      </c>
      <c r="L92" s="385"/>
      <c r="M92" s="385"/>
      <c r="N92" s="113" t="str">
        <f t="shared" si="29"/>
        <v/>
      </c>
      <c r="O92" s="285"/>
      <c r="P92" s="284"/>
      <c r="Q92" s="286"/>
      <c r="R92" s="322"/>
      <c r="S92" s="312"/>
      <c r="T92" s="385" t="str">
        <f>IF(S92="","",VLOOKUP(S92,案件コード!$A$1:$B$31,2,FALSE()))</f>
        <v/>
      </c>
      <c r="U92" s="385"/>
      <c r="V92" s="385"/>
      <c r="W92" s="113" t="str">
        <f t="shared" si="30"/>
        <v/>
      </c>
      <c r="X92" s="285"/>
      <c r="Y92" s="284"/>
      <c r="Z92" s="286"/>
      <c r="AA92" s="322"/>
      <c r="AB92" s="41"/>
      <c r="AC92" s="41"/>
      <c r="AD92" s="41"/>
      <c r="AE92" s="41"/>
      <c r="AF92" s="41"/>
      <c r="AG92" s="41"/>
      <c r="AH92" s="41"/>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c r="BJ92" s="41"/>
      <c r="BK92" s="41"/>
    </row>
    <row r="93" spans="1:63">
      <c r="A93" s="312"/>
      <c r="B93" s="385" t="str">
        <f>IF(A93="","",VLOOKUP(A93,案件コード!$A$1:$B$31,2,FALSE()))</f>
        <v/>
      </c>
      <c r="C93" s="385"/>
      <c r="D93" s="385"/>
      <c r="E93" s="113" t="str">
        <f t="shared" si="28"/>
        <v/>
      </c>
      <c r="F93" s="285"/>
      <c r="G93" s="284"/>
      <c r="H93" s="286"/>
      <c r="I93" s="322"/>
      <c r="J93" s="312"/>
      <c r="K93" s="385" t="str">
        <f>IF(J93="","",VLOOKUP(J93,案件コード!$A$1:$B$31,2,FALSE()))</f>
        <v/>
      </c>
      <c r="L93" s="385"/>
      <c r="M93" s="385"/>
      <c r="N93" s="113" t="str">
        <f t="shared" si="29"/>
        <v/>
      </c>
      <c r="O93" s="285"/>
      <c r="P93" s="284"/>
      <c r="Q93" s="286"/>
      <c r="R93" s="322"/>
      <c r="S93" s="312"/>
      <c r="T93" s="385" t="str">
        <f>IF(S93="","",VLOOKUP(S93,案件コード!$A$1:$B$31,2,FALSE()))</f>
        <v/>
      </c>
      <c r="U93" s="385"/>
      <c r="V93" s="385"/>
      <c r="W93" s="113" t="str">
        <f t="shared" si="30"/>
        <v/>
      </c>
      <c r="X93" s="285"/>
      <c r="Y93" s="284"/>
      <c r="Z93" s="286"/>
      <c r="AA93" s="322"/>
      <c r="AB93" s="41"/>
      <c r="AC93" s="41"/>
      <c r="AD93" s="41"/>
      <c r="AE93" s="41"/>
      <c r="AF93" s="41"/>
      <c r="AG93" s="41"/>
      <c r="AH93" s="41"/>
      <c r="AI93" s="41"/>
      <c r="AJ93" s="41"/>
      <c r="AK93" s="41"/>
      <c r="AL93" s="41"/>
      <c r="AM93" s="41"/>
      <c r="AN93" s="41"/>
      <c r="AO93" s="41"/>
      <c r="AP93" s="41"/>
      <c r="AQ93" s="41"/>
      <c r="AR93" s="41"/>
      <c r="AS93" s="41"/>
      <c r="AT93" s="41"/>
      <c r="AU93" s="41"/>
      <c r="AV93" s="41"/>
      <c r="AW93" s="41"/>
      <c r="AX93" s="41"/>
      <c r="AY93" s="41"/>
      <c r="AZ93" s="41"/>
      <c r="BA93" s="41"/>
      <c r="BB93" s="41"/>
      <c r="BC93" s="41"/>
      <c r="BD93" s="41"/>
      <c r="BE93" s="41"/>
      <c r="BF93" s="41"/>
      <c r="BG93" s="41"/>
      <c r="BH93" s="41"/>
      <c r="BI93" s="41"/>
      <c r="BJ93" s="41"/>
      <c r="BK93" s="41"/>
    </row>
    <row r="94" spans="1:63">
      <c r="A94" s="312"/>
      <c r="B94" s="385" t="str">
        <f>IF(A94="","",VLOOKUP(A94,案件コード!$A$1:$B$31,2,FALSE()))</f>
        <v/>
      </c>
      <c r="C94" s="385"/>
      <c r="D94" s="385"/>
      <c r="E94" s="113" t="str">
        <f t="shared" si="28"/>
        <v/>
      </c>
      <c r="F94" s="285"/>
      <c r="G94" s="284"/>
      <c r="H94" s="286"/>
      <c r="I94" s="322"/>
      <c r="J94" s="312"/>
      <c r="K94" s="385" t="str">
        <f>IF(J94="","",VLOOKUP(J94,案件コード!$A$1:$B$31,2,FALSE()))</f>
        <v/>
      </c>
      <c r="L94" s="385"/>
      <c r="M94" s="385"/>
      <c r="N94" s="113" t="str">
        <f t="shared" si="29"/>
        <v/>
      </c>
      <c r="O94" s="285"/>
      <c r="P94" s="284"/>
      <c r="Q94" s="286"/>
      <c r="R94" s="322"/>
      <c r="S94" s="312"/>
      <c r="T94" s="385" t="str">
        <f>IF(S94="","",VLOOKUP(S94,案件コード!$A$1:$B$31,2,FALSE()))</f>
        <v/>
      </c>
      <c r="U94" s="385"/>
      <c r="V94" s="385"/>
      <c r="W94" s="113" t="str">
        <f t="shared" si="30"/>
        <v/>
      </c>
      <c r="X94" s="285"/>
      <c r="Y94" s="284"/>
      <c r="Z94" s="286"/>
      <c r="AA94" s="322"/>
      <c r="AB94" s="41"/>
      <c r="AC94" s="41"/>
      <c r="AD94" s="41"/>
      <c r="AE94" s="41"/>
      <c r="AF94" s="41"/>
      <c r="AG94" s="41"/>
      <c r="AH94" s="41"/>
      <c r="AI94" s="41"/>
      <c r="AJ94" s="41"/>
      <c r="AK94" s="41"/>
      <c r="AL94" s="41"/>
      <c r="AM94" s="41"/>
      <c r="AN94" s="41"/>
      <c r="AO94" s="41"/>
      <c r="AP94" s="41"/>
      <c r="AQ94" s="41"/>
      <c r="AR94" s="41"/>
      <c r="AS94" s="41"/>
      <c r="AT94" s="41"/>
      <c r="AU94" s="41"/>
      <c r="AV94" s="41"/>
      <c r="AW94" s="41"/>
      <c r="AX94" s="41"/>
      <c r="AY94" s="41"/>
      <c r="AZ94" s="41"/>
      <c r="BA94" s="41"/>
      <c r="BB94" s="41"/>
      <c r="BC94" s="41"/>
      <c r="BD94" s="41"/>
      <c r="BE94" s="41"/>
      <c r="BF94" s="41"/>
      <c r="BG94" s="41"/>
      <c r="BH94" s="41"/>
      <c r="BI94" s="41"/>
      <c r="BJ94" s="41"/>
      <c r="BK94" s="41"/>
    </row>
    <row r="95" spans="1:63">
      <c r="A95" s="312"/>
      <c r="B95" s="385" t="str">
        <f>IF(A95="","",VLOOKUP(A95,案件コード!$A$1:$B$31,2,FALSE()))</f>
        <v/>
      </c>
      <c r="C95" s="385"/>
      <c r="D95" s="385"/>
      <c r="E95" s="113" t="str">
        <f t="shared" si="28"/>
        <v/>
      </c>
      <c r="F95" s="285"/>
      <c r="G95" s="284"/>
      <c r="H95" s="286"/>
      <c r="I95" s="322"/>
      <c r="J95" s="312"/>
      <c r="K95" s="385" t="str">
        <f>IF(J95="","",VLOOKUP(J95,案件コード!$A$1:$B$31,2,FALSE()))</f>
        <v/>
      </c>
      <c r="L95" s="385"/>
      <c r="M95" s="385"/>
      <c r="N95" s="113" t="str">
        <f t="shared" si="29"/>
        <v/>
      </c>
      <c r="O95" s="285"/>
      <c r="P95" s="284"/>
      <c r="Q95" s="286"/>
      <c r="R95" s="322"/>
      <c r="S95" s="312"/>
      <c r="T95" s="385" t="str">
        <f>IF(S95="","",VLOOKUP(S95,案件コード!$A$1:$B$31,2,FALSE()))</f>
        <v/>
      </c>
      <c r="U95" s="385"/>
      <c r="V95" s="385"/>
      <c r="W95" s="113" t="str">
        <f t="shared" si="30"/>
        <v/>
      </c>
      <c r="X95" s="285"/>
      <c r="Y95" s="284"/>
      <c r="Z95" s="286"/>
      <c r="AA95" s="322"/>
      <c r="AB95" s="41"/>
      <c r="AC95" s="41"/>
      <c r="AD95" s="41"/>
      <c r="AE95" s="41"/>
      <c r="AF95" s="41"/>
      <c r="AG95" s="41"/>
      <c r="AH95" s="41"/>
      <c r="AI95" s="41"/>
      <c r="AJ95" s="41"/>
      <c r="AK95" s="41"/>
      <c r="AL95" s="41"/>
      <c r="AM95" s="41"/>
      <c r="AN95" s="41"/>
      <c r="AO95" s="41"/>
      <c r="AP95" s="41"/>
      <c r="AQ95" s="41"/>
      <c r="AR95" s="41"/>
      <c r="AS95" s="41"/>
      <c r="AT95" s="41"/>
      <c r="AU95" s="41"/>
      <c r="AV95" s="41"/>
      <c r="AW95" s="41"/>
      <c r="AX95" s="41"/>
      <c r="AY95" s="41"/>
      <c r="AZ95" s="41"/>
      <c r="BA95" s="41"/>
      <c r="BB95" s="41"/>
      <c r="BC95" s="41"/>
      <c r="BD95" s="41"/>
      <c r="BE95" s="41"/>
      <c r="BF95" s="41"/>
      <c r="BG95" s="41"/>
      <c r="BH95" s="41"/>
      <c r="BI95" s="41"/>
      <c r="BJ95" s="41"/>
      <c r="BK95" s="41"/>
    </row>
    <row r="96" spans="1:63">
      <c r="A96" s="312"/>
      <c r="B96" s="385" t="str">
        <f>IF(A96="","",VLOOKUP(A96,案件コード!$A$1:$B$31,2,FALSE()))</f>
        <v/>
      </c>
      <c r="C96" s="385"/>
      <c r="D96" s="385"/>
      <c r="E96" s="113" t="str">
        <f t="shared" si="28"/>
        <v/>
      </c>
      <c r="F96" s="285"/>
      <c r="G96" s="284"/>
      <c r="H96" s="286"/>
      <c r="I96" s="322"/>
      <c r="J96" s="312"/>
      <c r="K96" s="385" t="str">
        <f>IF(J96="","",VLOOKUP(J96,案件コード!$A$1:$B$31,2,FALSE()))</f>
        <v/>
      </c>
      <c r="L96" s="385"/>
      <c r="M96" s="385"/>
      <c r="N96" s="113" t="str">
        <f t="shared" si="29"/>
        <v/>
      </c>
      <c r="O96" s="285"/>
      <c r="P96" s="284"/>
      <c r="Q96" s="286"/>
      <c r="R96" s="322"/>
      <c r="S96" s="312"/>
      <c r="T96" s="385" t="str">
        <f>IF(S96="","",VLOOKUP(S96,案件コード!$A$1:$B$31,2,FALSE()))</f>
        <v/>
      </c>
      <c r="U96" s="385"/>
      <c r="V96" s="385"/>
      <c r="W96" s="113" t="str">
        <f t="shared" si="30"/>
        <v/>
      </c>
      <c r="X96" s="285"/>
      <c r="Y96" s="284"/>
      <c r="Z96" s="286"/>
      <c r="AA96" s="322"/>
      <c r="AB96" s="41"/>
      <c r="AC96" s="41"/>
      <c r="AD96" s="41"/>
      <c r="AE96" s="41"/>
      <c r="AF96" s="41"/>
      <c r="AG96" s="41"/>
      <c r="AH96" s="41"/>
      <c r="AI96" s="41"/>
      <c r="AJ96" s="41"/>
      <c r="AK96" s="41"/>
      <c r="AL96" s="41"/>
      <c r="AM96" s="41"/>
      <c r="AN96" s="41"/>
      <c r="AO96" s="41"/>
      <c r="AP96" s="41"/>
      <c r="AQ96" s="41"/>
      <c r="AR96" s="41"/>
      <c r="AS96" s="41"/>
      <c r="AT96" s="41"/>
      <c r="AU96" s="41"/>
      <c r="AV96" s="41"/>
      <c r="AW96" s="41"/>
      <c r="AX96" s="41"/>
      <c r="AY96" s="41"/>
      <c r="AZ96" s="41"/>
      <c r="BA96" s="41"/>
      <c r="BB96" s="41"/>
      <c r="BC96" s="41"/>
      <c r="BD96" s="41"/>
      <c r="BE96" s="41"/>
      <c r="BF96" s="41"/>
      <c r="BG96" s="41"/>
      <c r="BH96" s="41"/>
      <c r="BI96" s="41"/>
      <c r="BJ96" s="41"/>
      <c r="BK96" s="41"/>
    </row>
    <row r="97" spans="1:63">
      <c r="A97" s="312"/>
      <c r="B97" s="385" t="str">
        <f>IF(A97="","",VLOOKUP(A97,案件コード!$A$1:$B$31,2,FALSE()))</f>
        <v/>
      </c>
      <c r="C97" s="385"/>
      <c r="D97" s="385"/>
      <c r="E97" s="113" t="str">
        <f t="shared" si="28"/>
        <v/>
      </c>
      <c r="F97" s="285"/>
      <c r="G97" s="284"/>
      <c r="H97" s="286"/>
      <c r="I97" s="322"/>
      <c r="J97" s="312"/>
      <c r="K97" s="385" t="str">
        <f>IF(J97="","",VLOOKUP(J97,案件コード!$A$1:$B$31,2,FALSE()))</f>
        <v/>
      </c>
      <c r="L97" s="385"/>
      <c r="M97" s="385"/>
      <c r="N97" s="113" t="str">
        <f t="shared" si="29"/>
        <v/>
      </c>
      <c r="O97" s="285"/>
      <c r="P97" s="284"/>
      <c r="Q97" s="286"/>
      <c r="R97" s="322"/>
      <c r="S97" s="312"/>
      <c r="T97" s="385" t="str">
        <f>IF(S97="","",VLOOKUP(S97,案件コード!$A$1:$B$31,2,FALSE()))</f>
        <v/>
      </c>
      <c r="U97" s="385"/>
      <c r="V97" s="385"/>
      <c r="W97" s="113" t="str">
        <f t="shared" si="30"/>
        <v/>
      </c>
      <c r="X97" s="285"/>
      <c r="Y97" s="284"/>
      <c r="Z97" s="286"/>
      <c r="AA97" s="322"/>
      <c r="AB97" s="41"/>
      <c r="AC97" s="41"/>
      <c r="AD97" s="41"/>
      <c r="AE97" s="41"/>
      <c r="AF97" s="41"/>
      <c r="AG97" s="41"/>
      <c r="AH97" s="41"/>
      <c r="AI97" s="41"/>
      <c r="AJ97" s="41"/>
      <c r="AK97" s="41"/>
      <c r="AL97" s="41"/>
      <c r="AM97" s="41"/>
      <c r="AN97" s="41"/>
      <c r="AO97" s="41"/>
      <c r="AP97" s="41"/>
      <c r="AQ97" s="41"/>
      <c r="AR97" s="41"/>
      <c r="AS97" s="41"/>
      <c r="AT97" s="41"/>
      <c r="AU97" s="41"/>
      <c r="AV97" s="41"/>
      <c r="AW97" s="41"/>
      <c r="AX97" s="41"/>
      <c r="AY97" s="41"/>
      <c r="AZ97" s="41"/>
      <c r="BA97" s="41"/>
      <c r="BB97" s="41"/>
      <c r="BC97" s="41"/>
      <c r="BD97" s="41"/>
      <c r="BE97" s="41"/>
      <c r="BF97" s="41"/>
      <c r="BG97" s="41"/>
      <c r="BH97" s="41"/>
      <c r="BI97" s="41"/>
      <c r="BJ97" s="41"/>
      <c r="BK97" s="41"/>
    </row>
    <row r="98" spans="1:63">
      <c r="A98" s="312"/>
      <c r="B98" s="385" t="str">
        <f>IF(A98="","",VLOOKUP(A98,案件コード!$A$1:$B$31,2,FALSE()))</f>
        <v/>
      </c>
      <c r="C98" s="385"/>
      <c r="D98" s="385"/>
      <c r="E98" s="113" t="str">
        <f t="shared" si="28"/>
        <v/>
      </c>
      <c r="F98" s="285"/>
      <c r="G98" s="284"/>
      <c r="H98" s="286"/>
      <c r="I98" s="322"/>
      <c r="J98" s="312"/>
      <c r="K98" s="385" t="str">
        <f>IF(J98="","",VLOOKUP(J98,案件コード!$A$1:$B$31,2,FALSE()))</f>
        <v/>
      </c>
      <c r="L98" s="385"/>
      <c r="M98" s="385"/>
      <c r="N98" s="113" t="str">
        <f t="shared" si="29"/>
        <v/>
      </c>
      <c r="O98" s="285"/>
      <c r="P98" s="284"/>
      <c r="Q98" s="286"/>
      <c r="R98" s="322"/>
      <c r="S98" s="312"/>
      <c r="T98" s="385" t="str">
        <f>IF(S98="","",VLOOKUP(S98,案件コード!$A$1:$B$31,2,FALSE()))</f>
        <v/>
      </c>
      <c r="U98" s="385"/>
      <c r="V98" s="385"/>
      <c r="W98" s="113" t="str">
        <f t="shared" si="30"/>
        <v/>
      </c>
      <c r="X98" s="285"/>
      <c r="Y98" s="284"/>
      <c r="Z98" s="286"/>
      <c r="AA98" s="322"/>
      <c r="AB98" s="41"/>
      <c r="AC98" s="41"/>
      <c r="AD98" s="41"/>
      <c r="AE98" s="41"/>
      <c r="AF98" s="41"/>
      <c r="AG98" s="41"/>
      <c r="AH98" s="41"/>
      <c r="AI98" s="41"/>
      <c r="AJ98" s="41"/>
      <c r="AK98" s="41"/>
      <c r="AL98" s="41"/>
      <c r="AM98" s="41"/>
      <c r="AN98" s="41"/>
      <c r="AO98" s="41"/>
      <c r="AP98" s="41"/>
      <c r="AQ98" s="41"/>
      <c r="AR98" s="41"/>
      <c r="AS98" s="41"/>
      <c r="AT98" s="41"/>
      <c r="AU98" s="41"/>
      <c r="AV98" s="41"/>
      <c r="AW98" s="41"/>
      <c r="AX98" s="41"/>
      <c r="AY98" s="41"/>
      <c r="AZ98" s="41"/>
      <c r="BA98" s="41"/>
      <c r="BB98" s="41"/>
      <c r="BC98" s="41"/>
      <c r="BD98" s="41"/>
      <c r="BE98" s="41"/>
      <c r="BF98" s="41"/>
      <c r="BG98" s="41"/>
      <c r="BH98" s="41"/>
      <c r="BI98" s="41"/>
      <c r="BJ98" s="41"/>
      <c r="BK98" s="41"/>
    </row>
    <row r="99" spans="1:63">
      <c r="A99" s="312"/>
      <c r="B99" s="385" t="str">
        <f>IF(A99="","",VLOOKUP(A99,案件コード!$A$1:$B$31,2,FALSE()))</f>
        <v/>
      </c>
      <c r="C99" s="385"/>
      <c r="D99" s="385"/>
      <c r="E99" s="113" t="str">
        <f t="shared" si="28"/>
        <v/>
      </c>
      <c r="F99" s="285"/>
      <c r="G99" s="284"/>
      <c r="H99" s="286"/>
      <c r="I99" s="322"/>
      <c r="J99" s="312"/>
      <c r="K99" s="385" t="str">
        <f>IF(J99="","",VLOOKUP(J99,案件コード!$A$1:$B$31,2,FALSE()))</f>
        <v/>
      </c>
      <c r="L99" s="385"/>
      <c r="M99" s="385"/>
      <c r="N99" s="113" t="str">
        <f t="shared" si="29"/>
        <v/>
      </c>
      <c r="O99" s="285"/>
      <c r="P99" s="284"/>
      <c r="Q99" s="286"/>
      <c r="R99" s="322"/>
      <c r="S99" s="312"/>
      <c r="T99" s="385" t="str">
        <f>IF(S99="","",VLOOKUP(S99,案件コード!$A$1:$B$31,2,FALSE()))</f>
        <v/>
      </c>
      <c r="U99" s="385"/>
      <c r="V99" s="385"/>
      <c r="W99" s="113" t="str">
        <f t="shared" si="30"/>
        <v/>
      </c>
      <c r="X99" s="285"/>
      <c r="Y99" s="284"/>
      <c r="Z99" s="286"/>
      <c r="AA99" s="322"/>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c r="BJ99" s="41"/>
      <c r="BK99" s="41"/>
    </row>
    <row r="100" spans="1:63">
      <c r="A100" s="312"/>
      <c r="B100" s="385" t="str">
        <f>IF(A100="","",VLOOKUP(A100,案件コード!$A$1:$B$31,2,FALSE()))</f>
        <v/>
      </c>
      <c r="C100" s="385"/>
      <c r="D100" s="385"/>
      <c r="E100" s="113" t="str">
        <f t="shared" si="28"/>
        <v/>
      </c>
      <c r="F100" s="285"/>
      <c r="G100" s="284"/>
      <c r="H100" s="286"/>
      <c r="I100" s="322"/>
      <c r="J100" s="312"/>
      <c r="K100" s="385" t="str">
        <f>IF(J100="","",VLOOKUP(J100,案件コード!$A$1:$B$31,2,FALSE()))</f>
        <v/>
      </c>
      <c r="L100" s="385"/>
      <c r="M100" s="385"/>
      <c r="N100" s="113" t="str">
        <f t="shared" si="29"/>
        <v/>
      </c>
      <c r="O100" s="285"/>
      <c r="P100" s="284"/>
      <c r="Q100" s="286"/>
      <c r="R100" s="322"/>
      <c r="S100" s="312"/>
      <c r="T100" s="385" t="str">
        <f>IF(S100="","",VLOOKUP(S100,案件コード!$A$1:$B$31,2,FALSE()))</f>
        <v/>
      </c>
      <c r="U100" s="385"/>
      <c r="V100" s="385"/>
      <c r="W100" s="113" t="str">
        <f t="shared" si="30"/>
        <v/>
      </c>
      <c r="X100" s="285"/>
      <c r="Y100" s="284"/>
      <c r="Z100" s="286"/>
      <c r="AA100" s="322"/>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c r="BJ100" s="41"/>
      <c r="BK100" s="41"/>
    </row>
    <row r="101" spans="1:63">
      <c r="A101" s="312"/>
      <c r="B101" s="385" t="str">
        <f>IF(A101="","",VLOOKUP(A101,案件コード!$A$1:$B$31,2,FALSE()))</f>
        <v/>
      </c>
      <c r="C101" s="385"/>
      <c r="D101" s="385"/>
      <c r="E101" s="113" t="str">
        <f t="shared" si="28"/>
        <v/>
      </c>
      <c r="F101" s="285"/>
      <c r="G101" s="284"/>
      <c r="H101" s="286"/>
      <c r="I101" s="322"/>
      <c r="J101" s="312"/>
      <c r="K101" s="385" t="str">
        <f>IF(J101="","",VLOOKUP(J101,案件コード!$A$1:$B$31,2,FALSE()))</f>
        <v/>
      </c>
      <c r="L101" s="385"/>
      <c r="M101" s="385"/>
      <c r="N101" s="113" t="str">
        <f t="shared" si="29"/>
        <v/>
      </c>
      <c r="O101" s="285"/>
      <c r="P101" s="284"/>
      <c r="Q101" s="286"/>
      <c r="R101" s="322"/>
      <c r="S101" s="312"/>
      <c r="T101" s="385" t="str">
        <f>IF(S101="","",VLOOKUP(S101,案件コード!$A$1:$B$31,2,FALSE()))</f>
        <v/>
      </c>
      <c r="U101" s="385"/>
      <c r="V101" s="385"/>
      <c r="W101" s="113" t="str">
        <f t="shared" si="30"/>
        <v/>
      </c>
      <c r="X101" s="285"/>
      <c r="Y101" s="284"/>
      <c r="Z101" s="286"/>
      <c r="AA101" s="322"/>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c r="BJ101" s="41"/>
      <c r="BK101" s="41"/>
    </row>
    <row r="102" spans="1:63">
      <c r="A102" s="312"/>
      <c r="B102" s="385" t="str">
        <f>IF(A102="","",VLOOKUP(A102,案件コード!$A$1:$B$31,2,FALSE()))</f>
        <v/>
      </c>
      <c r="C102" s="385"/>
      <c r="D102" s="385"/>
      <c r="E102" s="113" t="str">
        <f t="shared" si="28"/>
        <v/>
      </c>
      <c r="F102" s="285"/>
      <c r="G102" s="284"/>
      <c r="H102" s="286"/>
      <c r="I102" s="322"/>
      <c r="J102" s="312"/>
      <c r="K102" s="385" t="str">
        <f>IF(J102="","",VLOOKUP(J102,案件コード!$A$1:$B$31,2,FALSE()))</f>
        <v/>
      </c>
      <c r="L102" s="385"/>
      <c r="M102" s="385"/>
      <c r="N102" s="113" t="str">
        <f t="shared" si="29"/>
        <v/>
      </c>
      <c r="O102" s="285"/>
      <c r="P102" s="284"/>
      <c r="Q102" s="286"/>
      <c r="R102" s="322"/>
      <c r="S102" s="312"/>
      <c r="T102" s="385" t="str">
        <f>IF(S102="","",VLOOKUP(S102,案件コード!$A$1:$B$31,2,FALSE()))</f>
        <v/>
      </c>
      <c r="U102" s="385"/>
      <c r="V102" s="385"/>
      <c r="W102" s="113" t="str">
        <f t="shared" si="30"/>
        <v/>
      </c>
      <c r="X102" s="285"/>
      <c r="Y102" s="284"/>
      <c r="Z102" s="286"/>
      <c r="AA102" s="322"/>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c r="BJ102" s="41"/>
      <c r="BK102" s="41"/>
    </row>
    <row r="103" spans="1:63" ht="18.600000000000001" thickBot="1">
      <c r="A103" s="315"/>
      <c r="B103" s="386" t="str">
        <f>IF(A103="","",VLOOKUP(A103,案件コード!$A$1:$B$31,2,FALSE()))</f>
        <v/>
      </c>
      <c r="C103" s="386"/>
      <c r="D103" s="386"/>
      <c r="E103" s="316" t="str">
        <f t="shared" si="28"/>
        <v/>
      </c>
      <c r="F103" s="317"/>
      <c r="G103" s="318"/>
      <c r="H103" s="319"/>
      <c r="I103" s="323"/>
      <c r="J103" s="315"/>
      <c r="K103" s="386" t="str">
        <f>IF(J103="","",VLOOKUP(J103,案件コード!$A$1:$B$31,2,FALSE()))</f>
        <v/>
      </c>
      <c r="L103" s="386"/>
      <c r="M103" s="386"/>
      <c r="N103" s="316" t="str">
        <f t="shared" si="29"/>
        <v/>
      </c>
      <c r="O103" s="317"/>
      <c r="P103" s="318"/>
      <c r="Q103" s="319"/>
      <c r="R103" s="323"/>
      <c r="S103" s="315"/>
      <c r="T103" s="386" t="str">
        <f>IF(S103="","",VLOOKUP(S103,案件コード!$A$1:$B$31,2,FALSE()))</f>
        <v/>
      </c>
      <c r="U103" s="386"/>
      <c r="V103" s="386"/>
      <c r="W103" s="316" t="str">
        <f t="shared" si="30"/>
        <v/>
      </c>
      <c r="X103" s="317"/>
      <c r="Y103" s="318"/>
      <c r="Z103" s="319"/>
      <c r="AA103" s="323"/>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c r="BJ103" s="41"/>
      <c r="BK103" s="41"/>
    </row>
    <row r="104" spans="1:63" ht="18.600000000000001" thickBot="1">
      <c r="A104" s="41"/>
      <c r="B104" s="41"/>
      <c r="C104" s="41"/>
      <c r="D104" s="41"/>
      <c r="E104" s="41"/>
      <c r="F104" s="41"/>
      <c r="G104" s="41"/>
      <c r="H104" s="307">
        <f>SUM(H89:H103)</f>
        <v>0</v>
      </c>
      <c r="I104" s="41"/>
      <c r="J104" s="41"/>
      <c r="K104" s="41"/>
      <c r="L104" s="41"/>
      <c r="M104" s="41"/>
      <c r="N104" s="41"/>
      <c r="O104" s="41"/>
      <c r="P104" s="41"/>
      <c r="Q104" s="307">
        <f>SUM(Q89:Q103)</f>
        <v>0</v>
      </c>
      <c r="R104" s="41"/>
      <c r="S104" s="41"/>
      <c r="T104" s="41"/>
      <c r="U104" s="41"/>
      <c r="V104" s="41"/>
      <c r="W104" s="41"/>
      <c r="X104" s="41"/>
      <c r="Y104" s="41"/>
      <c r="Z104" s="307">
        <f>SUM(Z89:Z103)</f>
        <v>0</v>
      </c>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c r="BJ104" s="41"/>
      <c r="BK104" s="41"/>
    </row>
    <row r="105" spans="1:63" ht="18.600000000000001" thickBot="1">
      <c r="A105" s="118" t="s">
        <v>168</v>
      </c>
      <c r="B105" s="41"/>
      <c r="C105" s="41"/>
      <c r="D105" s="41"/>
      <c r="E105" s="41"/>
      <c r="F105" s="41"/>
      <c r="G105" s="41"/>
      <c r="H105" s="41"/>
      <c r="I105" s="41"/>
      <c r="J105" s="41"/>
      <c r="K105" s="41"/>
      <c r="L105" s="41"/>
      <c r="M105" s="41" t="s">
        <v>90</v>
      </c>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c r="BJ105" s="41"/>
      <c r="BK105" s="41"/>
    </row>
    <row r="106" spans="1:63" ht="18.600000000000001" thickBot="1">
      <c r="A106" s="97" t="s">
        <v>105</v>
      </c>
      <c r="B106" s="119">
        <v>0</v>
      </c>
      <c r="C106" s="120">
        <v>1</v>
      </c>
      <c r="D106" s="120">
        <v>2</v>
      </c>
      <c r="E106" s="120">
        <v>3</v>
      </c>
      <c r="F106" s="120">
        <v>4</v>
      </c>
      <c r="G106" s="120">
        <v>5</v>
      </c>
      <c r="H106" s="120">
        <v>6</v>
      </c>
      <c r="I106" s="120">
        <v>7</v>
      </c>
      <c r="J106" s="121">
        <v>8</v>
      </c>
      <c r="K106" s="122">
        <v>9</v>
      </c>
      <c r="L106" s="123">
        <v>10</v>
      </c>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c r="BJ106" s="41"/>
      <c r="BK106" s="41"/>
    </row>
    <row r="107" spans="1:63" ht="18.600000000000001" thickBot="1">
      <c r="A107" s="97" t="s">
        <v>104</v>
      </c>
      <c r="B107" s="124" t="str">
        <f>IF(B106="","",VLOOKUP(B106,案件コード!$A$1:$B$31,2,FALSE()))</f>
        <v>Webデザイン</v>
      </c>
      <c r="C107" s="124" t="str">
        <f>IF(C106="","",VLOOKUP(C106,案件コード!$A$1:$B$31,2,FALSE()))</f>
        <v>プログラミング</v>
      </c>
      <c r="D107" s="124" t="str">
        <f>IF(D106="","",VLOOKUP(D106,案件コード!$A$1:$B$31,2,FALSE()))</f>
        <v>ライティング</v>
      </c>
      <c r="E107" s="124">
        <f>IF(E106="","",VLOOKUP(E106,案件コード!$A$1:$B$31,2,FALSE()))</f>
        <v>0</v>
      </c>
      <c r="F107" s="124">
        <f>IF(F106="","",VLOOKUP(F106,案件コード!$A$1:$B$31,2,FALSE()))</f>
        <v>0</v>
      </c>
      <c r="G107" s="124">
        <f>IF(G106="","",VLOOKUP(G106,案件コード!$A$1:$B$31,2,FALSE()))</f>
        <v>0</v>
      </c>
      <c r="H107" s="124">
        <f>IF(H106="","",VLOOKUP(H106,案件コード!$A$1:$B$31,2,FALSE()))</f>
        <v>0</v>
      </c>
      <c r="I107" s="124">
        <f>IF(I106="","",VLOOKUP(I106,案件コード!$A$1:$B$31,2,FALSE()))</f>
        <v>0</v>
      </c>
      <c r="J107" s="124">
        <f>IF(J106="","",VLOOKUP(J106,案件コード!$A$1:$B$31,2,FALSE()))</f>
        <v>0</v>
      </c>
      <c r="K107" s="124">
        <f>IF(K106="","",VLOOKUP(K106,案件コード!$A$1:$B$31,2,FALSE()))</f>
        <v>0</v>
      </c>
      <c r="L107" s="110">
        <f>IF(L106="","",VLOOKUP(L106,案件コード!$A$1:$B$31,2,FALSE()))</f>
        <v>0</v>
      </c>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c r="BJ107" s="41"/>
      <c r="BK107" s="41"/>
    </row>
    <row r="108" spans="1:63" ht="18.600000000000001" thickBot="1">
      <c r="A108" s="97" t="s">
        <v>52</v>
      </c>
      <c r="B108" s="125"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5</v>
      </c>
      <c r="C108" s="126"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2</v>
      </c>
      <c r="D108" s="126"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v>
      </c>
      <c r="E108" s="126"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F108" s="126"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G108" s="126"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26"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26"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27"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28"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29"/>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c r="BJ108" s="41"/>
      <c r="BK108" s="41"/>
    </row>
    <row r="109" spans="1:63" ht="18.600000000000001" thickBot="1">
      <c r="A109" s="97" t="s">
        <v>51</v>
      </c>
      <c r="B109" s="130"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70000</v>
      </c>
      <c r="C109" s="131"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31"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10000</v>
      </c>
      <c r="E109" s="131"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F109" s="131"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31"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31"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31"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31"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32"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29"/>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c r="BJ109" s="41"/>
      <c r="BK109" s="41"/>
    </row>
    <row r="110" spans="1:63" ht="18.600000000000001" thickBot="1">
      <c r="A110" s="2"/>
      <c r="B110" s="2"/>
      <c r="C110" s="2"/>
      <c r="D110" s="2"/>
      <c r="E110" s="2"/>
      <c r="F110" s="2"/>
      <c r="G110" s="2"/>
      <c r="H110" s="2"/>
      <c r="I110" s="2"/>
      <c r="J110" s="2"/>
      <c r="K110" s="2"/>
    </row>
    <row r="111" spans="1:63" ht="18.600000000000001" thickBot="1">
      <c r="A111" s="4" t="s">
        <v>167</v>
      </c>
      <c r="D111" t="s">
        <v>89</v>
      </c>
      <c r="H111" s="5" t="s">
        <v>103</v>
      </c>
      <c r="I111" s="188" t="s">
        <v>96</v>
      </c>
      <c r="J111" s="186" t="s">
        <v>95</v>
      </c>
      <c r="K111" s="187" t="s">
        <v>94</v>
      </c>
      <c r="M111" s="5" t="s">
        <v>87</v>
      </c>
      <c r="N111" s="188" t="s">
        <v>99</v>
      </c>
      <c r="O111" s="186" t="s">
        <v>97</v>
      </c>
      <c r="P111" s="187" t="s">
        <v>98</v>
      </c>
    </row>
    <row r="112" spans="1:63">
      <c r="A112" s="7"/>
      <c r="G112" t="s">
        <v>242</v>
      </c>
      <c r="H112" t="s">
        <v>243</v>
      </c>
      <c r="I112" s="189"/>
      <c r="J112" t="s">
        <v>269</v>
      </c>
      <c r="K112" s="189"/>
      <c r="M112" s="2"/>
      <c r="N112" s="189"/>
      <c r="O112" s="189"/>
      <c r="P112" s="189"/>
    </row>
    <row r="113" spans="1:10" ht="18.600000000000001" thickBot="1">
      <c r="B113" s="3" t="s">
        <v>166</v>
      </c>
      <c r="G113" t="s">
        <v>102</v>
      </c>
      <c r="H113" t="s">
        <v>268</v>
      </c>
      <c r="I113" t="s">
        <v>100</v>
      </c>
      <c r="J113" t="s">
        <v>101</v>
      </c>
    </row>
    <row r="114" spans="1:10" ht="18.600000000000001" thickBot="1">
      <c r="A114" s="11" t="s">
        <v>88</v>
      </c>
      <c r="B114" s="384" t="s">
        <v>83</v>
      </c>
      <c r="C114" s="384"/>
      <c r="D114" s="384"/>
      <c r="E114" s="384"/>
      <c r="F114" s="384"/>
      <c r="G114" s="12" t="s">
        <v>84</v>
      </c>
      <c r="H114" s="12" t="s">
        <v>85</v>
      </c>
      <c r="I114" s="12" t="s">
        <v>86</v>
      </c>
      <c r="J114" s="13" t="s">
        <v>87</v>
      </c>
    </row>
    <row r="115" spans="1:10">
      <c r="A115" s="14">
        <v>1</v>
      </c>
      <c r="B115" s="374" t="s">
        <v>304</v>
      </c>
      <c r="C115" s="374"/>
      <c r="D115" s="374"/>
      <c r="E115" s="374"/>
      <c r="F115" s="374"/>
      <c r="G115" s="27"/>
      <c r="H115" s="27"/>
      <c r="I115" s="30" t="s">
        <v>96</v>
      </c>
      <c r="J115" s="31" t="s">
        <v>99</v>
      </c>
    </row>
    <row r="116" spans="1:10">
      <c r="A116" s="15">
        <v>2</v>
      </c>
      <c r="B116" s="380" t="s">
        <v>305</v>
      </c>
      <c r="C116" s="380"/>
      <c r="D116" s="380"/>
      <c r="E116" s="380"/>
      <c r="F116" s="380"/>
      <c r="G116" s="28"/>
      <c r="H116" s="27"/>
      <c r="I116" s="32" t="s">
        <v>95</v>
      </c>
      <c r="J116" s="33" t="s">
        <v>97</v>
      </c>
    </row>
    <row r="117" spans="1:10">
      <c r="A117" s="15">
        <v>3</v>
      </c>
      <c r="B117" s="380" t="s">
        <v>306</v>
      </c>
      <c r="C117" s="380"/>
      <c r="D117" s="380"/>
      <c r="E117" s="380"/>
      <c r="F117" s="380"/>
      <c r="G117" s="28"/>
      <c r="H117" s="27"/>
      <c r="I117" s="32" t="s">
        <v>94</v>
      </c>
      <c r="J117" s="33" t="s">
        <v>98</v>
      </c>
    </row>
    <row r="118" spans="1:10">
      <c r="A118" s="15">
        <v>4</v>
      </c>
      <c r="B118" s="380"/>
      <c r="C118" s="380"/>
      <c r="D118" s="380"/>
      <c r="E118" s="380"/>
      <c r="F118" s="380"/>
      <c r="G118" s="28"/>
      <c r="H118" s="28"/>
      <c r="I118" s="32"/>
      <c r="J118" s="33"/>
    </row>
    <row r="119" spans="1:10">
      <c r="A119" s="15">
        <v>5</v>
      </c>
      <c r="B119" s="380"/>
      <c r="C119" s="380"/>
      <c r="D119" s="380"/>
      <c r="E119" s="380"/>
      <c r="F119" s="380"/>
      <c r="G119" s="28"/>
      <c r="H119" s="28"/>
      <c r="I119" s="32"/>
      <c r="J119" s="33"/>
    </row>
    <row r="120" spans="1:10">
      <c r="A120" s="15">
        <v>6</v>
      </c>
      <c r="B120" s="380"/>
      <c r="C120" s="380"/>
      <c r="D120" s="380"/>
      <c r="E120" s="380"/>
      <c r="F120" s="380"/>
      <c r="G120" s="28"/>
      <c r="H120" s="28"/>
      <c r="I120" s="32"/>
      <c r="J120" s="33"/>
    </row>
    <row r="121" spans="1:10">
      <c r="A121" s="15">
        <v>7</v>
      </c>
      <c r="B121" s="380"/>
      <c r="C121" s="380"/>
      <c r="D121" s="380"/>
      <c r="E121" s="380"/>
      <c r="F121" s="380"/>
      <c r="G121" s="28"/>
      <c r="H121" s="28"/>
      <c r="I121" s="32"/>
      <c r="J121" s="33"/>
    </row>
    <row r="122" spans="1:10">
      <c r="A122" s="15">
        <v>8</v>
      </c>
      <c r="B122" s="380"/>
      <c r="C122" s="380"/>
      <c r="D122" s="380"/>
      <c r="E122" s="380"/>
      <c r="F122" s="380"/>
      <c r="G122" s="28"/>
      <c r="H122" s="28"/>
      <c r="I122" s="32"/>
      <c r="J122" s="33"/>
    </row>
    <row r="123" spans="1:10">
      <c r="A123" s="15">
        <v>9</v>
      </c>
      <c r="B123" s="380"/>
      <c r="C123" s="380"/>
      <c r="D123" s="380"/>
      <c r="E123" s="380"/>
      <c r="F123" s="380"/>
      <c r="G123" s="28"/>
      <c r="H123" s="28"/>
      <c r="I123" s="32"/>
      <c r="J123" s="33"/>
    </row>
    <row r="124" spans="1:10">
      <c r="A124" s="15">
        <v>10</v>
      </c>
      <c r="B124" s="380"/>
      <c r="C124" s="380"/>
      <c r="D124" s="380"/>
      <c r="E124" s="380"/>
      <c r="F124" s="380"/>
      <c r="G124" s="28"/>
      <c r="H124" s="28"/>
      <c r="I124" s="32"/>
      <c r="J124" s="33"/>
    </row>
    <row r="125" spans="1:10">
      <c r="A125" s="15">
        <v>11</v>
      </c>
      <c r="B125" s="380"/>
      <c r="C125" s="380"/>
      <c r="D125" s="380"/>
      <c r="E125" s="380"/>
      <c r="F125" s="380"/>
      <c r="G125" s="28"/>
      <c r="H125" s="28"/>
      <c r="I125" s="32"/>
      <c r="J125" s="33"/>
    </row>
    <row r="126" spans="1:10">
      <c r="A126" s="15">
        <v>12</v>
      </c>
      <c r="B126" s="380"/>
      <c r="C126" s="380"/>
      <c r="D126" s="380"/>
      <c r="E126" s="380"/>
      <c r="F126" s="380"/>
      <c r="G126" s="28"/>
      <c r="H126" s="28"/>
      <c r="I126" s="32"/>
      <c r="J126" s="33"/>
    </row>
    <row r="127" spans="1:10">
      <c r="A127" s="15">
        <v>13</v>
      </c>
      <c r="B127" s="380"/>
      <c r="C127" s="380"/>
      <c r="D127" s="380"/>
      <c r="E127" s="380"/>
      <c r="F127" s="380"/>
      <c r="G127" s="28"/>
      <c r="H127" s="28"/>
      <c r="I127" s="32"/>
      <c r="J127" s="33"/>
    </row>
    <row r="128" spans="1:10">
      <c r="A128" s="15">
        <v>14</v>
      </c>
      <c r="B128" s="380"/>
      <c r="C128" s="380"/>
      <c r="D128" s="380"/>
      <c r="E128" s="380"/>
      <c r="F128" s="380"/>
      <c r="G128" s="28"/>
      <c r="H128" s="28"/>
      <c r="I128" s="32"/>
      <c r="J128" s="33"/>
    </row>
    <row r="129" spans="1:10">
      <c r="A129" s="15">
        <v>15</v>
      </c>
      <c r="B129" s="380"/>
      <c r="C129" s="380"/>
      <c r="D129" s="380"/>
      <c r="E129" s="380"/>
      <c r="F129" s="380"/>
      <c r="G129" s="28"/>
      <c r="H129" s="28"/>
      <c r="I129" s="32"/>
      <c r="J129" s="33"/>
    </row>
    <row r="130" spans="1:10">
      <c r="A130" s="15">
        <v>16</v>
      </c>
      <c r="B130" s="380"/>
      <c r="C130" s="380"/>
      <c r="D130" s="380"/>
      <c r="E130" s="380"/>
      <c r="F130" s="380"/>
      <c r="G130" s="28"/>
      <c r="H130" s="28"/>
      <c r="I130" s="32"/>
      <c r="J130" s="33"/>
    </row>
    <row r="131" spans="1:10">
      <c r="A131" s="15">
        <v>17</v>
      </c>
      <c r="B131" s="380"/>
      <c r="C131" s="380"/>
      <c r="D131" s="380"/>
      <c r="E131" s="380"/>
      <c r="F131" s="380"/>
      <c r="G131" s="28"/>
      <c r="H131" s="28"/>
      <c r="I131" s="32"/>
      <c r="J131" s="33"/>
    </row>
    <row r="132" spans="1:10">
      <c r="A132" s="15">
        <v>18</v>
      </c>
      <c r="B132" s="380"/>
      <c r="C132" s="380"/>
      <c r="D132" s="380"/>
      <c r="E132" s="380"/>
      <c r="F132" s="380"/>
      <c r="G132" s="28"/>
      <c r="H132" s="28"/>
      <c r="I132" s="32"/>
      <c r="J132" s="33"/>
    </row>
    <row r="133" spans="1:10">
      <c r="A133" s="15">
        <v>19</v>
      </c>
      <c r="B133" s="380"/>
      <c r="C133" s="380"/>
      <c r="D133" s="380"/>
      <c r="E133" s="380"/>
      <c r="F133" s="380"/>
      <c r="G133" s="28"/>
      <c r="H133" s="28"/>
      <c r="I133" s="32"/>
      <c r="J133" s="33"/>
    </row>
    <row r="134" spans="1:10">
      <c r="A134" s="15">
        <v>20</v>
      </c>
      <c r="B134" s="380"/>
      <c r="C134" s="380"/>
      <c r="D134" s="380"/>
      <c r="E134" s="380"/>
      <c r="F134" s="380"/>
      <c r="G134" s="28"/>
      <c r="H134" s="28"/>
      <c r="I134" s="32"/>
      <c r="J134" s="33"/>
    </row>
    <row r="135" spans="1:10">
      <c r="A135" s="15">
        <v>21</v>
      </c>
      <c r="B135" s="380"/>
      <c r="C135" s="380"/>
      <c r="D135" s="380"/>
      <c r="E135" s="380"/>
      <c r="F135" s="380"/>
      <c r="G135" s="28"/>
      <c r="H135" s="28"/>
      <c r="I135" s="32"/>
      <c r="J135" s="33"/>
    </row>
    <row r="136" spans="1:10">
      <c r="A136" s="15">
        <v>22</v>
      </c>
      <c r="B136" s="380"/>
      <c r="C136" s="380"/>
      <c r="D136" s="380"/>
      <c r="E136" s="380"/>
      <c r="F136" s="380"/>
      <c r="G136" s="28"/>
      <c r="H136" s="28"/>
      <c r="I136" s="32"/>
      <c r="J136" s="33"/>
    </row>
    <row r="137" spans="1:10">
      <c r="A137" s="15">
        <v>23</v>
      </c>
      <c r="B137" s="380"/>
      <c r="C137" s="380"/>
      <c r="D137" s="380"/>
      <c r="E137" s="380"/>
      <c r="F137" s="380"/>
      <c r="G137" s="28"/>
      <c r="H137" s="28"/>
      <c r="I137" s="32"/>
      <c r="J137" s="33"/>
    </row>
    <row r="138" spans="1:10">
      <c r="A138" s="15">
        <v>24</v>
      </c>
      <c r="B138" s="380"/>
      <c r="C138" s="380"/>
      <c r="D138" s="380"/>
      <c r="E138" s="380"/>
      <c r="F138" s="380"/>
      <c r="G138" s="28"/>
      <c r="H138" s="28"/>
      <c r="I138" s="32"/>
      <c r="J138" s="33"/>
    </row>
    <row r="139" spans="1:10">
      <c r="A139" s="15">
        <v>25</v>
      </c>
      <c r="B139" s="380"/>
      <c r="C139" s="380"/>
      <c r="D139" s="380"/>
      <c r="E139" s="380"/>
      <c r="F139" s="380"/>
      <c r="G139" s="28"/>
      <c r="H139" s="28"/>
      <c r="I139" s="32"/>
      <c r="J139" s="33"/>
    </row>
    <row r="140" spans="1:10">
      <c r="A140" s="15">
        <v>26</v>
      </c>
      <c r="B140" s="380"/>
      <c r="C140" s="380"/>
      <c r="D140" s="380"/>
      <c r="E140" s="380"/>
      <c r="F140" s="380"/>
      <c r="G140" s="28"/>
      <c r="H140" s="28"/>
      <c r="I140" s="32"/>
      <c r="J140" s="33"/>
    </row>
    <row r="141" spans="1:10">
      <c r="A141" s="15">
        <v>27</v>
      </c>
      <c r="B141" s="380"/>
      <c r="C141" s="380"/>
      <c r="D141" s="380"/>
      <c r="E141" s="380"/>
      <c r="F141" s="380"/>
      <c r="G141" s="28"/>
      <c r="H141" s="28"/>
      <c r="I141" s="32"/>
      <c r="J141" s="33"/>
    </row>
    <row r="142" spans="1:10">
      <c r="A142" s="15">
        <v>28</v>
      </c>
      <c r="B142" s="380"/>
      <c r="C142" s="380"/>
      <c r="D142" s="380"/>
      <c r="E142" s="380"/>
      <c r="F142" s="380"/>
      <c r="G142" s="28"/>
      <c r="H142" s="28"/>
      <c r="I142" s="32"/>
      <c r="J142" s="33"/>
    </row>
    <row r="143" spans="1:10">
      <c r="A143" s="15">
        <v>29</v>
      </c>
      <c r="B143" s="380"/>
      <c r="C143" s="380"/>
      <c r="D143" s="380"/>
      <c r="E143" s="380"/>
      <c r="F143" s="380"/>
      <c r="G143" s="28"/>
      <c r="H143" s="28"/>
      <c r="I143" s="32"/>
      <c r="J143" s="33"/>
    </row>
    <row r="144" spans="1:10">
      <c r="A144" s="15">
        <v>30</v>
      </c>
      <c r="B144" s="380"/>
      <c r="C144" s="380"/>
      <c r="D144" s="380"/>
      <c r="E144" s="380"/>
      <c r="F144" s="380"/>
      <c r="G144" s="28"/>
      <c r="H144" s="28"/>
      <c r="I144" s="32"/>
      <c r="J144" s="33"/>
    </row>
    <row r="145" spans="1:10">
      <c r="A145" s="15">
        <v>31</v>
      </c>
      <c r="B145" s="380"/>
      <c r="C145" s="380"/>
      <c r="D145" s="380"/>
      <c r="E145" s="380"/>
      <c r="F145" s="380"/>
      <c r="G145" s="28"/>
      <c r="H145" s="28"/>
      <c r="I145" s="32"/>
      <c r="J145" s="33"/>
    </row>
    <row r="146" spans="1:10">
      <c r="A146" s="15">
        <v>32</v>
      </c>
      <c r="B146" s="380"/>
      <c r="C146" s="380"/>
      <c r="D146" s="380"/>
      <c r="E146" s="380"/>
      <c r="F146" s="380"/>
      <c r="G146" s="28"/>
      <c r="H146" s="28"/>
      <c r="I146" s="32"/>
      <c r="J146" s="33"/>
    </row>
    <row r="147" spans="1:10">
      <c r="A147" s="15">
        <v>33</v>
      </c>
      <c r="B147" s="380"/>
      <c r="C147" s="380"/>
      <c r="D147" s="380"/>
      <c r="E147" s="380"/>
      <c r="F147" s="380"/>
      <c r="G147" s="28"/>
      <c r="H147" s="28"/>
      <c r="I147" s="32"/>
      <c r="J147" s="33"/>
    </row>
    <row r="148" spans="1:10">
      <c r="A148" s="15">
        <v>34</v>
      </c>
      <c r="B148" s="380"/>
      <c r="C148" s="380"/>
      <c r="D148" s="380"/>
      <c r="E148" s="380"/>
      <c r="F148" s="380"/>
      <c r="G148" s="28"/>
      <c r="H148" s="28"/>
      <c r="I148" s="32"/>
      <c r="J148" s="33"/>
    </row>
    <row r="149" spans="1:10">
      <c r="A149" s="15">
        <v>35</v>
      </c>
      <c r="B149" s="380"/>
      <c r="C149" s="380"/>
      <c r="D149" s="380"/>
      <c r="E149" s="380"/>
      <c r="F149" s="380"/>
      <c r="G149" s="28"/>
      <c r="H149" s="28"/>
      <c r="I149" s="32"/>
      <c r="J149" s="33"/>
    </row>
    <row r="150" spans="1:10">
      <c r="A150" s="15">
        <v>36</v>
      </c>
      <c r="B150" s="380"/>
      <c r="C150" s="380"/>
      <c r="D150" s="380"/>
      <c r="E150" s="380"/>
      <c r="F150" s="380"/>
      <c r="G150" s="28"/>
      <c r="H150" s="28"/>
      <c r="I150" s="32"/>
      <c r="J150" s="33"/>
    </row>
    <row r="151" spans="1:10">
      <c r="A151" s="15">
        <v>37</v>
      </c>
      <c r="B151" s="380"/>
      <c r="C151" s="380"/>
      <c r="D151" s="380"/>
      <c r="E151" s="380"/>
      <c r="F151" s="380"/>
      <c r="G151" s="28"/>
      <c r="H151" s="28"/>
      <c r="I151" s="32"/>
      <c r="J151" s="33"/>
    </row>
    <row r="152" spans="1:10">
      <c r="A152" s="15">
        <v>38</v>
      </c>
      <c r="B152" s="380"/>
      <c r="C152" s="380"/>
      <c r="D152" s="380"/>
      <c r="E152" s="380"/>
      <c r="F152" s="380"/>
      <c r="G152" s="28"/>
      <c r="H152" s="28"/>
      <c r="I152" s="32"/>
      <c r="J152" s="33"/>
    </row>
    <row r="153" spans="1:10">
      <c r="A153" s="15">
        <v>39</v>
      </c>
      <c r="B153" s="380"/>
      <c r="C153" s="380"/>
      <c r="D153" s="380"/>
      <c r="E153" s="380"/>
      <c r="F153" s="380"/>
      <c r="G153" s="28"/>
      <c r="H153" s="28"/>
      <c r="I153" s="32"/>
      <c r="J153" s="33"/>
    </row>
    <row r="154" spans="1:10">
      <c r="A154" s="15">
        <v>40</v>
      </c>
      <c r="B154" s="380"/>
      <c r="C154" s="380"/>
      <c r="D154" s="380"/>
      <c r="E154" s="380"/>
      <c r="F154" s="380"/>
      <c r="G154" s="28"/>
      <c r="H154" s="28"/>
      <c r="I154" s="32"/>
      <c r="J154" s="33"/>
    </row>
    <row r="155" spans="1:10">
      <c r="A155" s="15">
        <v>41</v>
      </c>
      <c r="B155" s="380"/>
      <c r="C155" s="380"/>
      <c r="D155" s="380"/>
      <c r="E155" s="380"/>
      <c r="F155" s="380"/>
      <c r="G155" s="28"/>
      <c r="H155" s="28"/>
      <c r="I155" s="32"/>
      <c r="J155" s="33"/>
    </row>
    <row r="156" spans="1:10">
      <c r="A156" s="15">
        <v>42</v>
      </c>
      <c r="B156" s="380"/>
      <c r="C156" s="380"/>
      <c r="D156" s="380"/>
      <c r="E156" s="380"/>
      <c r="F156" s="380"/>
      <c r="G156" s="28"/>
      <c r="H156" s="28"/>
      <c r="I156" s="32"/>
      <c r="J156" s="33"/>
    </row>
    <row r="157" spans="1:10">
      <c r="A157" s="15">
        <v>43</v>
      </c>
      <c r="B157" s="380"/>
      <c r="C157" s="380"/>
      <c r="D157" s="380"/>
      <c r="E157" s="380"/>
      <c r="F157" s="380"/>
      <c r="G157" s="28"/>
      <c r="H157" s="28"/>
      <c r="I157" s="32"/>
      <c r="J157" s="33"/>
    </row>
    <row r="158" spans="1:10">
      <c r="A158" s="15">
        <v>44</v>
      </c>
      <c r="B158" s="380"/>
      <c r="C158" s="380"/>
      <c r="D158" s="380"/>
      <c r="E158" s="380"/>
      <c r="F158" s="380"/>
      <c r="G158" s="28"/>
      <c r="H158" s="28"/>
      <c r="I158" s="32"/>
      <c r="J158" s="33"/>
    </row>
    <row r="159" spans="1:10">
      <c r="A159" s="15">
        <v>45</v>
      </c>
      <c r="B159" s="380"/>
      <c r="C159" s="380"/>
      <c r="D159" s="380"/>
      <c r="E159" s="380"/>
      <c r="F159" s="380"/>
      <c r="G159" s="28"/>
      <c r="H159" s="28"/>
      <c r="I159" s="32"/>
      <c r="J159" s="33"/>
    </row>
    <row r="160" spans="1:10">
      <c r="A160" s="15">
        <v>46</v>
      </c>
      <c r="B160" s="380"/>
      <c r="C160" s="380"/>
      <c r="D160" s="380"/>
      <c r="E160" s="380"/>
      <c r="F160" s="380"/>
      <c r="G160" s="28"/>
      <c r="H160" s="28"/>
      <c r="I160" s="32"/>
      <c r="J160" s="33"/>
    </row>
    <row r="161" spans="1:10">
      <c r="A161" s="15">
        <v>47</v>
      </c>
      <c r="B161" s="380"/>
      <c r="C161" s="380"/>
      <c r="D161" s="380"/>
      <c r="E161" s="380"/>
      <c r="F161" s="380"/>
      <c r="G161" s="28"/>
      <c r="H161" s="28"/>
      <c r="I161" s="32"/>
      <c r="J161" s="33"/>
    </row>
    <row r="162" spans="1:10">
      <c r="A162" s="15">
        <v>48</v>
      </c>
      <c r="B162" s="380"/>
      <c r="C162" s="380"/>
      <c r="D162" s="380"/>
      <c r="E162" s="380"/>
      <c r="F162" s="380"/>
      <c r="G162" s="28"/>
      <c r="H162" s="28"/>
      <c r="I162" s="32"/>
      <c r="J162" s="33"/>
    </row>
    <row r="163" spans="1:10">
      <c r="A163" s="15">
        <v>49</v>
      </c>
      <c r="B163" s="380"/>
      <c r="C163" s="380"/>
      <c r="D163" s="380"/>
      <c r="E163" s="380"/>
      <c r="F163" s="380"/>
      <c r="G163" s="28"/>
      <c r="H163" s="28"/>
      <c r="I163" s="32"/>
      <c r="J163" s="33"/>
    </row>
    <row r="164" spans="1:10" ht="18.600000000000001" thickBot="1">
      <c r="A164" s="16">
        <v>50</v>
      </c>
      <c r="B164" s="381"/>
      <c r="C164" s="381"/>
      <c r="D164" s="381"/>
      <c r="E164" s="381"/>
      <c r="F164" s="381"/>
      <c r="G164" s="29"/>
      <c r="H164" s="29"/>
      <c r="I164" s="34"/>
      <c r="J164" s="35"/>
    </row>
  </sheetData>
  <autoFilter ref="G114:J114" xr:uid="{00000000-0001-0000-0300-000000000000}"/>
  <mergeCells count="674">
    <mergeCell ref="B162:F162"/>
    <mergeCell ref="B163:F163"/>
    <mergeCell ref="B164:F164"/>
    <mergeCell ref="B156:F156"/>
    <mergeCell ref="B157:F157"/>
    <mergeCell ref="B158:F158"/>
    <mergeCell ref="B159:F159"/>
    <mergeCell ref="B160:F160"/>
    <mergeCell ref="B161:F161"/>
    <mergeCell ref="B150:F150"/>
    <mergeCell ref="B151:F151"/>
    <mergeCell ref="B152:F152"/>
    <mergeCell ref="B153:F153"/>
    <mergeCell ref="B154:F154"/>
    <mergeCell ref="B155:F155"/>
    <mergeCell ref="B144:F144"/>
    <mergeCell ref="B145:F145"/>
    <mergeCell ref="B146:F146"/>
    <mergeCell ref="B147:F147"/>
    <mergeCell ref="B148:F148"/>
    <mergeCell ref="B149:F149"/>
    <mergeCell ref="B138:F138"/>
    <mergeCell ref="B139:F139"/>
    <mergeCell ref="B140:F140"/>
    <mergeCell ref="B141:F141"/>
    <mergeCell ref="B142:F142"/>
    <mergeCell ref="B143:F143"/>
    <mergeCell ref="B132:F132"/>
    <mergeCell ref="B133:F133"/>
    <mergeCell ref="B134:F134"/>
    <mergeCell ref="B135:F135"/>
    <mergeCell ref="B136:F136"/>
    <mergeCell ref="B137:F137"/>
    <mergeCell ref="B126:F126"/>
    <mergeCell ref="B127:F127"/>
    <mergeCell ref="B128:F128"/>
    <mergeCell ref="B129:F129"/>
    <mergeCell ref="B130:F130"/>
    <mergeCell ref="B131:F131"/>
    <mergeCell ref="B120:F120"/>
    <mergeCell ref="B121:F121"/>
    <mergeCell ref="B122:F122"/>
    <mergeCell ref="B123:F123"/>
    <mergeCell ref="B124:F124"/>
    <mergeCell ref="B125:F125"/>
    <mergeCell ref="B114:F114"/>
    <mergeCell ref="B115:F115"/>
    <mergeCell ref="B116:F116"/>
    <mergeCell ref="B117:F117"/>
    <mergeCell ref="B118:F118"/>
    <mergeCell ref="B119:F119"/>
    <mergeCell ref="B102:D102"/>
    <mergeCell ref="K102:M102"/>
    <mergeCell ref="T102:V102"/>
    <mergeCell ref="B103:D103"/>
    <mergeCell ref="K103:M103"/>
    <mergeCell ref="T103:V103"/>
    <mergeCell ref="B100:D100"/>
    <mergeCell ref="K100:M100"/>
    <mergeCell ref="T100:V100"/>
    <mergeCell ref="B101:D101"/>
    <mergeCell ref="K101:M101"/>
    <mergeCell ref="T101:V101"/>
    <mergeCell ref="B98:D98"/>
    <mergeCell ref="K98:M98"/>
    <mergeCell ref="T98:V98"/>
    <mergeCell ref="B99:D99"/>
    <mergeCell ref="K99:M99"/>
    <mergeCell ref="T99:V99"/>
    <mergeCell ref="B96:D96"/>
    <mergeCell ref="K96:M96"/>
    <mergeCell ref="T96:V96"/>
    <mergeCell ref="B97:D97"/>
    <mergeCell ref="K97:M97"/>
    <mergeCell ref="T97:V97"/>
    <mergeCell ref="B94:D94"/>
    <mergeCell ref="K94:M94"/>
    <mergeCell ref="T94:V94"/>
    <mergeCell ref="B95:D95"/>
    <mergeCell ref="K95:M95"/>
    <mergeCell ref="T95:V95"/>
    <mergeCell ref="B92:D92"/>
    <mergeCell ref="K92:M92"/>
    <mergeCell ref="T92:V92"/>
    <mergeCell ref="B93:D93"/>
    <mergeCell ref="K93:M93"/>
    <mergeCell ref="T93:V93"/>
    <mergeCell ref="B90:D90"/>
    <mergeCell ref="K90:M90"/>
    <mergeCell ref="T90:V90"/>
    <mergeCell ref="B91:D91"/>
    <mergeCell ref="K91:M91"/>
    <mergeCell ref="T91:V91"/>
    <mergeCell ref="B88:D88"/>
    <mergeCell ref="K88:M88"/>
    <mergeCell ref="T88:V88"/>
    <mergeCell ref="B89:D89"/>
    <mergeCell ref="K89:M89"/>
    <mergeCell ref="T89:V89"/>
    <mergeCell ref="S85:T85"/>
    <mergeCell ref="U85:V85"/>
    <mergeCell ref="W85:X85"/>
    <mergeCell ref="A86:B86"/>
    <mergeCell ref="J86:K86"/>
    <mergeCell ref="S86:T86"/>
    <mergeCell ref="A85:B85"/>
    <mergeCell ref="C85:D85"/>
    <mergeCell ref="E85:F85"/>
    <mergeCell ref="J85:K85"/>
    <mergeCell ref="L85:M85"/>
    <mergeCell ref="N85:O85"/>
    <mergeCell ref="BD82:BF82"/>
    <mergeCell ref="B83:D83"/>
    <mergeCell ref="K83:M83"/>
    <mergeCell ref="T83:V83"/>
    <mergeCell ref="AC83:AE83"/>
    <mergeCell ref="AL83:AN83"/>
    <mergeCell ref="AU83:AW83"/>
    <mergeCell ref="BD83:BF83"/>
    <mergeCell ref="B82:D82"/>
    <mergeCell ref="K82:M82"/>
    <mergeCell ref="T82:V82"/>
    <mergeCell ref="AC82:AE82"/>
    <mergeCell ref="AL82:AN82"/>
    <mergeCell ref="AU82:AW82"/>
    <mergeCell ref="BD80:BF80"/>
    <mergeCell ref="B81:D81"/>
    <mergeCell ref="K81:M81"/>
    <mergeCell ref="T81:V81"/>
    <mergeCell ref="AC81:AE81"/>
    <mergeCell ref="AL81:AN81"/>
    <mergeCell ref="AU81:AW81"/>
    <mergeCell ref="BD81:BF81"/>
    <mergeCell ref="B80:D80"/>
    <mergeCell ref="K80:M80"/>
    <mergeCell ref="T80:V80"/>
    <mergeCell ref="AC80:AE80"/>
    <mergeCell ref="AL80:AN80"/>
    <mergeCell ref="AU80:AW80"/>
    <mergeCell ref="BD78:BF78"/>
    <mergeCell ref="B79:D79"/>
    <mergeCell ref="K79:M79"/>
    <mergeCell ref="T79:V79"/>
    <mergeCell ref="AC79:AE79"/>
    <mergeCell ref="AL79:AN79"/>
    <mergeCell ref="AU79:AW79"/>
    <mergeCell ref="BD79:BF79"/>
    <mergeCell ref="B78:D78"/>
    <mergeCell ref="K78:M78"/>
    <mergeCell ref="T78:V78"/>
    <mergeCell ref="AC78:AE78"/>
    <mergeCell ref="AL78:AN78"/>
    <mergeCell ref="AU78:AW78"/>
    <mergeCell ref="BD76:BF76"/>
    <mergeCell ref="B77:D77"/>
    <mergeCell ref="K77:M77"/>
    <mergeCell ref="T77:V77"/>
    <mergeCell ref="AC77:AE77"/>
    <mergeCell ref="AL77:AN77"/>
    <mergeCell ref="AU77:AW77"/>
    <mergeCell ref="BD77:BF77"/>
    <mergeCell ref="B76:D76"/>
    <mergeCell ref="K76:M76"/>
    <mergeCell ref="T76:V76"/>
    <mergeCell ref="AC76:AE76"/>
    <mergeCell ref="AL76:AN76"/>
    <mergeCell ref="AU76:AW76"/>
    <mergeCell ref="BD74:BF74"/>
    <mergeCell ref="B75:D75"/>
    <mergeCell ref="K75:M75"/>
    <mergeCell ref="T75:V75"/>
    <mergeCell ref="AC75:AE75"/>
    <mergeCell ref="AL75:AN75"/>
    <mergeCell ref="AU75:AW75"/>
    <mergeCell ref="BD75:BF75"/>
    <mergeCell ref="B74:D74"/>
    <mergeCell ref="K74:M74"/>
    <mergeCell ref="T74:V74"/>
    <mergeCell ref="AC74:AE74"/>
    <mergeCell ref="AL74:AN74"/>
    <mergeCell ref="AU74:AW74"/>
    <mergeCell ref="BD72:BF72"/>
    <mergeCell ref="B73:D73"/>
    <mergeCell ref="K73:M73"/>
    <mergeCell ref="T73:V73"/>
    <mergeCell ref="AC73:AE73"/>
    <mergeCell ref="AL73:AN73"/>
    <mergeCell ref="AU73:AW73"/>
    <mergeCell ref="BD73:BF73"/>
    <mergeCell ref="B72:D72"/>
    <mergeCell ref="K72:M72"/>
    <mergeCell ref="T72:V72"/>
    <mergeCell ref="AC72:AE72"/>
    <mergeCell ref="AL72:AN72"/>
    <mergeCell ref="AU72:AW72"/>
    <mergeCell ref="BD70:BF70"/>
    <mergeCell ref="B71:D71"/>
    <mergeCell ref="K71:M71"/>
    <mergeCell ref="T71:V71"/>
    <mergeCell ref="AC71:AE71"/>
    <mergeCell ref="AL71:AN71"/>
    <mergeCell ref="AU71:AW71"/>
    <mergeCell ref="BD71:BF71"/>
    <mergeCell ref="B70:D70"/>
    <mergeCell ref="K70:M70"/>
    <mergeCell ref="T70:V70"/>
    <mergeCell ref="AC70:AE70"/>
    <mergeCell ref="AL70:AN70"/>
    <mergeCell ref="AU70:AW70"/>
    <mergeCell ref="BD68:BF68"/>
    <mergeCell ref="B69:D69"/>
    <mergeCell ref="K69:M69"/>
    <mergeCell ref="T69:V69"/>
    <mergeCell ref="AC69:AE69"/>
    <mergeCell ref="AL69:AN69"/>
    <mergeCell ref="AU69:AW69"/>
    <mergeCell ref="BD69:BF69"/>
    <mergeCell ref="B68:D68"/>
    <mergeCell ref="K68:M68"/>
    <mergeCell ref="T68:V68"/>
    <mergeCell ref="AC68:AE68"/>
    <mergeCell ref="AL68:AN68"/>
    <mergeCell ref="AU68:AW68"/>
    <mergeCell ref="BG65:BH65"/>
    <mergeCell ref="A66:B66"/>
    <mergeCell ref="J66:K66"/>
    <mergeCell ref="S66:T66"/>
    <mergeCell ref="AB66:AC66"/>
    <mergeCell ref="AK66:AL66"/>
    <mergeCell ref="AT66:AU66"/>
    <mergeCell ref="BC66:BD66"/>
    <mergeCell ref="AK65:AL65"/>
    <mergeCell ref="AM65:AN65"/>
    <mergeCell ref="AO65:AP65"/>
    <mergeCell ref="AT65:AU65"/>
    <mergeCell ref="AV65:AW65"/>
    <mergeCell ref="AX65:AY65"/>
    <mergeCell ref="S65:T65"/>
    <mergeCell ref="U65:V65"/>
    <mergeCell ref="W65:X65"/>
    <mergeCell ref="AB65:AC65"/>
    <mergeCell ref="AD65:AE65"/>
    <mergeCell ref="AF65:AG65"/>
    <mergeCell ref="A65:B65"/>
    <mergeCell ref="C65:D65"/>
    <mergeCell ref="E65:F65"/>
    <mergeCell ref="J65:K65"/>
    <mergeCell ref="L65:M65"/>
    <mergeCell ref="N65:O65"/>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U62:AW62"/>
    <mergeCell ref="BC65:BD65"/>
    <mergeCell ref="BE65:BF65"/>
    <mergeCell ref="BD60:BF60"/>
    <mergeCell ref="B61:D61"/>
    <mergeCell ref="K61:M61"/>
    <mergeCell ref="T61:V61"/>
    <mergeCell ref="AC61:AE61"/>
    <mergeCell ref="AL61:AN61"/>
    <mergeCell ref="AU61:AW61"/>
    <mergeCell ref="BD61:BF61"/>
    <mergeCell ref="B60:D60"/>
    <mergeCell ref="K60:M60"/>
    <mergeCell ref="T60:V60"/>
    <mergeCell ref="AC60:AE60"/>
    <mergeCell ref="AL60:AN60"/>
    <mergeCell ref="AU60:AW60"/>
    <mergeCell ref="BD58:BF58"/>
    <mergeCell ref="B59:D59"/>
    <mergeCell ref="K59:M59"/>
    <mergeCell ref="T59:V59"/>
    <mergeCell ref="AC59:AE59"/>
    <mergeCell ref="AL59:AN59"/>
    <mergeCell ref="AU59:AW59"/>
    <mergeCell ref="BD59:BF59"/>
    <mergeCell ref="B58:D58"/>
    <mergeCell ref="K58:M58"/>
    <mergeCell ref="T58:V58"/>
    <mergeCell ref="AC58:AE58"/>
    <mergeCell ref="AL58:AN58"/>
    <mergeCell ref="AU58:AW58"/>
    <mergeCell ref="BD56:BF56"/>
    <mergeCell ref="B57:D57"/>
    <mergeCell ref="K57:M57"/>
    <mergeCell ref="T57:V57"/>
    <mergeCell ref="AC57:AE57"/>
    <mergeCell ref="AL57:AN57"/>
    <mergeCell ref="AU57:AW57"/>
    <mergeCell ref="BD57:BF57"/>
    <mergeCell ref="B56:D56"/>
    <mergeCell ref="K56:M56"/>
    <mergeCell ref="T56:V56"/>
    <mergeCell ref="AC56:AE56"/>
    <mergeCell ref="AL56:AN56"/>
    <mergeCell ref="AU56:AW56"/>
    <mergeCell ref="BD54:BF54"/>
    <mergeCell ref="B55:D55"/>
    <mergeCell ref="K55:M55"/>
    <mergeCell ref="T55:V55"/>
    <mergeCell ref="AC55:AE55"/>
    <mergeCell ref="AL55:AN55"/>
    <mergeCell ref="AU55:AW55"/>
    <mergeCell ref="BD55:BF55"/>
    <mergeCell ref="B54:D54"/>
    <mergeCell ref="K54:M54"/>
    <mergeCell ref="T54:V54"/>
    <mergeCell ref="AC54:AE54"/>
    <mergeCell ref="AL54:AN54"/>
    <mergeCell ref="AU54:AW54"/>
    <mergeCell ref="BD52:BF52"/>
    <mergeCell ref="B53:D53"/>
    <mergeCell ref="K53:M53"/>
    <mergeCell ref="T53:V53"/>
    <mergeCell ref="AC53:AE53"/>
    <mergeCell ref="AL53:AN53"/>
    <mergeCell ref="AU53:AW53"/>
    <mergeCell ref="BD53:BF53"/>
    <mergeCell ref="B52:D52"/>
    <mergeCell ref="K52:M52"/>
    <mergeCell ref="T52:V52"/>
    <mergeCell ref="AC52:AE52"/>
    <mergeCell ref="AL52:AN52"/>
    <mergeCell ref="AU52:AW52"/>
    <mergeCell ref="BD50:BF50"/>
    <mergeCell ref="B51:D51"/>
    <mergeCell ref="K51:M51"/>
    <mergeCell ref="T51:V51"/>
    <mergeCell ref="AC51:AE51"/>
    <mergeCell ref="AL51:AN51"/>
    <mergeCell ref="AU51:AW51"/>
    <mergeCell ref="BD51:BF51"/>
    <mergeCell ref="B50:D50"/>
    <mergeCell ref="K50:M50"/>
    <mergeCell ref="T50:V50"/>
    <mergeCell ref="AC50:AE50"/>
    <mergeCell ref="AL50:AN50"/>
    <mergeCell ref="AU50:AW50"/>
    <mergeCell ref="BD48:BF48"/>
    <mergeCell ref="B49:D49"/>
    <mergeCell ref="K49:M49"/>
    <mergeCell ref="T49:V49"/>
    <mergeCell ref="AC49:AE49"/>
    <mergeCell ref="AL49:AN49"/>
    <mergeCell ref="AU49:AW49"/>
    <mergeCell ref="BD49:BF49"/>
    <mergeCell ref="B48:D48"/>
    <mergeCell ref="K48:M48"/>
    <mergeCell ref="T48:V48"/>
    <mergeCell ref="AC48:AE48"/>
    <mergeCell ref="AL48:AN48"/>
    <mergeCell ref="AU48:AW48"/>
    <mergeCell ref="BG45:BH45"/>
    <mergeCell ref="A46:B46"/>
    <mergeCell ref="J46:K46"/>
    <mergeCell ref="S46:T46"/>
    <mergeCell ref="AB46:AC46"/>
    <mergeCell ref="AK46:AL46"/>
    <mergeCell ref="AT46:AU46"/>
    <mergeCell ref="BC46:BD46"/>
    <mergeCell ref="AK45:AL45"/>
    <mergeCell ref="AM45:AN45"/>
    <mergeCell ref="AO45:AP45"/>
    <mergeCell ref="AT45:AU45"/>
    <mergeCell ref="AV45:AW45"/>
    <mergeCell ref="AX45:AY45"/>
    <mergeCell ref="S45:T45"/>
    <mergeCell ref="U45:V45"/>
    <mergeCell ref="W45:X45"/>
    <mergeCell ref="AB45:AC45"/>
    <mergeCell ref="AD45:AE45"/>
    <mergeCell ref="AF45:AG45"/>
    <mergeCell ref="A45:B45"/>
    <mergeCell ref="C45:D45"/>
    <mergeCell ref="E45:F45"/>
    <mergeCell ref="J45:K45"/>
    <mergeCell ref="L45:M45"/>
    <mergeCell ref="N45:O45"/>
    <mergeCell ref="BD42:BF42"/>
    <mergeCell ref="B43:D43"/>
    <mergeCell ref="K43:M43"/>
    <mergeCell ref="T43:V43"/>
    <mergeCell ref="AC43:AE43"/>
    <mergeCell ref="AL43:AN43"/>
    <mergeCell ref="AU43:AW43"/>
    <mergeCell ref="BD43:BF43"/>
    <mergeCell ref="B42:D42"/>
    <mergeCell ref="K42:M42"/>
    <mergeCell ref="T42:V42"/>
    <mergeCell ref="AC42:AE42"/>
    <mergeCell ref="AL42:AN42"/>
    <mergeCell ref="AU42:AW42"/>
    <mergeCell ref="BC45:BD45"/>
    <mergeCell ref="BE45:BF45"/>
    <mergeCell ref="BD40:BF40"/>
    <mergeCell ref="B41:D41"/>
    <mergeCell ref="K41:M41"/>
    <mergeCell ref="T41:V41"/>
    <mergeCell ref="AC41:AE41"/>
    <mergeCell ref="AL41:AN41"/>
    <mergeCell ref="AU41:AW41"/>
    <mergeCell ref="BD41:BF41"/>
    <mergeCell ref="B40:D40"/>
    <mergeCell ref="K40:M40"/>
    <mergeCell ref="T40:V40"/>
    <mergeCell ref="AC40:AE40"/>
    <mergeCell ref="AL40:AN40"/>
    <mergeCell ref="AU40:AW40"/>
    <mergeCell ref="BD38:BF38"/>
    <mergeCell ref="B39:D39"/>
    <mergeCell ref="K39:M39"/>
    <mergeCell ref="T39:V39"/>
    <mergeCell ref="AC39:AE39"/>
    <mergeCell ref="AL39:AN39"/>
    <mergeCell ref="AU39:AW39"/>
    <mergeCell ref="BD39:BF39"/>
    <mergeCell ref="B38:D38"/>
    <mergeCell ref="K38:M38"/>
    <mergeCell ref="T38:V38"/>
    <mergeCell ref="AC38:AE38"/>
    <mergeCell ref="AL38:AN38"/>
    <mergeCell ref="AU38:AW38"/>
    <mergeCell ref="BD36:BF36"/>
    <mergeCell ref="B37:D37"/>
    <mergeCell ref="K37:M37"/>
    <mergeCell ref="T37:V37"/>
    <mergeCell ref="AC37:AE37"/>
    <mergeCell ref="AL37:AN37"/>
    <mergeCell ref="AU37:AW37"/>
    <mergeCell ref="BD37:BF37"/>
    <mergeCell ref="B36:D36"/>
    <mergeCell ref="K36:M36"/>
    <mergeCell ref="T36:V36"/>
    <mergeCell ref="AC36:AE36"/>
    <mergeCell ref="AL36:AN36"/>
    <mergeCell ref="AU36:AW36"/>
    <mergeCell ref="BD34:BF34"/>
    <mergeCell ref="B35:D35"/>
    <mergeCell ref="K35:M35"/>
    <mergeCell ref="T35:V35"/>
    <mergeCell ref="AC35:AE35"/>
    <mergeCell ref="AL35:AN35"/>
    <mergeCell ref="AU35:AW35"/>
    <mergeCell ref="BD35:BF35"/>
    <mergeCell ref="B34:D34"/>
    <mergeCell ref="K34:M34"/>
    <mergeCell ref="T34:V34"/>
    <mergeCell ref="AC34:AE34"/>
    <mergeCell ref="AL34:AN34"/>
    <mergeCell ref="AU34:AW34"/>
    <mergeCell ref="BD32:BF32"/>
    <mergeCell ref="B33:D33"/>
    <mergeCell ref="K33:M33"/>
    <mergeCell ref="T33:V33"/>
    <mergeCell ref="AC33:AE33"/>
    <mergeCell ref="AL33:AN33"/>
    <mergeCell ref="AU33:AW33"/>
    <mergeCell ref="BD33:BF33"/>
    <mergeCell ref="B32:D32"/>
    <mergeCell ref="K32:M32"/>
    <mergeCell ref="T32:V32"/>
    <mergeCell ref="AC32:AE32"/>
    <mergeCell ref="AL32:AN32"/>
    <mergeCell ref="AU32:AW32"/>
    <mergeCell ref="BD30:BF30"/>
    <mergeCell ref="B31:D31"/>
    <mergeCell ref="K31:M31"/>
    <mergeCell ref="T31:V31"/>
    <mergeCell ref="AC31:AE31"/>
    <mergeCell ref="AL31:AN31"/>
    <mergeCell ref="AU31:AW31"/>
    <mergeCell ref="BD31:BF31"/>
    <mergeCell ref="B30:D30"/>
    <mergeCell ref="K30:M30"/>
    <mergeCell ref="T30:V30"/>
    <mergeCell ref="AC30:AE30"/>
    <mergeCell ref="AL30:AN30"/>
    <mergeCell ref="AU30:AW30"/>
    <mergeCell ref="BD28:BF28"/>
    <mergeCell ref="B29:D29"/>
    <mergeCell ref="K29:M29"/>
    <mergeCell ref="T29:V29"/>
    <mergeCell ref="AC29:AE29"/>
    <mergeCell ref="AL29:AN29"/>
    <mergeCell ref="AU29:AW29"/>
    <mergeCell ref="BD29:BF29"/>
    <mergeCell ref="B28:D28"/>
    <mergeCell ref="K28:M28"/>
    <mergeCell ref="T28:V28"/>
    <mergeCell ref="AC28:AE28"/>
    <mergeCell ref="AL28:AN28"/>
    <mergeCell ref="AU28:AW28"/>
    <mergeCell ref="BG25:BH25"/>
    <mergeCell ref="A26:B26"/>
    <mergeCell ref="J26:K26"/>
    <mergeCell ref="S26:T26"/>
    <mergeCell ref="AB26:AC26"/>
    <mergeCell ref="AK26:AL26"/>
    <mergeCell ref="AT26:AU26"/>
    <mergeCell ref="BC26:BD26"/>
    <mergeCell ref="AK25:AL25"/>
    <mergeCell ref="AM25:AN25"/>
    <mergeCell ref="AO25:AP25"/>
    <mergeCell ref="AT25:AU25"/>
    <mergeCell ref="AV25:AW25"/>
    <mergeCell ref="AX25:AY25"/>
    <mergeCell ref="S25:T25"/>
    <mergeCell ref="U25:V25"/>
    <mergeCell ref="W25:X25"/>
    <mergeCell ref="AB25:AC25"/>
    <mergeCell ref="AD25:AE25"/>
    <mergeCell ref="AF25:AG25"/>
    <mergeCell ref="A25:B25"/>
    <mergeCell ref="C25:D25"/>
    <mergeCell ref="E25:F25"/>
    <mergeCell ref="J25:K25"/>
    <mergeCell ref="L25:M25"/>
    <mergeCell ref="N25:O25"/>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U22:AW22"/>
    <mergeCell ref="BC25:BD25"/>
    <mergeCell ref="BE25:BF25"/>
    <mergeCell ref="BD20:BF20"/>
    <mergeCell ref="B21:D21"/>
    <mergeCell ref="K21:M21"/>
    <mergeCell ref="T21:V21"/>
    <mergeCell ref="AC21:AE21"/>
    <mergeCell ref="AL21:AN21"/>
    <mergeCell ref="AU21:AW21"/>
    <mergeCell ref="BD21:BF21"/>
    <mergeCell ref="B20:D20"/>
    <mergeCell ref="K20:M20"/>
    <mergeCell ref="T20:V20"/>
    <mergeCell ref="AC20:AE20"/>
    <mergeCell ref="AL20:AN20"/>
    <mergeCell ref="AU20:AW20"/>
    <mergeCell ref="BD18:BF18"/>
    <mergeCell ref="B19:D19"/>
    <mergeCell ref="K19:M19"/>
    <mergeCell ref="T19:V19"/>
    <mergeCell ref="AC19:AE19"/>
    <mergeCell ref="AL19:AN19"/>
    <mergeCell ref="AU19:AW19"/>
    <mergeCell ref="BD19:BF19"/>
    <mergeCell ref="B18:D18"/>
    <mergeCell ref="K18:M18"/>
    <mergeCell ref="T18:V18"/>
    <mergeCell ref="AC18:AE18"/>
    <mergeCell ref="AL18:AN18"/>
    <mergeCell ref="AU18:AW18"/>
    <mergeCell ref="BD16:BF16"/>
    <mergeCell ref="B17:D17"/>
    <mergeCell ref="K17:M17"/>
    <mergeCell ref="T17:V17"/>
    <mergeCell ref="AC17:AE17"/>
    <mergeCell ref="AL17:AN17"/>
    <mergeCell ref="AU17:AW17"/>
    <mergeCell ref="BD17:BF17"/>
    <mergeCell ref="B16:D16"/>
    <mergeCell ref="K16:M16"/>
    <mergeCell ref="T16:V16"/>
    <mergeCell ref="AC16:AE16"/>
    <mergeCell ref="AL16:AN16"/>
    <mergeCell ref="AU16:AW16"/>
    <mergeCell ref="BD14:BF14"/>
    <mergeCell ref="B15:D15"/>
    <mergeCell ref="K15:M15"/>
    <mergeCell ref="T15:V15"/>
    <mergeCell ref="AC15:AE15"/>
    <mergeCell ref="AL15:AN15"/>
    <mergeCell ref="AU15:AW15"/>
    <mergeCell ref="BD15:BF15"/>
    <mergeCell ref="B14:D14"/>
    <mergeCell ref="K14:M14"/>
    <mergeCell ref="T14:V14"/>
    <mergeCell ref="AC14:AE14"/>
    <mergeCell ref="AL14:AN14"/>
    <mergeCell ref="AU14:AW14"/>
    <mergeCell ref="BD12:BF12"/>
    <mergeCell ref="B13:D13"/>
    <mergeCell ref="K13:M13"/>
    <mergeCell ref="T13:V13"/>
    <mergeCell ref="AC13:AE13"/>
    <mergeCell ref="AL13:AN13"/>
    <mergeCell ref="AU13:AW13"/>
    <mergeCell ref="BD13:BF13"/>
    <mergeCell ref="B12:D12"/>
    <mergeCell ref="K12:M12"/>
    <mergeCell ref="T12:V12"/>
    <mergeCell ref="AC12:AE12"/>
    <mergeCell ref="AL12:AN12"/>
    <mergeCell ref="AU12:AW12"/>
    <mergeCell ref="BD10:BF10"/>
    <mergeCell ref="B11:D11"/>
    <mergeCell ref="K11:M11"/>
    <mergeCell ref="T11:V11"/>
    <mergeCell ref="AC11:AE11"/>
    <mergeCell ref="AL11:AN11"/>
    <mergeCell ref="AU11:AW11"/>
    <mergeCell ref="BD11:BF11"/>
    <mergeCell ref="B10:D10"/>
    <mergeCell ref="K10:M10"/>
    <mergeCell ref="T10:V10"/>
    <mergeCell ref="AC10:AE10"/>
    <mergeCell ref="AL10:AN10"/>
    <mergeCell ref="AU10:AW10"/>
    <mergeCell ref="BD8:BF8"/>
    <mergeCell ref="B9:D9"/>
    <mergeCell ref="K9:M9"/>
    <mergeCell ref="T9:V9"/>
    <mergeCell ref="AC9:AE9"/>
    <mergeCell ref="AL9:AN9"/>
    <mergeCell ref="AU9:AW9"/>
    <mergeCell ref="BD9:BF9"/>
    <mergeCell ref="B8:D8"/>
    <mergeCell ref="K8:M8"/>
    <mergeCell ref="T8:V8"/>
    <mergeCell ref="AC8:AE8"/>
    <mergeCell ref="AL8:AN8"/>
    <mergeCell ref="AU8:AW8"/>
    <mergeCell ref="A6:B6"/>
    <mergeCell ref="J6:K6"/>
    <mergeCell ref="S6:T6"/>
    <mergeCell ref="AB6:AC6"/>
    <mergeCell ref="AK6:AL6"/>
    <mergeCell ref="AT6:AU6"/>
    <mergeCell ref="BC6:BD6"/>
    <mergeCell ref="AM5:AN5"/>
    <mergeCell ref="AO5:AP5"/>
    <mergeCell ref="AT5:AU5"/>
    <mergeCell ref="AV5:AW5"/>
    <mergeCell ref="AX5:AY5"/>
    <mergeCell ref="BC5:BD5"/>
    <mergeCell ref="U5:V5"/>
    <mergeCell ref="W5:X5"/>
    <mergeCell ref="AB5:AC5"/>
    <mergeCell ref="AD5:AE5"/>
    <mergeCell ref="AF5:AG5"/>
    <mergeCell ref="AK5:AL5"/>
    <mergeCell ref="C1:D1"/>
    <mergeCell ref="F1:G1"/>
    <mergeCell ref="BI2:BJ2"/>
    <mergeCell ref="A5:B5"/>
    <mergeCell ref="C5:D5"/>
    <mergeCell ref="E5:F5"/>
    <mergeCell ref="J5:K5"/>
    <mergeCell ref="L5:M5"/>
    <mergeCell ref="N5:O5"/>
    <mergeCell ref="S5:T5"/>
    <mergeCell ref="BE5:BF5"/>
    <mergeCell ref="BG5:BH5"/>
  </mergeCells>
  <phoneticPr fontId="5"/>
  <conditionalFormatting sqref="E9:E23">
    <cfRule type="cellIs" dxfId="67" priority="1" operator="equal">
      <formula>0</formula>
    </cfRule>
    <cfRule type="cellIs" dxfId="66" priority="2" operator="equal">
      <formula>0</formula>
    </cfRule>
  </conditionalFormatting>
  <conditionalFormatting sqref="E29:E43">
    <cfRule type="cellIs" dxfId="65" priority="3" operator="equal">
      <formula>0</formula>
    </cfRule>
    <cfRule type="cellIs" dxfId="64" priority="4" operator="equal">
      <formula>0</formula>
    </cfRule>
  </conditionalFormatting>
  <conditionalFormatting sqref="E49:E63">
    <cfRule type="cellIs" dxfId="63" priority="5" operator="equal">
      <formula>0</formula>
    </cfRule>
    <cfRule type="cellIs" dxfId="62" priority="6" operator="equal">
      <formula>0</formula>
    </cfRule>
  </conditionalFormatting>
  <conditionalFormatting sqref="E69:E83">
    <cfRule type="cellIs" dxfId="61" priority="7" operator="equal">
      <formula>0</formula>
    </cfRule>
    <cfRule type="cellIs" dxfId="60" priority="8" operator="equal">
      <formula>0</formula>
    </cfRule>
  </conditionalFormatting>
  <conditionalFormatting sqref="E89:E103">
    <cfRule type="cellIs" dxfId="59" priority="9" operator="equal">
      <formula>0</formula>
    </cfRule>
    <cfRule type="cellIs" dxfId="58" priority="10" operator="equal">
      <formula>0</formula>
    </cfRule>
  </conditionalFormatting>
  <conditionalFormatting sqref="N9:N23">
    <cfRule type="cellIs" dxfId="57" priority="11" operator="equal">
      <formula>0</formula>
    </cfRule>
    <cfRule type="cellIs" dxfId="56" priority="12" operator="equal">
      <formula>0</formula>
    </cfRule>
  </conditionalFormatting>
  <conditionalFormatting sqref="N29:N43">
    <cfRule type="cellIs" dxfId="55" priority="13" operator="equal">
      <formula>0</formula>
    </cfRule>
    <cfRule type="cellIs" dxfId="54" priority="14" operator="equal">
      <formula>0</formula>
    </cfRule>
  </conditionalFormatting>
  <conditionalFormatting sqref="N49:N63">
    <cfRule type="cellIs" dxfId="53" priority="15" operator="equal">
      <formula>0</formula>
    </cfRule>
    <cfRule type="cellIs" dxfId="52" priority="16" operator="equal">
      <formula>0</formula>
    </cfRule>
  </conditionalFormatting>
  <conditionalFormatting sqref="N69:N83">
    <cfRule type="cellIs" dxfId="51" priority="17" operator="equal">
      <formula>0</formula>
    </cfRule>
    <cfRule type="cellIs" dxfId="50" priority="18" operator="equal">
      <formula>0</formula>
    </cfRule>
  </conditionalFormatting>
  <conditionalFormatting sqref="N89:N103">
    <cfRule type="cellIs" dxfId="49" priority="19" operator="equal">
      <formula>0</formula>
    </cfRule>
    <cfRule type="cellIs" dxfId="48" priority="20" operator="equal">
      <formula>0</formula>
    </cfRule>
  </conditionalFormatting>
  <conditionalFormatting sqref="W9:W23">
    <cfRule type="cellIs" dxfId="47" priority="21" operator="equal">
      <formula>0</formula>
    </cfRule>
    <cfRule type="cellIs" dxfId="46" priority="22" operator="equal">
      <formula>0</formula>
    </cfRule>
  </conditionalFormatting>
  <conditionalFormatting sqref="W29:W43">
    <cfRule type="cellIs" dxfId="45" priority="23" operator="equal">
      <formula>0</formula>
    </cfRule>
    <cfRule type="cellIs" dxfId="44" priority="24" operator="equal">
      <formula>0</formula>
    </cfRule>
  </conditionalFormatting>
  <conditionalFormatting sqref="W49:W63">
    <cfRule type="cellIs" dxfId="43" priority="25" operator="equal">
      <formula>0</formula>
    </cfRule>
    <cfRule type="cellIs" dxfId="42" priority="26" operator="equal">
      <formula>0</formula>
    </cfRule>
  </conditionalFormatting>
  <conditionalFormatting sqref="W69:W83">
    <cfRule type="cellIs" dxfId="41" priority="27" operator="equal">
      <formula>0</formula>
    </cfRule>
    <cfRule type="cellIs" dxfId="40" priority="28" operator="equal">
      <formula>0</formula>
    </cfRule>
  </conditionalFormatting>
  <conditionalFormatting sqref="W89:W103">
    <cfRule type="cellIs" dxfId="39" priority="29" operator="equal">
      <formula>0</formula>
    </cfRule>
    <cfRule type="cellIs" dxfId="38" priority="30" operator="equal">
      <formula>0</formula>
    </cfRule>
  </conditionalFormatting>
  <conditionalFormatting sqref="AF9:AF23">
    <cfRule type="cellIs" dxfId="37" priority="31" operator="equal">
      <formula>0</formula>
    </cfRule>
    <cfRule type="cellIs" dxfId="36" priority="32" operator="equal">
      <formula>0</formula>
    </cfRule>
  </conditionalFormatting>
  <conditionalFormatting sqref="AF29:AF43">
    <cfRule type="cellIs" dxfId="35" priority="33" operator="equal">
      <formula>0</formula>
    </cfRule>
    <cfRule type="cellIs" dxfId="34" priority="34" operator="equal">
      <formula>0</formula>
    </cfRule>
  </conditionalFormatting>
  <conditionalFormatting sqref="AF49:AF63">
    <cfRule type="cellIs" dxfId="33" priority="35" operator="equal">
      <formula>0</formula>
    </cfRule>
    <cfRule type="cellIs" dxfId="32" priority="36" operator="equal">
      <formula>0</formula>
    </cfRule>
  </conditionalFormatting>
  <conditionalFormatting sqref="AF69:AF83">
    <cfRule type="cellIs" dxfId="31" priority="37" operator="equal">
      <formula>0</formula>
    </cfRule>
    <cfRule type="cellIs" dxfId="30" priority="38" operator="equal">
      <formula>0</formula>
    </cfRule>
  </conditionalFormatting>
  <conditionalFormatting sqref="AO9:AO23">
    <cfRule type="cellIs" dxfId="29" priority="39" operator="equal">
      <formula>0</formula>
    </cfRule>
    <cfRule type="cellIs" dxfId="28" priority="40" operator="equal">
      <formula>0</formula>
    </cfRule>
  </conditionalFormatting>
  <conditionalFormatting sqref="AO29:AO43">
    <cfRule type="cellIs" dxfId="27" priority="41" operator="equal">
      <formula>0</formula>
    </cfRule>
    <cfRule type="cellIs" dxfId="26" priority="42" operator="equal">
      <formula>0</formula>
    </cfRule>
  </conditionalFormatting>
  <conditionalFormatting sqref="AO49:AO63">
    <cfRule type="cellIs" dxfId="25" priority="43" operator="equal">
      <formula>0</formula>
    </cfRule>
    <cfRule type="cellIs" dxfId="24" priority="44" operator="equal">
      <formula>0</formula>
    </cfRule>
  </conditionalFormatting>
  <conditionalFormatting sqref="AO69:AO83">
    <cfRule type="cellIs" dxfId="23" priority="45" operator="equal">
      <formula>0</formula>
    </cfRule>
    <cfRule type="cellIs" dxfId="22" priority="46" operator="equal">
      <formula>0</formula>
    </cfRule>
  </conditionalFormatting>
  <conditionalFormatting sqref="AX9:AX23">
    <cfRule type="cellIs" dxfId="21" priority="47" operator="equal">
      <formula>0</formula>
    </cfRule>
    <cfRule type="cellIs" dxfId="20" priority="48" operator="equal">
      <formula>0</formula>
    </cfRule>
  </conditionalFormatting>
  <conditionalFormatting sqref="AX29:AX43">
    <cfRule type="cellIs" dxfId="19" priority="49" operator="equal">
      <formula>0</formula>
    </cfRule>
    <cfRule type="cellIs" dxfId="18" priority="50" operator="equal">
      <formula>0</formula>
    </cfRule>
  </conditionalFormatting>
  <conditionalFormatting sqref="AX49:AX63">
    <cfRule type="cellIs" dxfId="17" priority="51" operator="equal">
      <formula>0</formula>
    </cfRule>
    <cfRule type="cellIs" dxfId="16" priority="52" operator="equal">
      <formula>0</formula>
    </cfRule>
  </conditionalFormatting>
  <conditionalFormatting sqref="AX69:AX83">
    <cfRule type="cellIs" dxfId="15" priority="53" operator="equal">
      <formula>0</formula>
    </cfRule>
    <cfRule type="cellIs" dxfId="14" priority="54" operator="equal">
      <formula>0</formula>
    </cfRule>
  </conditionalFormatting>
  <conditionalFormatting sqref="BG9:BG23">
    <cfRule type="cellIs" dxfId="13" priority="55" operator="equal">
      <formula>0</formula>
    </cfRule>
    <cfRule type="cellIs" dxfId="12" priority="56" operator="equal">
      <formula>0</formula>
    </cfRule>
  </conditionalFormatting>
  <conditionalFormatting sqref="BG29:BG43">
    <cfRule type="cellIs" dxfId="11" priority="57" operator="equal">
      <formula>0</formula>
    </cfRule>
    <cfRule type="cellIs" dxfId="10" priority="58" operator="equal">
      <formula>0</formula>
    </cfRule>
  </conditionalFormatting>
  <conditionalFormatting sqref="BG49:BG63">
    <cfRule type="cellIs" dxfId="9" priority="59" operator="equal">
      <formula>0</formula>
    </cfRule>
    <cfRule type="cellIs" dxfId="8" priority="60" operator="equal">
      <formula>0</formula>
    </cfRule>
  </conditionalFormatting>
  <conditionalFormatting sqref="BG69:BG83">
    <cfRule type="cellIs" dxfId="7" priority="61" operator="equal">
      <formula>0</formula>
    </cfRule>
    <cfRule type="cellIs" dxfId="6" priority="62" operator="equal">
      <formula>0</formula>
    </cfRule>
  </conditionalFormatting>
  <conditionalFormatting sqref="I115:I164">
    <cfRule type="cellIs" dxfId="5" priority="63" operator="equal">
      <formula>$K$111</formula>
    </cfRule>
    <cfRule type="cellIs" dxfId="4" priority="64" operator="equal">
      <formula>$J$111</formula>
    </cfRule>
    <cfRule type="cellIs" dxfId="3" priority="65" operator="equal">
      <formula>$I$111</formula>
    </cfRule>
  </conditionalFormatting>
  <conditionalFormatting sqref="J115:J164">
    <cfRule type="cellIs" dxfId="2" priority="66" operator="equal">
      <formula>$P$111</formula>
    </cfRule>
    <cfRule type="cellIs" dxfId="1" priority="67" operator="equal">
      <formula>$O$111</formula>
    </cfRule>
    <cfRule type="cellIs" dxfId="0" priority="68" operator="equal">
      <formula>$N$111</formula>
    </cfRule>
  </conditionalFormatting>
  <dataValidations count="2">
    <dataValidation type="list" allowBlank="1" showInputMessage="1" showErrorMessage="1" sqref="J115:J164" xr:uid="{6716D096-65D3-4AC2-9C11-762BA30F74F3}">
      <formula1>$N$111:$P$111</formula1>
    </dataValidation>
    <dataValidation type="list" allowBlank="1" showInputMessage="1" showErrorMessage="1" sqref="I115:I164" xr:uid="{11D0CF21-F03C-4CD2-9130-B771FEA30C56}">
      <formula1>$I$111:$K$111</formula1>
    </dataValidation>
  </dataValidations>
  <hyperlinks>
    <hyperlink ref="L1" location="ダッシュボード!A2" display="▶ダッシュボードへ" xr:uid="{D1026267-7004-49B7-8BE6-B0CC4B28ADC1}"/>
  </hyperlinks>
  <pageMargins left="0.7" right="0.7" top="0.75" bottom="0.75" header="0.511811023622047" footer="0.511811023622047"/>
  <pageSetup paperSize="9" orientation="portrait"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726A717-87BE-4C2F-AEFF-205D2EA73F5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マニュアル</vt:lpstr>
      <vt:lpstr>業務メモ</vt:lpstr>
      <vt:lpstr>業務メモ_Webデザイン</vt:lpstr>
      <vt:lpstr>売上工数管理</vt:lpstr>
      <vt:lpstr>案件コード</vt:lpstr>
      <vt:lpstr>基本データ</vt:lpstr>
      <vt:lpstr>ダッシュボード</vt:lpstr>
      <vt:lpstr>2025_09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dc:description/>
  <cp:lastModifiedBy/>
  <cp:revision>1</cp:revision>
  <dcterms:created xsi:type="dcterms:W3CDTF">2025-09-14T04:43:50Z</dcterms:created>
  <dcterms:modified xsi:type="dcterms:W3CDTF">2025-09-14T05:48:50Z</dcterms:modified>
  <dc:language/>
</cp:coreProperties>
</file>